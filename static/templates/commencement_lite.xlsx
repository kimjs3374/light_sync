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환경설정" sheetId="1" state="visible" r:id="rId1"/>
    <sheet name="공문" sheetId="2" state="visible" r:id="rId2"/>
    <sheet name="착수계" sheetId="3" state="visible" r:id="rId3"/>
    <sheet name="현장대리인계" sheetId="4" state="visible" r:id="rId4"/>
    <sheet name="data" sheetId="5" state="visible" r:id="rId5"/>
  </sheets>
  <definedNames>
    <definedName name="_Key1" hidden="1">#REF!</definedName>
    <definedName name="_Order1" hidden="1">255</definedName>
    <definedName name="_xlnm.Print_Area" localSheetId="1">'공문'!$A$1:$AE$35</definedName>
    <definedName name="_xlnm.Print_Area" localSheetId="2">'착수계'!$A$1:$H$35</definedName>
    <definedName name="_xlnm.Print_Area" localSheetId="3">'현장대리인계'!$A$1:$H$27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&quot;₩&quot;* #,##0_-;\-&quot;₩&quot;* #,##0_-;_-&quot;₩&quot;* &quot;-&quot;_-;_-@_-"/>
    <numFmt numFmtId="165" formatCode="yyyy&quot;년&quot;\ mm&quot;월&quot;\ dd&quot;일&quot;;@"/>
    <numFmt numFmtId="166" formatCode="_-* #,##0_-;\-* #,##0_-;_-* &quot;-&quot;_-;_-@_-"/>
    <numFmt numFmtId="167" formatCode="_-&quot;₩&quot;* #,##0.0_-;\-&quot;₩&quot;* #,##0.0_-;_-&quot;₩&quot;* &quot;-&quot;?_-;_-@_-"/>
    <numFmt numFmtId="168" formatCode="[DBNum4]&quot;일&quot;&quot;금  &quot;[$-412]General&quot; 원&quot;&quot;정&quot;"/>
    <numFmt numFmtId="169" formatCode="_ &quot;₩&quot;* #,##0_ ;_ &quot;₩&quot;* \-#,##0_ ;_ &quot;₩&quot;* &quot;-&quot;_ ;_ @_ "/>
    <numFmt numFmtId="170" formatCode="_ &quot;₩&quot;* #,##0.00_ ;_ &quot;₩&quot;* \-#,##0.00_ ;_ &quot;₩&quot;* &quot;-&quot;??_ ;_ @_ "/>
    <numFmt numFmtId="171" formatCode="_ * #,##0_ ;_ * \-#,##0_ ;_ * &quot;-&quot;_ ;_ @_ "/>
    <numFmt numFmtId="172" formatCode="_ * #,##0.00_ ;_ * \-#,##0.00_ ;_ * &quot;-&quot;??_ ;_ @_ "/>
    <numFmt numFmtId="173" formatCode="_(&quot;$&quot;* #,##0.00_);_(&quot;$&quot;* \(#,##0.00\);_(&quot;$&quot;* &quot;-&quot;??_);_(@_)"/>
    <numFmt numFmtId="174" formatCode="&quot;kr&quot;\ #,##0;[Red]&quot;kr&quot;\ \-#,##0"/>
    <numFmt numFmtId="175" formatCode="&quot;₩&quot;#,##0"/>
  </numFmts>
  <fonts count="55"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맑은 고딕"/>
      <charset val="129"/>
      <family val="3"/>
      <sz val="8"/>
    </font>
    <font>
      <name val="돋움"/>
      <charset val="129"/>
      <family val="3"/>
      <sz val="8"/>
    </font>
    <font>
      <name val="Arial"/>
      <family val="2"/>
      <sz val="10"/>
    </font>
    <font>
      <name val="바탕체"/>
      <charset val="129"/>
      <family val="1"/>
      <sz val="12"/>
    </font>
    <font>
      <name val="Times New Roman"/>
      <family val="1"/>
      <sz val="12"/>
    </font>
    <font>
      <name val="돋움"/>
      <charset val="129"/>
      <family val="3"/>
      <color indexed="36"/>
      <sz val="11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돋움체"/>
      <charset val="129"/>
      <family val="3"/>
      <sz val="12"/>
    </font>
    <font>
      <name val="¹ÙÅÁÃ¼"/>
      <charset val="129"/>
      <family val="1"/>
      <sz val="12"/>
    </font>
    <font>
      <name val="¹UAAA¼"/>
      <charset val="129"/>
      <family val="1"/>
      <sz val="12"/>
    </font>
    <font>
      <name val="MS Sans Serif"/>
      <family val="2"/>
      <sz val="10"/>
    </font>
    <font>
      <name val="±¼¸²Ã¼"/>
      <charset val="129"/>
      <family val="3"/>
      <sz val="12"/>
    </font>
    <font>
      <name val="System"/>
      <charset val="129"/>
      <family val="2"/>
      <sz val="12"/>
    </font>
    <font>
      <name val="Courier"/>
      <family val="3"/>
      <color indexed="8"/>
      <sz val="1"/>
    </font>
    <font>
      <name val="Arial"/>
      <family val="2"/>
      <sz val="8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돋움"/>
      <charset val="129"/>
      <family val="3"/>
      <b val="1"/>
      <sz val="18"/>
    </font>
    <font>
      <name val="굴림"/>
      <charset val="129"/>
      <family val="3"/>
      <b val="1"/>
      <sz val="17"/>
    </font>
    <font>
      <name val="맑은 고딕"/>
      <charset val="129"/>
      <family val="3"/>
      <sz val="10"/>
    </font>
    <font>
      <name val="굴림"/>
      <charset val="129"/>
      <family val="3"/>
      <sz val="9"/>
    </font>
    <font>
      <name val="맑은 고딕"/>
      <charset val="129"/>
      <family val="3"/>
      <sz val="8"/>
    </font>
    <font>
      <name val="굴림"/>
      <charset val="129"/>
      <family val="3"/>
      <b val="1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indexed="8"/>
      <sz val="14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25"/>
      <u val="single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6"/>
      <u val="single"/>
      <scheme val="minor"/>
    </font>
    <font>
      <name val="맑은 고딕"/>
      <charset val="129"/>
      <family val="3"/>
      <sz val="11"/>
    </font>
    <font>
      <name val="맑은 고딕"/>
      <charset val="129"/>
      <family val="3"/>
      <b val="1"/>
      <sz val="22"/>
      <u val="single"/>
    </font>
    <font>
      <name val="맑은 고딕"/>
      <charset val="129"/>
      <family val="3"/>
      <sz val="22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000000"/>
      <sz val="10.5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sz val="16"/>
      <u val="single"/>
    </font>
    <font>
      <name val="굴림"/>
      <charset val="129"/>
      <family val="3"/>
      <sz val="8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sz val="12"/>
      <scheme val="minor"/>
    </font>
    <font>
      <name val="한컴 고딕"/>
      <charset val="129"/>
      <family val="3"/>
      <b val="1"/>
      <color theme="1"/>
      <sz val="22"/>
      <u val="single"/>
    </font>
    <font>
      <name val="한컴 고딕"/>
      <charset val="129"/>
      <family val="3"/>
      <color theme="1"/>
      <sz val="11"/>
    </font>
    <font>
      <name val="한컴 고딕"/>
      <charset val="129"/>
      <family val="3"/>
      <color theme="1"/>
      <sz val="26"/>
    </font>
    <font>
      <name val="한컴 고딕"/>
      <charset val="129"/>
      <family val="3"/>
      <color theme="1"/>
      <sz val="22"/>
    </font>
    <font>
      <name val="Arial"/>
      <family val="2"/>
      <color rgb="FF111111"/>
      <sz val="11"/>
    </font>
    <font>
      <name val="돋움"/>
      <charset val="129"/>
      <family val="3"/>
      <color rgb="FF111111"/>
      <sz val="11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4">
    <xf numFmtId="0" fontId="27" fillId="0" borderId="0" applyAlignment="1">
      <alignment vertical="center"/>
    </xf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7" fillId="0" borderId="0"/>
    <xf numFmtId="169" fontId="12" fillId="0" borderId="0"/>
    <xf numFmtId="0" fontId="13" fillId="0" borderId="0"/>
    <xf numFmtId="170" fontId="12" fillId="0" borderId="0"/>
    <xf numFmtId="0" fontId="13" fillId="0" borderId="0"/>
    <xf numFmtId="0" fontId="14" fillId="0" borderId="0"/>
    <xf numFmtId="171" fontId="12" fillId="0" borderId="0"/>
    <xf numFmtId="0" fontId="5" fillId="0" borderId="0"/>
    <xf numFmtId="172" fontId="12" fillId="0" borderId="0"/>
    <xf numFmtId="0" fontId="5" fillId="0" borderId="0"/>
    <xf numFmtId="0" fontId="15" fillId="0" borderId="0"/>
    <xf numFmtId="0" fontId="16" fillId="0" borderId="0"/>
    <xf numFmtId="4" fontId="17" fillId="0" borderId="0" applyProtection="1">
      <protection locked="0" hidden="0"/>
    </xf>
    <xf numFmtId="171" fontId="5" fillId="0" borderId="0"/>
    <xf numFmtId="172" fontId="5" fillId="0" borderId="0"/>
    <xf numFmtId="0" fontId="1" fillId="0" borderId="0" applyProtection="1">
      <protection locked="0" hidden="0"/>
    </xf>
    <xf numFmtId="42" fontId="5" fillId="0" borderId="0"/>
    <xf numFmtId="173" fontId="5" fillId="0" borderId="0"/>
    <xf numFmtId="0" fontId="1" fillId="0" borderId="0"/>
    <xf numFmtId="38" fontId="18" fillId="2" borderId="0"/>
    <xf numFmtId="0" fontId="19" fillId="0" borderId="1" applyAlignment="1">
      <alignment horizontal="left" vertical="center"/>
    </xf>
    <xf numFmtId="0" fontId="19" fillId="0" borderId="2" applyAlignment="1">
      <alignment horizontal="left" vertical="center"/>
    </xf>
    <xf numFmtId="0" fontId="20" fillId="0" borderId="0"/>
    <xf numFmtId="10" fontId="18" fillId="3" borderId="3"/>
    <xf numFmtId="174" fontId="1" fillId="0" borderId="0"/>
    <xf numFmtId="0" fontId="5" fillId="0" borderId="0"/>
    <xf numFmtId="0" fontId="5" fillId="0" borderId="0"/>
    <xf numFmtId="0" fontId="5" fillId="0" borderId="0"/>
    <xf numFmtId="0" fontId="1" fillId="0" borderId="0" applyProtection="1">
      <protection locked="0" hidden="0"/>
    </xf>
    <xf numFmtId="10" fontId="5" fillId="0" borderId="0"/>
    <xf numFmtId="0" fontId="1" fillId="0" borderId="0" applyProtection="1">
      <protection locked="0" hidden="0"/>
    </xf>
    <xf numFmtId="0" fontId="8" fillId="0" borderId="0" applyAlignment="1" applyProtection="1">
      <alignment vertical="top"/>
      <protection locked="0" hidden="0"/>
    </xf>
    <xf numFmtId="40" fontId="9" fillId="0" borderId="0"/>
    <xf numFmtId="38" fontId="9" fillId="0" borderId="0"/>
    <xf numFmtId="0" fontId="9" fillId="0" borderId="0"/>
    <xf numFmtId="0" fontId="9" fillId="0" borderId="0"/>
    <xf numFmtId="0" fontId="10" fillId="0" borderId="0"/>
    <xf numFmtId="41" fontId="27" fillId="0" borderId="0" applyAlignment="1">
      <alignment vertical="center"/>
    </xf>
    <xf numFmtId="0" fontId="5" fillId="0" borderId="0"/>
    <xf numFmtId="0" fontId="6" fillId="0" borderId="0"/>
    <xf numFmtId="0" fontId="6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175" fontId="1" fillId="4" borderId="3"/>
    <xf numFmtId="0" fontId="11" fillId="0" borderId="0"/>
    <xf numFmtId="42" fontId="1" fillId="0" borderId="0" applyAlignment="1">
      <alignment vertical="center"/>
    </xf>
  </cellStyleXfs>
  <cellXfs count="16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49">
      <alignment horizontal="left" vertical="center"/>
    </xf>
    <xf numFmtId="0" fontId="2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vertical="center"/>
    </xf>
    <xf numFmtId="0" fontId="26" fillId="0" borderId="4" applyAlignment="1" pivotButton="0" quotePrefix="0" xfId="49">
      <alignment horizontal="center" vertical="center"/>
    </xf>
    <xf numFmtId="0" fontId="29" fillId="0" borderId="0" applyAlignment="1" pivotButton="0" quotePrefix="0" xfId="49">
      <alignment vertical="center"/>
    </xf>
    <xf numFmtId="0" fontId="29" fillId="0" borderId="21" applyAlignment="1" pivotButton="0" quotePrefix="0" xfId="49">
      <alignment horizontal="right" vertical="center"/>
    </xf>
    <xf numFmtId="164" fontId="29" fillId="0" borderId="2" applyAlignment="1" pivotButton="0" quotePrefix="0" xfId="53">
      <alignment horizontal="center" vertical="center"/>
    </xf>
    <xf numFmtId="0" fontId="29" fillId="0" borderId="22" applyAlignment="1" pivotButton="0" quotePrefix="0" xfId="49">
      <alignment vertical="center"/>
    </xf>
    <xf numFmtId="0" fontId="35" fillId="0" borderId="0" applyAlignment="1" pivotButton="0" quotePrefix="0" xfId="49">
      <alignment vertical="center"/>
    </xf>
    <xf numFmtId="0" fontId="37" fillId="0" borderId="0" applyAlignment="1" pivotButton="0" quotePrefix="0" xfId="49">
      <alignment vertical="center"/>
    </xf>
    <xf numFmtId="0" fontId="40" fillId="2" borderId="23" applyAlignment="1" pivotButton="0" quotePrefix="0" xfId="49">
      <alignment horizontal="center" vertical="center"/>
    </xf>
    <xf numFmtId="165" fontId="40" fillId="2" borderId="24" applyAlignment="1" pivotButton="0" quotePrefix="0" xfId="49">
      <alignment horizontal="center" vertical="center"/>
    </xf>
    <xf numFmtId="0" fontId="40" fillId="2" borderId="25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45" fillId="0" borderId="0" applyAlignment="1" pivotButton="0" quotePrefix="0" xfId="49">
      <alignment vertical="center"/>
    </xf>
    <xf numFmtId="0" fontId="0" fillId="0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right" vertical="center"/>
    </xf>
    <xf numFmtId="14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right" vertical="center" wrapText="1"/>
    </xf>
    <xf numFmtId="166" fontId="27" fillId="5" borderId="3" applyAlignment="1" pivotButton="0" quotePrefix="0" xfId="44">
      <alignment horizontal="right" vertical="center"/>
    </xf>
    <xf numFmtId="0" fontId="29" fillId="0" borderId="0" applyAlignment="1" pivotButton="0" quotePrefix="0" xfId="49">
      <alignment horizontal="right" vertical="center" indent="1"/>
    </xf>
    <xf numFmtId="0" fontId="29" fillId="0" borderId="0" applyAlignment="1" pivotButton="0" quotePrefix="0" xfId="49">
      <alignment horizontal="right" vertical="center"/>
    </xf>
    <xf numFmtId="164" fontId="29" fillId="0" borderId="0" applyAlignment="1" pivotButton="0" quotePrefix="0" xfId="53">
      <alignment horizontal="center" vertical="center"/>
    </xf>
    <xf numFmtId="0" fontId="29" fillId="0" borderId="0" applyAlignment="1" pivotButton="0" quotePrefix="0" xfId="49">
      <alignment horizontal="left" vertical="center" indent="1"/>
    </xf>
    <xf numFmtId="165" fontId="29" fillId="0" borderId="0" applyAlignment="1" pivotButton="0" quotePrefix="0" xfId="49">
      <alignment horizontal="left" vertical="center" indent="1"/>
    </xf>
    <xf numFmtId="0" fontId="29" fillId="0" borderId="0" applyAlignment="1" pivotButton="0" quotePrefix="0" xfId="49">
      <alignment horizontal="center" vertical="center"/>
    </xf>
    <xf numFmtId="165" fontId="29" fillId="0" borderId="0" applyAlignment="1" pivotButton="0" quotePrefix="0" xfId="49">
      <alignment horizontal="center" vertical="center"/>
    </xf>
    <xf numFmtId="0" fontId="29" fillId="0" borderId="0" applyAlignment="1" pivotButton="0" quotePrefix="0" xfId="49">
      <alignment horizontal="left" vertical="center"/>
    </xf>
    <xf numFmtId="0" fontId="35" fillId="0" borderId="0" applyAlignment="1" pivotButton="0" quotePrefix="0" xfId="49">
      <alignment horizontal="center" vertical="center"/>
    </xf>
    <xf numFmtId="0" fontId="29" fillId="0" borderId="0" applyAlignment="1" pivotButton="0" quotePrefix="0" xfId="49">
      <alignment horizontal="left" vertical="center" indent="3"/>
    </xf>
    <xf numFmtId="0" fontId="34" fillId="0" borderId="0" applyAlignment="1" pivotButton="0" quotePrefix="0" xfId="49">
      <alignment vertical="center"/>
    </xf>
    <xf numFmtId="31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vertical="center"/>
    </xf>
    <xf numFmtId="0" fontId="46" fillId="0" borderId="0" applyAlignment="1" pivotButton="0" quotePrefix="0" xfId="49">
      <alignment horizontal="center" vertical="center"/>
    </xf>
    <xf numFmtId="0" fontId="39" fillId="0" borderId="0" applyAlignment="1" pivotButton="0" quotePrefix="0" xfId="49">
      <alignment horizontal="center" vertical="center"/>
    </xf>
    <xf numFmtId="0" fontId="40" fillId="0" borderId="0" applyAlignment="1" pivotButton="0" quotePrefix="0" xfId="49">
      <alignment horizontal="left" vertical="center"/>
    </xf>
    <xf numFmtId="165" fontId="37" fillId="0" borderId="0" applyAlignment="1" pivotButton="0" quotePrefix="0" xfId="49">
      <alignment horizontal="left" vertical="center"/>
    </xf>
    <xf numFmtId="167" fontId="37" fillId="0" borderId="0" applyAlignment="1" pivotButton="0" quotePrefix="0" xfId="49">
      <alignment vertical="center"/>
    </xf>
    <xf numFmtId="0" fontId="41" fillId="0" borderId="0" applyAlignment="1" pivotButton="0" quotePrefix="0" xfId="49">
      <alignment horizontal="left" vertical="center"/>
    </xf>
    <xf numFmtId="165" fontId="23" fillId="0" borderId="0" applyAlignment="1" pivotButton="0" quotePrefix="0" xfId="49">
      <alignment horizontal="left" vertical="center"/>
    </xf>
    <xf numFmtId="0" fontId="23" fillId="0" borderId="0" applyAlignment="1" pivotButton="0" quotePrefix="0" xfId="49">
      <alignment vertical="center"/>
    </xf>
    <xf numFmtId="0" fontId="37" fillId="0" borderId="0" applyAlignment="1" pivotButton="0" quotePrefix="0" xfId="49">
      <alignment horizontal="center" vertical="center"/>
    </xf>
    <xf numFmtId="0" fontId="42" fillId="0" borderId="26" applyAlignment="1" pivotButton="0" quotePrefix="0" xfId="49">
      <alignment horizontal="center" vertical="center" shrinkToFit="1"/>
    </xf>
    <xf numFmtId="0" fontId="43" fillId="0" borderId="27" applyAlignment="1" pivotButton="0" quotePrefix="0" xfId="49">
      <alignment horizontal="center" vertical="center" shrinkToFit="1"/>
    </xf>
    <xf numFmtId="0" fontId="42" fillId="0" borderId="27" applyAlignment="1" pivotButton="0" quotePrefix="0" xfId="49">
      <alignment horizontal="center" vertical="center" shrinkToFit="1"/>
    </xf>
    <xf numFmtId="0" fontId="42" fillId="0" borderId="28" applyAlignment="1" pivotButton="0" quotePrefix="0" xfId="49">
      <alignment horizontal="center" vertical="center" shrinkToFit="1"/>
    </xf>
    <xf numFmtId="0" fontId="42" fillId="0" borderId="29" applyAlignment="1" pivotButton="0" quotePrefix="0" xfId="49">
      <alignment horizontal="center" vertical="center" shrinkToFit="1"/>
    </xf>
    <xf numFmtId="0" fontId="42" fillId="0" borderId="3" applyAlignment="1" pivotButton="0" quotePrefix="0" xfId="49">
      <alignment horizontal="center" vertical="center" shrinkToFit="1"/>
    </xf>
    <xf numFmtId="0" fontId="42" fillId="0" borderId="30" applyAlignment="1" pivotButton="0" quotePrefix="0" xfId="49">
      <alignment horizontal="center" vertical="center" shrinkToFit="1"/>
    </xf>
    <xf numFmtId="0" fontId="43" fillId="0" borderId="29" applyAlignment="1" pivotButton="0" quotePrefix="0" xfId="49">
      <alignment horizontal="center" vertical="center" shrinkToFit="1"/>
    </xf>
    <xf numFmtId="0" fontId="42" fillId="0" borderId="31" applyAlignment="1" pivotButton="0" quotePrefix="0" xfId="49">
      <alignment horizontal="center" vertical="center" shrinkToFit="1"/>
    </xf>
    <xf numFmtId="0" fontId="42" fillId="0" borderId="32" applyAlignment="1" pivotButton="0" quotePrefix="0" xfId="49">
      <alignment horizontal="center" vertical="center" shrinkToFit="1"/>
    </xf>
    <xf numFmtId="0" fontId="42" fillId="0" borderId="33" applyAlignment="1" pivotButton="0" quotePrefix="0" xfId="49">
      <alignment horizontal="center" vertical="center" shrinkToFit="1"/>
    </xf>
    <xf numFmtId="0" fontId="43" fillId="0" borderId="3" applyAlignment="1" pivotButton="0" quotePrefix="0" xfId="49">
      <alignment horizontal="center" vertical="center" shrinkToFit="1"/>
    </xf>
    <xf numFmtId="0" fontId="43" fillId="0" borderId="32" applyAlignment="1" pivotButton="0" quotePrefix="0" xfId="49">
      <alignment horizontal="center" vertical="center" shrinkToFit="1"/>
    </xf>
    <xf numFmtId="0" fontId="50" fillId="0" borderId="0" applyAlignment="1" pivotButton="0" quotePrefix="0" xfId="0">
      <alignment vertical="center"/>
    </xf>
    <xf numFmtId="0" fontId="51" fillId="0" borderId="0" applyAlignment="1" pivotButton="0" quotePrefix="1" xfId="0">
      <alignment vertical="center"/>
    </xf>
    <xf numFmtId="0" fontId="51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22" fillId="0" borderId="0" applyAlignment="1" pivotButton="0" quotePrefix="0" xfId="49">
      <alignment horizontal="center" vertical="center"/>
    </xf>
    <xf numFmtId="0" fontId="45" fillId="0" borderId="0" applyAlignment="1" pivotButton="0" quotePrefix="0" xfId="49">
      <alignment horizontal="center" vertical="center"/>
    </xf>
    <xf numFmtId="3" fontId="45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horizontal="left" vertical="center"/>
    </xf>
    <xf numFmtId="0" fontId="2" fillId="0" borderId="0" applyAlignment="1" pivotButton="0" quotePrefix="0" xfId="49">
      <alignment horizontal="center" vertical="center"/>
    </xf>
    <xf numFmtId="0" fontId="21" fillId="0" borderId="0" applyAlignment="1" pivotButton="0" quotePrefix="0" xfId="49">
      <alignment horizontal="center" vertical="center" wrapText="1"/>
    </xf>
    <xf numFmtId="0" fontId="2" fillId="0" borderId="4" applyAlignment="1" pivotButton="0" quotePrefix="0" xfId="49">
      <alignment horizontal="center" vertical="center"/>
    </xf>
    <xf numFmtId="0" fontId="2" fillId="0" borderId="4" applyAlignment="1" pivotButton="0" quotePrefix="0" xfId="49">
      <alignment horizontal="left" vertical="center"/>
    </xf>
    <xf numFmtId="0" fontId="2" fillId="0" borderId="0" applyAlignment="1" pivotButton="0" quotePrefix="0" xfId="49">
      <alignment horizontal="distributed" vertical="center"/>
    </xf>
    <xf numFmtId="0" fontId="2" fillId="0" borderId="5" applyAlignment="1" pivotButton="0" quotePrefix="0" xfId="49">
      <alignment horizontal="left" vertical="center"/>
    </xf>
    <xf numFmtId="0" fontId="2" fillId="0" borderId="6" applyAlignment="1" pivotButton="0" quotePrefix="0" xfId="49">
      <alignment horizontal="center" vertical="center" wrapText="1"/>
    </xf>
    <xf numFmtId="0" fontId="2" fillId="0" borderId="7" applyAlignment="1" pivotButton="0" quotePrefix="0" xfId="49">
      <alignment horizontal="center" vertical="center"/>
    </xf>
    <xf numFmtId="0" fontId="2" fillId="0" borderId="8" applyAlignment="1" pivotButton="0" quotePrefix="0" xfId="49">
      <alignment horizontal="center" vertical="center"/>
    </xf>
    <xf numFmtId="0" fontId="2" fillId="0" borderId="9" applyAlignment="1" pivotButton="0" quotePrefix="0" xfId="49">
      <alignment horizontal="center" vertical="center"/>
    </xf>
    <xf numFmtId="0" fontId="2" fillId="0" borderId="10" applyAlignment="1" pivotButton="0" quotePrefix="0" xfId="49">
      <alignment horizontal="center" vertical="center"/>
    </xf>
    <xf numFmtId="0" fontId="2" fillId="0" borderId="11" applyAlignment="1" pivotButton="0" quotePrefix="0" xfId="49">
      <alignment horizontal="center" vertical="center"/>
    </xf>
    <xf numFmtId="0" fontId="2" fillId="0" borderId="12" applyAlignment="1" pivotButton="0" quotePrefix="0" xfId="49">
      <alignment horizontal="center" vertical="center"/>
    </xf>
    <xf numFmtId="0" fontId="2" fillId="0" borderId="13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 wrapText="1"/>
    </xf>
    <xf numFmtId="0" fontId="2" fillId="0" borderId="15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/>
    </xf>
    <xf numFmtId="0" fontId="2" fillId="0" borderId="16" applyAlignment="1" pivotButton="0" quotePrefix="0" xfId="49">
      <alignment horizontal="center" vertical="center"/>
    </xf>
    <xf numFmtId="0" fontId="2" fillId="0" borderId="17" applyAlignment="1" pivotButton="0" quotePrefix="0" xfId="49">
      <alignment horizontal="center" vertical="center"/>
    </xf>
    <xf numFmtId="0" fontId="2" fillId="0" borderId="7" applyAlignment="1" pivotButton="0" quotePrefix="0" xfId="49">
      <alignment horizontal="center" vertical="center" wrapText="1"/>
    </xf>
    <xf numFmtId="0" fontId="2" fillId="0" borderId="15" applyAlignment="1" pivotButton="0" quotePrefix="0" xfId="49">
      <alignment horizontal="center" vertical="center" wrapText="1"/>
    </xf>
    <xf numFmtId="0" fontId="2" fillId="0" borderId="19" applyAlignment="1" pivotButton="0" quotePrefix="0" xfId="49">
      <alignment horizontal="center" vertical="center"/>
    </xf>
    <xf numFmtId="0" fontId="2" fillId="0" borderId="20" applyAlignment="1" pivotButton="0" quotePrefix="0" xfId="49">
      <alignment horizontal="center" vertical="center"/>
    </xf>
    <xf numFmtId="0" fontId="26" fillId="0" borderId="4" applyAlignment="1" pivotButton="0" quotePrefix="0" xfId="49">
      <alignment horizontal="distributed" vertical="center"/>
    </xf>
    <xf numFmtId="0" fontId="26" fillId="0" borderId="4" applyAlignment="1" pivotButton="0" quotePrefix="1" xfId="49">
      <alignment horizontal="left" vertical="center" wrapText="1"/>
    </xf>
    <xf numFmtId="0" fontId="26" fillId="0" borderId="4" applyAlignment="1" pivotButton="0" quotePrefix="0" xfId="49">
      <alignment horizontal="left" vertical="center"/>
    </xf>
    <xf numFmtId="0" fontId="2" fillId="0" borderId="18" applyAlignment="1" pivotButton="0" quotePrefix="0" xfId="49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165" fontId="29" fillId="0" borderId="0" applyAlignment="1" pivotButton="0" quotePrefix="0" xfId="49">
      <alignment horizontal="center" vertical="center"/>
    </xf>
    <xf numFmtId="0" fontId="29" fillId="0" borderId="0" applyAlignment="1" pivotButton="0" quotePrefix="0" xfId="49">
      <alignment horizontal="center" vertical="center"/>
    </xf>
    <xf numFmtId="0" fontId="29" fillId="0" borderId="0" applyAlignment="1" pivotButton="0" quotePrefix="0" xfId="49">
      <alignment horizontal="left" vertical="center" indent="6"/>
    </xf>
    <xf numFmtId="0" fontId="36" fillId="0" borderId="0" applyAlignment="1" pivotButton="0" quotePrefix="0" xfId="49">
      <alignment horizontal="left" vertical="center" indent="2"/>
    </xf>
    <xf numFmtId="0" fontId="29" fillId="0" borderId="0" applyAlignment="1" pivotButton="0" quotePrefix="0" xfId="49">
      <alignment horizontal="left" vertical="center" indent="1"/>
    </xf>
    <xf numFmtId="0" fontId="29" fillId="0" borderId="21" applyAlignment="1" pivotButton="0" quotePrefix="0" xfId="49">
      <alignment horizontal="right" vertical="center" indent="1"/>
    </xf>
    <xf numFmtId="0" fontId="29" fillId="0" borderId="22" applyAlignment="1" pivotButton="0" quotePrefix="0" xfId="49">
      <alignment horizontal="right" vertical="center" indent="1"/>
    </xf>
    <xf numFmtId="165" fontId="29" fillId="0" borderId="21" applyAlignment="1" pivotButton="0" quotePrefix="0" xfId="49">
      <alignment horizontal="left" vertical="center" indent="1"/>
    </xf>
    <xf numFmtId="165" fontId="29" fillId="0" borderId="2" applyAlignment="1" pivotButton="0" quotePrefix="0" xfId="49">
      <alignment horizontal="left" vertical="center" indent="1"/>
    </xf>
    <xf numFmtId="165" fontId="29" fillId="0" borderId="22" applyAlignment="1" pivotButton="0" quotePrefix="0" xfId="49">
      <alignment horizontal="left" vertical="center" indent="1"/>
    </xf>
    <xf numFmtId="0" fontId="29" fillId="0" borderId="3" applyAlignment="1" pivotButton="0" quotePrefix="0" xfId="49">
      <alignment horizontal="right" vertical="center" indent="1"/>
    </xf>
    <xf numFmtId="165" fontId="29" fillId="0" borderId="3" applyAlignment="1" pivotButton="0" quotePrefix="0" xfId="49">
      <alignment horizontal="left" vertical="center" indent="1"/>
    </xf>
    <xf numFmtId="168" fontId="29" fillId="0" borderId="3" applyAlignment="1" pivotButton="0" quotePrefix="0" xfId="49">
      <alignment horizontal="left" vertical="center" indent="1"/>
    </xf>
    <xf numFmtId="168" fontId="29" fillId="0" borderId="21" applyAlignment="1" pivotButton="0" quotePrefix="0" xfId="49">
      <alignment horizontal="left" vertical="center" indent="1"/>
    </xf>
    <xf numFmtId="165" fontId="29" fillId="0" borderId="27" applyAlignment="1" pivotButton="0" quotePrefix="0" xfId="49">
      <alignment horizontal="left" vertical="center" indent="1"/>
    </xf>
    <xf numFmtId="0" fontId="29" fillId="0" borderId="3" applyAlignment="1" pivotButton="0" quotePrefix="0" xfId="49">
      <alignment horizontal="left" vertical="center" wrapText="1" indent="1"/>
    </xf>
    <xf numFmtId="0" fontId="29" fillId="0" borderId="3" applyAlignment="1" pivotButton="0" quotePrefix="0" xfId="49">
      <alignment horizontal="left" vertical="center" indent="1"/>
    </xf>
    <xf numFmtId="0" fontId="29" fillId="0" borderId="34" applyAlignment="1" pivotButton="0" quotePrefix="0" xfId="49">
      <alignment horizontal="left" vertical="center" indent="1"/>
    </xf>
    <xf numFmtId="0" fontId="31" fillId="0" borderId="0" applyAlignment="1" pivotButton="0" quotePrefix="0" xfId="49">
      <alignment vertical="center"/>
    </xf>
    <xf numFmtId="0" fontId="32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0" fontId="29" fillId="0" borderId="0" applyAlignment="1" pivotButton="0" quotePrefix="0" xfId="49">
      <alignment horizontal="right" vertical="center"/>
    </xf>
    <xf numFmtId="31" fontId="29" fillId="0" borderId="0" applyAlignment="1" pivotButton="0" quotePrefix="0" xfId="49">
      <alignment horizontal="center" vertical="center"/>
    </xf>
    <xf numFmtId="0" fontId="48" fillId="0" borderId="0" applyAlignment="1" pivotButton="0" quotePrefix="0" xfId="49">
      <alignment horizontal="left" vertical="center"/>
    </xf>
    <xf numFmtId="0" fontId="29" fillId="0" borderId="0" applyAlignment="1" pivotButton="0" quotePrefix="0" xfId="49">
      <alignment horizontal="right" vertical="center" indent="1"/>
    </xf>
    <xf numFmtId="168" fontId="29" fillId="0" borderId="0" applyAlignment="1" pivotButton="0" quotePrefix="0" xfId="49">
      <alignment horizontal="left" vertical="center" indent="1"/>
    </xf>
    <xf numFmtId="0" fontId="29" fillId="0" borderId="0" applyAlignment="1" pivotButton="0" quotePrefix="1" xfId="49">
      <alignment horizontal="center" vertical="center"/>
    </xf>
    <xf numFmtId="0" fontId="29" fillId="0" borderId="0" applyAlignment="1" pivotButton="0" quotePrefix="0" xfId="49">
      <alignment horizontal="left" vertical="center" wrapText="1" indent="1"/>
    </xf>
    <xf numFmtId="0" fontId="29" fillId="0" borderId="0" applyAlignment="1" pivotButton="0" quotePrefix="0" xfId="49">
      <alignment horizontal="distributed" vertical="distributed" indent="2"/>
    </xf>
    <xf numFmtId="0" fontId="47" fillId="0" borderId="0" applyAlignment="1" pivotButton="0" quotePrefix="0" xfId="49">
      <alignment horizontal="distributed" vertical="distributed" indent="2"/>
    </xf>
    <xf numFmtId="0" fontId="47" fillId="0" borderId="0" applyAlignment="1" pivotButton="0" quotePrefix="0" xfId="49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31" fontId="37" fillId="0" borderId="0" applyAlignment="1" pivotButton="0" quotePrefix="0" xfId="49">
      <alignment horizontal="center" vertical="center"/>
    </xf>
    <xf numFmtId="0" fontId="35" fillId="0" borderId="0" applyAlignment="1" pivotButton="0" quotePrefix="0" xfId="49">
      <alignment horizontal="left" vertical="center" indent="1"/>
    </xf>
    <xf numFmtId="0" fontId="44" fillId="0" borderId="0" applyAlignment="1" pivotButton="0" quotePrefix="0" xfId="49">
      <alignment horizontal="left" vertical="center" indent="2"/>
    </xf>
    <xf numFmtId="0" fontId="37" fillId="0" borderId="0" applyAlignment="1" pivotButton="0" quotePrefix="0" xfId="49">
      <alignment horizontal="center" vertical="center"/>
    </xf>
    <xf numFmtId="0" fontId="38" fillId="0" borderId="0" applyAlignment="1" pivotButton="0" quotePrefix="0" xfId="49">
      <alignment horizontal="center" vertical="center"/>
    </xf>
    <xf numFmtId="0" fontId="37" fillId="0" borderId="0" applyAlignment="1" pivotButton="0" quotePrefix="0" xfId="49">
      <alignment vertical="center"/>
    </xf>
    <xf numFmtId="165" fontId="37" fillId="0" borderId="0" applyAlignment="1" pivotButton="0" quotePrefix="0" xfId="49">
      <alignment horizontal="lef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22" pivotButton="0" quotePrefix="0" xfId="0"/>
    <xf numFmtId="0" fontId="0" fillId="0" borderId="4" pivotButton="0" quotePrefix="0" xfId="0"/>
    <xf numFmtId="166" fontId="27" fillId="5" borderId="3" applyAlignment="1" pivotButton="0" quotePrefix="0" xfId="44">
      <alignment horizontal="right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3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7" pivotButton="0" quotePrefix="0" xfId="0"/>
    <xf numFmtId="0" fontId="0" fillId="0" borderId="38" pivotButton="0" quotePrefix="0" xfId="0"/>
    <xf numFmtId="0" fontId="0" fillId="0" borderId="39" pivotButton="0" quotePrefix="0" xfId="0"/>
    <xf numFmtId="168" fontId="29" fillId="0" borderId="3" applyAlignment="1" pivotButton="0" quotePrefix="0" xfId="49">
      <alignment horizontal="left" vertical="center" indent="1"/>
    </xf>
    <xf numFmtId="164" fontId="29" fillId="0" borderId="2" applyAlignment="1" pivotButton="0" quotePrefix="0" xfId="53">
      <alignment horizontal="center" vertical="center"/>
    </xf>
    <xf numFmtId="165" fontId="29" fillId="0" borderId="3" applyAlignment="1" pivotButton="0" quotePrefix="0" xfId="49">
      <alignment horizontal="left" vertical="center" indent="1"/>
    </xf>
    <xf numFmtId="165" fontId="29" fillId="0" borderId="0" applyAlignment="1" pivotButton="0" quotePrefix="0" xfId="49">
      <alignment horizontal="left" vertical="center" indent="1"/>
    </xf>
    <xf numFmtId="165" fontId="29" fillId="0" borderId="0" applyAlignment="1" pivotButton="0" quotePrefix="0" xfId="49">
      <alignment horizontal="center" vertical="center"/>
    </xf>
    <xf numFmtId="168" fontId="29" fillId="0" borderId="0" applyAlignment="1" pivotButton="0" quotePrefix="0" xfId="49">
      <alignment horizontal="left" vertical="center" indent="1"/>
    </xf>
    <xf numFmtId="164" fontId="29" fillId="0" borderId="0" applyAlignment="1" pivotButton="0" quotePrefix="0" xfId="53">
      <alignment horizontal="center" vertical="center"/>
    </xf>
  </cellXfs>
  <cellStyles count="54">
    <cellStyle name="표준" xfId="0" builtinId="0"/>
    <cellStyle name="_x0014_" xfId="1"/>
    <cellStyle name="??&amp;O?&amp;H?_x0008__x000f__x0007_?_x0007__x0001__x0001_" xfId="2"/>
    <cellStyle name="??&amp;O?&amp;H?_x0008_??_x0007__x0001__x0001_" xfId="3"/>
    <cellStyle name="?W?_laroux" xfId="4"/>
    <cellStyle name="’E‰Y [0.00]_laroux" xfId="5"/>
    <cellStyle name="’E‰Y_laroux" xfId="6"/>
    <cellStyle name="¤@?e_TEST-1 " xfId="7"/>
    <cellStyle name="ÅëÈ­ [0]_´ëÇü±¸ " xfId="8"/>
    <cellStyle name="AeE­ [0]_INQUIRY ¿μ¾÷AßAø " xfId="9"/>
    <cellStyle name="ÅëÈ­_´ëÇü±¸ " xfId="10"/>
    <cellStyle name="AeE­_INQUIRY ¿μ¾÷AßAø " xfId="11"/>
    <cellStyle name="ALIGNMENT" xfId="12"/>
    <cellStyle name="ÄÞ¸¶ [0]_´ëÇü±¸ " xfId="13"/>
    <cellStyle name="AÞ¸¶ [0]_INQUIRY ¿μ¾÷AßAø " xfId="14"/>
    <cellStyle name="ÄÞ¸¶_´ëÇü±¸ " xfId="15"/>
    <cellStyle name="AÞ¸¶_INQUIRY ¿μ¾÷AßAø " xfId="16"/>
    <cellStyle name="Ç¥ÁØ_¿¹»ê¿äÃ» " xfId="17"/>
    <cellStyle name="C￥AØ_≫c¾÷ºIº° AN°e " xfId="18"/>
    <cellStyle name="Comma" xfId="19"/>
    <cellStyle name="Comma [0]_ SG&amp;A Bridge " xfId="20"/>
    <cellStyle name="Comma_ SG&amp;A Bridge " xfId="21"/>
    <cellStyle name="Currency" xfId="22"/>
    <cellStyle name="Currency [0]_ SG&amp;A Bridge " xfId="23"/>
    <cellStyle name="Currency_ SG&amp;A Bridge " xfId="24"/>
    <cellStyle name="Currency1" xfId="25"/>
    <cellStyle name="Grey" xfId="26"/>
    <cellStyle name="Header1" xfId="27"/>
    <cellStyle name="Header2" xfId="28"/>
    <cellStyle name="Hyperlink_NEGS" xfId="29"/>
    <cellStyle name="Input [yellow]" xfId="30"/>
    <cellStyle name="Normal - Style1" xfId="31"/>
    <cellStyle name="Normal_ SG&amp;A Bridge " xfId="32"/>
    <cellStyle name="Œ…?æ맖?e [0.00]_laroux" xfId="33"/>
    <cellStyle name="Œ…?æ맖?e_laroux" xfId="34"/>
    <cellStyle name="Percent" xfId="35"/>
    <cellStyle name="Percent [2]" xfId="36"/>
    <cellStyle name="Percent_2001년투자방향(인천BPU)1" xfId="37"/>
    <cellStyle name="뒤에 오는 하이퍼링크_2000년시공현황" xfId="38"/>
    <cellStyle name="똿뗦먛귟 [0.00]_PRODUCT DETAIL Q1" xfId="39"/>
    <cellStyle name="똿뗦먛귟_PRODUCT DETAIL Q1" xfId="40"/>
    <cellStyle name="믅됞 [0.00]_PRODUCT DETAIL Q1" xfId="41"/>
    <cellStyle name="믅됞_PRODUCT DETAIL Q1" xfId="42"/>
    <cellStyle name="뷭?_BOOKSHIP" xfId="43"/>
    <cellStyle name="쉼표 [0]" xfId="44" builtinId="6"/>
    <cellStyle name="스타일 1" xfId="45"/>
    <cellStyle name="스타일 2" xfId="46"/>
    <cellStyle name="콤마 [0]_ 대    형 " xfId="47"/>
    <cellStyle name="콤마_ 대    형 " xfId="48"/>
    <cellStyle name="표준 2" xfId="49"/>
    <cellStyle name="표준 3" xfId="50"/>
    <cellStyle name="합계" xfId="51"/>
    <cellStyle name="흁" xfId="52"/>
    <cellStyle name="통화 [0] 2" xfId="5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jpeg" Id="rId1" /><Relationship Type="http://schemas.openxmlformats.org/officeDocument/2006/relationships/image" Target="/xl/media/image5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132525</colOff>
      <row>30</row>
      <rowOff>190142</rowOff>
    </from>
    <to>
      <col>28</col>
      <colOff>47406</colOff>
      <row>34</row>
      <rowOff>240194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 rot="21390934">
          <a:off x="4505742" y="7876403"/>
          <a:ext cx="1107577" cy="111022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19050</rowOff>
    </from>
    <to>
      <col>1</col>
      <colOff>523875</colOff>
      <row>1</row>
      <rowOff>0</rowOff>
    </to>
    <pic>
      <nvPicPr>
        <cNvPr id="2" name="그림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0" y="19050"/>
          <a:ext cx="1238250" cy="342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absolute">
    <from>
      <col>7</col>
      <colOff>74544</colOff>
      <row>31</row>
      <rowOff>57978</rowOff>
    </from>
    <to>
      <col>7</col>
      <colOff>853109</colOff>
      <row>34</row>
      <rowOff>14908</rowOff>
    </to>
    <pic>
      <nvPicPr>
        <cNvPr id="3" name="그림 2"/>
        <cNvPicPr preferRelativeResize="0">
          <a:picLocks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 rot="1458222">
          <a:off x="5574196" y="8332304"/>
          <a:ext cx="778565" cy="793474"/>
        </a:xfrm>
        <a:prstGeom prst="rect">
          <avLst/>
        </a:prstGeom>
        <a:noFill/>
        <a:ln>
          <a:noFill/>
          <a:prstDash val="solid"/>
        </a:ln>
      </spPr>
    </pic>
    <clientData fLocksWithSheet="0"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19050</rowOff>
    </from>
    <to>
      <col>1</col>
      <colOff>523875</colOff>
      <row>1</row>
      <rowOff>0</rowOff>
    </to>
    <pic>
      <nvPicPr>
        <cNvPr id="2" name="그림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0" y="19050"/>
          <a:ext cx="1240321" cy="34538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absolute">
    <from>
      <col>7</col>
      <colOff>24848</colOff>
      <row>23</row>
      <rowOff>91108</rowOff>
    </from>
    <to>
      <col>7</col>
      <colOff>803413</colOff>
      <row>26</row>
      <rowOff>41413</rowOff>
    </to>
    <pic>
      <nvPicPr>
        <cNvPr id="3" name="그림 2"/>
        <cNvPicPr preferRelativeResize="0">
          <a:picLocks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 rot="21391649">
          <a:off x="5524500" y="7735956"/>
          <a:ext cx="778565" cy="786848"/>
        </a:xfrm>
        <a:prstGeom prst="rect">
          <avLst/>
        </a:prstGeom>
        <a:noFill/>
        <a:ln>
          <a:noFill/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N10"/>
  <sheetViews>
    <sheetView tabSelected="1" workbookViewId="0">
      <selection activeCell="C12" sqref="C12"/>
    </sheetView>
  </sheetViews>
  <sheetFormatPr baseColWidth="8" defaultRowHeight="16.5"/>
  <cols>
    <col width="13.75" bestFit="1" customWidth="1" style="135" min="1" max="1"/>
    <col width="22" customWidth="1" style="135" min="2" max="2"/>
    <col width="18.375" customWidth="1" style="135" min="3" max="3"/>
    <col width="20" bestFit="1" customWidth="1" style="135" min="4" max="4"/>
    <col width="13.75" customWidth="1" style="135" min="6" max="6"/>
    <col width="22" customWidth="1" style="135" min="7" max="7"/>
    <col width="18.375" customWidth="1" style="135" min="8" max="8"/>
    <col width="20" customWidth="1" style="135" min="9" max="9"/>
    <col width="13.75" customWidth="1" style="135" min="11" max="11"/>
    <col width="22" customWidth="1" style="135" min="12" max="12"/>
    <col width="18.375" customWidth="1" style="135" min="13" max="13"/>
    <col width="20" customWidth="1" style="135" min="14" max="14"/>
  </cols>
  <sheetData>
    <row r="1" ht="16.5" customHeight="1" s="135">
      <c r="A1" s="16" t="inlineStr">
        <is>
          <t>사업명</t>
        </is>
      </c>
      <c r="B1" s="93" t="inlineStr">
        <is>
          <t>전라남도청 민원인 전용주차장 건립 전기공사 보안등주 등 구매</t>
        </is>
      </c>
      <c r="C1" s="136" t="n"/>
      <c r="D1" s="137" t="n"/>
      <c r="F1" s="0">
        <f>VLOOKUP(B8,data!A:B,2,0)</f>
        <v/>
      </c>
      <c r="J1" s="0" t="inlineStr">
        <is>
          <t>청</t>
        </is>
      </c>
      <c r="K1" s="0" t="inlineStr">
        <is>
          <t>유</t>
        </is>
      </c>
    </row>
    <row r="2" ht="16.5" customHeight="1" s="135">
      <c r="A2" s="16" t="inlineStr">
        <is>
          <t>계약번호</t>
        </is>
      </c>
      <c r="B2" s="17" t="inlineStr">
        <is>
          <t>002280992-01</t>
        </is>
      </c>
      <c r="C2" s="16" t="inlineStr">
        <is>
          <t>납품요구번호</t>
        </is>
      </c>
      <c r="D2" s="17" t="inlineStr">
        <is>
          <t>R25TB00712838-00</t>
        </is>
      </c>
      <c r="J2" s="0" t="inlineStr">
        <is>
          <t>기관</t>
        </is>
      </c>
      <c r="K2" s="0" t="inlineStr">
        <is>
          <t>무</t>
        </is>
      </c>
    </row>
    <row r="3" ht="16.5" customHeight="1" s="135">
      <c r="A3" s="16" t="inlineStr">
        <is>
          <t>계약일자</t>
        </is>
      </c>
      <c r="B3" s="18" t="n">
        <v>45846</v>
      </c>
      <c r="C3" s="16" t="inlineStr">
        <is>
          <t>납품기한</t>
        </is>
      </c>
      <c r="D3" s="18" t="n">
        <v>46380</v>
      </c>
    </row>
    <row r="4" ht="16.5" customHeight="1" s="135">
      <c r="A4" s="16" t="inlineStr">
        <is>
          <t>제출일자</t>
        </is>
      </c>
      <c r="B4" s="18" t="n">
        <v>46107</v>
      </c>
      <c r="C4" s="16" t="inlineStr">
        <is>
          <t>공문번호</t>
        </is>
      </c>
      <c r="D4" s="16">
        <f>CONCATENATE("관리 제 ",TEXT(B4,"yy"),"-",TEXT(B4,"mm"),TEXT(B4,"dd"),IF(LEN(D5)&lt;2,"0"&amp;D5&amp;"호",D5&amp;"호"))</f>
        <v/>
      </c>
    </row>
    <row r="5" ht="16.5" customHeight="1" s="135">
      <c r="A5" s="16" t="inlineStr">
        <is>
          <t>계약물품수</t>
        </is>
      </c>
      <c r="B5" s="17" t="n">
        <v>3</v>
      </c>
      <c r="C5" s="16" t="inlineStr">
        <is>
          <t>공문마지막번호</t>
        </is>
      </c>
      <c r="D5" s="17" t="n">
        <v>3</v>
      </c>
    </row>
    <row r="6" ht="16.5" customHeight="1" s="135">
      <c r="A6" s="16" t="inlineStr">
        <is>
          <t>발주처</t>
        </is>
      </c>
      <c r="B6" s="19" t="inlineStr">
        <is>
          <t>전라남도</t>
        </is>
      </c>
      <c r="C6" s="16" t="inlineStr">
        <is>
          <t>수요기관번호</t>
        </is>
      </c>
      <c r="D6" s="17" t="n">
        <v>4088300513</v>
      </c>
    </row>
    <row r="7" ht="16.5" customHeight="1" s="135">
      <c r="A7" s="16" t="inlineStr">
        <is>
          <t>관청 구분</t>
        </is>
      </c>
      <c r="B7" s="17" t="inlineStr">
        <is>
          <t>청</t>
        </is>
      </c>
      <c r="C7" s="16" t="inlineStr">
        <is>
          <t>감리유무</t>
        </is>
      </c>
      <c r="D7" s="17" t="inlineStr">
        <is>
          <t>유</t>
        </is>
      </c>
      <c r="F7" s="94" t="inlineStr">
        <is>
          <t>계약모델2</t>
        </is>
      </c>
      <c r="G7" s="138" t="n"/>
      <c r="H7" s="138" t="n"/>
      <c r="I7" s="138" t="n"/>
      <c r="K7" s="94" t="inlineStr">
        <is>
          <t>계약모델3</t>
        </is>
      </c>
      <c r="L7" s="138" t="n"/>
      <c r="M7" s="138" t="n"/>
      <c r="N7" s="138" t="n"/>
    </row>
    <row r="8" ht="16.5" customHeight="1" s="135">
      <c r="A8" s="16" t="inlineStr">
        <is>
          <t>모델명</t>
        </is>
      </c>
      <c r="B8" s="17" t="inlineStr">
        <is>
          <t>MTPF-201-5</t>
        </is>
      </c>
      <c r="C8" s="16" t="inlineStr">
        <is>
          <t>단가</t>
        </is>
      </c>
      <c r="D8" s="139" t="n">
        <v>671000</v>
      </c>
      <c r="F8" s="16" t="inlineStr">
        <is>
          <t>모델명</t>
        </is>
      </c>
      <c r="G8" s="17" t="inlineStr">
        <is>
          <t>MTPF-201-5-2</t>
        </is>
      </c>
      <c r="H8" s="16" t="inlineStr">
        <is>
          <t>단가</t>
        </is>
      </c>
      <c r="I8" s="139" t="n">
        <v>722000</v>
      </c>
      <c r="K8" s="16" t="inlineStr">
        <is>
          <t>모델명</t>
        </is>
      </c>
      <c r="L8" s="17" t="inlineStr">
        <is>
          <t>MTPS-701</t>
        </is>
      </c>
      <c r="M8" s="16" t="inlineStr">
        <is>
          <t>단가</t>
        </is>
      </c>
      <c r="N8" s="139" t="n">
        <v>61000</v>
      </c>
    </row>
    <row r="9">
      <c r="A9" s="16" t="inlineStr">
        <is>
          <t>수량</t>
        </is>
      </c>
      <c r="B9" s="139" t="n">
        <v>9</v>
      </c>
      <c r="C9" s="16" t="inlineStr">
        <is>
          <t>수수료</t>
        </is>
      </c>
      <c r="D9" s="139" t="n">
        <v>47690</v>
      </c>
      <c r="F9" s="16" t="inlineStr">
        <is>
          <t>수량</t>
        </is>
      </c>
      <c r="G9" s="139" t="n">
        <v>4</v>
      </c>
      <c r="H9" s="16" t="inlineStr">
        <is>
          <t>수수료</t>
        </is>
      </c>
      <c r="I9" s="139" t="n"/>
      <c r="K9" s="16" t="inlineStr">
        <is>
          <t>수량</t>
        </is>
      </c>
      <c r="L9" s="139" t="n">
        <v>13</v>
      </c>
      <c r="M9" s="16" t="inlineStr">
        <is>
          <t>수수료</t>
        </is>
      </c>
      <c r="N9" s="139" t="n"/>
    </row>
    <row r="10">
      <c r="A10" s="16" t="inlineStr">
        <is>
          <t>현장대리인</t>
        </is>
      </c>
      <c r="B10" s="16" t="inlineStr">
        <is>
          <t>최한진</t>
        </is>
      </c>
      <c r="C10" s="16" t="inlineStr">
        <is>
          <t>계약금액</t>
        </is>
      </c>
      <c r="D10" s="59">
        <f>IF(B5&gt;=3,D8*B9+I8*G9+N8*L9,IF(B5&gt;=2,D8*B9+I8*G9,B9*D8))</f>
        <v/>
      </c>
    </row>
  </sheetData>
  <mergeCells count="3">
    <mergeCell ref="F7:I7"/>
    <mergeCell ref="B1:D1"/>
    <mergeCell ref="K7:N7"/>
  </mergeCells>
  <dataValidations count="2">
    <dataValidation sqref="D7" showDropDown="0" showInputMessage="1" showErrorMessage="1" allowBlank="1" type="list">
      <formula1>$K$1:$K$2</formula1>
    </dataValidation>
    <dataValidation sqref="B7" showDropDown="0" showInputMessage="1" showErrorMessage="1" allowBlank="1" type="list">
      <formula1>$J$1:$J$2</formula1>
    </dataValidation>
  </dataValidation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4"/>
  <sheetViews>
    <sheetView view="pageBreakPreview" topLeftCell="A4" zoomScale="115" zoomScaleNormal="100" zoomScaleSheetLayoutView="115" workbookViewId="0">
      <selection activeCell="D16" sqref="D16"/>
    </sheetView>
  </sheetViews>
  <sheetFormatPr baseColWidth="8" defaultColWidth="2.625" defaultRowHeight="20.1" customHeight="1"/>
  <cols>
    <col width="2.625" customWidth="1" style="65" min="1" max="16384"/>
  </cols>
  <sheetData>
    <row r="1" ht="20.1" customHeight="1" s="135">
      <c r="H1" s="67" t="inlineStr">
        <is>
          <t>(주) 매 그 나 텍</t>
        </is>
      </c>
    </row>
    <row r="2" ht="20.1" customHeight="1" s="135">
      <c r="AA2" s="66" t="n"/>
    </row>
    <row r="3" ht="18" customHeight="1" s="135">
      <c r="W3" s="3" t="n"/>
      <c r="X3" s="3" t="n"/>
      <c r="Y3" s="3" t="n"/>
      <c r="Z3" s="3" t="n"/>
      <c r="AA3" s="66" t="n"/>
    </row>
    <row r="4" ht="20.1" customHeight="1" s="135">
      <c r="A4" s="68" t="inlineStr">
        <is>
          <t>우:57241 전남 장성군 동화면 전자농공단지 2길 55</t>
        </is>
      </c>
      <c r="B4" s="138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69" t="inlineStr">
        <is>
          <t xml:space="preserve"> Tel 061)392-5508</t>
        </is>
      </c>
      <c r="R4" s="138" t="n"/>
      <c r="S4" s="138" t="n"/>
      <c r="T4" s="138" t="n"/>
      <c r="U4" s="138" t="n"/>
      <c r="V4" s="138" t="n"/>
      <c r="W4" s="138" t="n"/>
      <c r="X4" s="138" t="n"/>
      <c r="Y4" s="69" t="inlineStr">
        <is>
          <t>Fax 061)392-5518</t>
        </is>
      </c>
      <c r="Z4" s="138" t="n"/>
      <c r="AA4" s="138" t="n"/>
      <c r="AB4" s="138" t="n"/>
      <c r="AC4" s="138" t="n"/>
      <c r="AD4" s="138" t="n"/>
      <c r="AE4" s="138" t="n"/>
    </row>
    <row r="6" ht="20.1" customHeight="1" s="135">
      <c r="A6" s="70" t="inlineStr">
        <is>
          <t>문서번호</t>
        </is>
      </c>
      <c r="D6" s="66" t="inlineStr">
        <is>
          <t>:</t>
        </is>
      </c>
      <c r="E6" s="71">
        <f>환경설정!D4</f>
        <v/>
      </c>
      <c r="P6" s="140" t="n"/>
      <c r="Q6" s="72" t="inlineStr">
        <is>
          <t>선결</t>
        </is>
      </c>
      <c r="R6" s="82" t="n"/>
      <c r="S6" s="141" t="n"/>
      <c r="T6" s="141" t="n"/>
      <c r="U6" s="142" t="n"/>
      <c r="V6" s="82" t="n"/>
      <c r="W6" s="141" t="n"/>
      <c r="X6" s="142" t="n"/>
      <c r="Y6" s="80" t="inlineStr">
        <is>
          <t>지
시</t>
        </is>
      </c>
      <c r="Z6" s="82" t="n"/>
      <c r="AA6" s="141" t="n"/>
      <c r="AB6" s="141" t="n"/>
      <c r="AC6" s="141" t="n"/>
      <c r="AD6" s="141" t="n"/>
      <c r="AE6" s="142" t="n"/>
    </row>
    <row r="7" ht="20.1" customHeight="1" s="135">
      <c r="Q7" s="143" t="n"/>
      <c r="R7" s="144" t="n"/>
      <c r="S7" s="145" t="n"/>
      <c r="T7" s="145" t="n"/>
      <c r="U7" s="146" t="n"/>
      <c r="V7" s="144" t="n"/>
      <c r="W7" s="145" t="n"/>
      <c r="X7" s="146" t="n"/>
      <c r="Y7" s="147" t="n"/>
      <c r="Z7" s="148" t="n"/>
      <c r="AE7" s="149" t="n"/>
    </row>
    <row r="8" ht="20.1" customHeight="1" s="135">
      <c r="A8" s="70" t="inlineStr">
        <is>
          <t>시행일자</t>
        </is>
      </c>
      <c r="D8" s="66" t="inlineStr">
        <is>
          <t>:</t>
        </is>
      </c>
      <c r="E8" s="71">
        <f>CONCATENATE(TEXT(환경설정!B4,"yyyy"),".   ",TEXT(환경설정!B4,"mm"),".   ",TEXT(환경설정!B4,"dd"),".")</f>
        <v/>
      </c>
      <c r="P8" s="140" t="n"/>
      <c r="Q8" s="85" t="inlineStr">
        <is>
          <t>접
수</t>
        </is>
      </c>
      <c r="R8" s="81" t="inlineStr">
        <is>
          <t>일자</t>
        </is>
      </c>
      <c r="S8" s="150" t="n"/>
      <c r="T8" s="151" t="n"/>
      <c r="U8" s="81" t="n"/>
      <c r="V8" s="150" t="n"/>
      <c r="W8" s="150" t="n"/>
      <c r="X8" s="151" t="n"/>
      <c r="Y8" s="152" t="n"/>
      <c r="Z8" s="144" t="n"/>
      <c r="AA8" s="145" t="n"/>
      <c r="AB8" s="145" t="n"/>
      <c r="AC8" s="145" t="n"/>
      <c r="AD8" s="145" t="n"/>
      <c r="AE8" s="146" t="n"/>
    </row>
    <row r="9" ht="20.1" customHeight="1" s="135">
      <c r="A9" s="70" t="inlineStr">
        <is>
          <t>경      유</t>
        </is>
      </c>
      <c r="D9" s="66" t="inlineStr">
        <is>
          <t>:</t>
        </is>
      </c>
      <c r="E9" s="71" t="n"/>
      <c r="P9" s="140" t="n"/>
      <c r="Q9" s="153" t="n"/>
      <c r="R9" s="81" t="inlineStr">
        <is>
          <t>시간</t>
        </is>
      </c>
      <c r="S9" s="150" t="n"/>
      <c r="T9" s="151" t="n"/>
      <c r="U9" s="81" t="n"/>
      <c r="V9" s="150" t="n"/>
      <c r="W9" s="150" t="n"/>
      <c r="X9" s="151" t="n"/>
      <c r="Y9" s="86" t="inlineStr">
        <is>
          <t>결
재
ㆍ
공
람</t>
        </is>
      </c>
      <c r="Z9" s="81" t="n"/>
      <c r="AA9" s="150" t="n"/>
      <c r="AB9" s="151" t="n"/>
      <c r="AC9" s="81" t="n"/>
      <c r="AD9" s="150" t="n"/>
      <c r="AE9" s="151" t="n"/>
    </row>
    <row r="10" ht="20.1" customHeight="1" s="135">
      <c r="Q10" s="143" t="n"/>
      <c r="R10" s="81" t="inlineStr">
        <is>
          <t>번호</t>
        </is>
      </c>
      <c r="S10" s="150" t="n"/>
      <c r="T10" s="151" t="n"/>
      <c r="U10" s="81" t="n"/>
      <c r="V10" s="150" t="n"/>
      <c r="W10" s="150" t="n"/>
      <c r="X10" s="151" t="n"/>
      <c r="Y10" s="147" t="n"/>
      <c r="Z10" s="81" t="n"/>
      <c r="AA10" s="150" t="n"/>
      <c r="AB10" s="151" t="n"/>
      <c r="AC10" s="81" t="n"/>
      <c r="AD10" s="150" t="n"/>
      <c r="AE10" s="151" t="n"/>
    </row>
    <row r="11" ht="20.1" customHeight="1" s="135">
      <c r="A11" s="70" t="inlineStr">
        <is>
          <t>수   신</t>
        </is>
      </c>
      <c r="D11" s="66" t="inlineStr">
        <is>
          <t>:</t>
        </is>
      </c>
      <c r="E11" s="71">
        <f>환경설정!B6</f>
        <v/>
      </c>
      <c r="P11" s="140" t="n"/>
      <c r="Q11" s="73" t="inlineStr">
        <is>
          <t>처리과</t>
        </is>
      </c>
      <c r="R11" s="150" t="n"/>
      <c r="S11" s="150" t="n"/>
      <c r="T11" s="151" t="n"/>
      <c r="U11" s="81" t="n"/>
      <c r="V11" s="150" t="n"/>
      <c r="W11" s="150" t="n"/>
      <c r="X11" s="151" t="n"/>
      <c r="Y11" s="147" t="n"/>
      <c r="Z11" s="81" t="n"/>
      <c r="AA11" s="150" t="n"/>
      <c r="AB11" s="151" t="n"/>
      <c r="AC11" s="81" t="n"/>
      <c r="AD11" s="150" t="n"/>
      <c r="AE11" s="151" t="n"/>
    </row>
    <row r="12" ht="20.1" customHeight="1" s="135">
      <c r="E12" s="65" t="n"/>
      <c r="Q12" s="73" t="inlineStr">
        <is>
          <t>담당자</t>
        </is>
      </c>
      <c r="R12" s="150" t="n"/>
      <c r="S12" s="150" t="n"/>
      <c r="T12" s="151" t="n"/>
      <c r="U12" s="81" t="n"/>
      <c r="V12" s="150" t="n"/>
      <c r="W12" s="150" t="n"/>
      <c r="X12" s="151" t="n"/>
      <c r="Y12" s="152" t="n"/>
      <c r="Z12" s="81" t="n"/>
      <c r="AA12" s="150" t="n"/>
      <c r="AB12" s="151" t="n"/>
      <c r="AC12" s="81" t="n"/>
      <c r="AD12" s="150" t="n"/>
      <c r="AE12" s="151" t="n"/>
    </row>
    <row r="13" ht="20.1" customHeight="1" s="135">
      <c r="A13" s="70" t="inlineStr">
        <is>
          <t>참   조</t>
        </is>
      </c>
      <c r="D13" s="66" t="inlineStr">
        <is>
          <t>:</t>
        </is>
      </c>
      <c r="E13" s="71" t="n"/>
      <c r="P13" s="140" t="n"/>
      <c r="Q13" s="92" t="inlineStr">
        <is>
          <t>심사자</t>
        </is>
      </c>
      <c r="R13" s="154" t="n"/>
      <c r="S13" s="154" t="n"/>
      <c r="T13" s="155" t="n"/>
      <c r="U13" s="87" t="n"/>
      <c r="V13" s="154" t="n"/>
      <c r="W13" s="154" t="n"/>
      <c r="X13" s="155" t="n"/>
      <c r="Y13" s="87" t="inlineStr">
        <is>
          <t>심사일</t>
        </is>
      </c>
      <c r="Z13" s="154" t="n"/>
      <c r="AA13" s="154" t="n"/>
      <c r="AB13" s="155" t="n"/>
      <c r="AC13" s="87" t="n"/>
      <c r="AD13" s="154" t="n"/>
      <c r="AE13" s="155" t="n"/>
    </row>
    <row r="15" ht="39" customHeight="1" s="135">
      <c r="A15" s="89" t="inlineStr">
        <is>
          <t>제   목</t>
        </is>
      </c>
      <c r="B15" s="138" t="n"/>
      <c r="C15" s="138" t="n"/>
      <c r="D15" s="4" t="inlineStr">
        <is>
          <t>:</t>
        </is>
      </c>
      <c r="E15" s="90">
        <f>CONCATENATE(" '",환경설정!B1,"' ","건에 대한 
 착수계 제출의 건. ")</f>
        <v/>
      </c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38" t="n"/>
      <c r="Q15" s="138" t="n"/>
      <c r="R15" s="138" t="n"/>
      <c r="S15" s="138" t="n"/>
      <c r="T15" s="138" t="n"/>
      <c r="U15" s="138" t="n"/>
      <c r="V15" s="138" t="n"/>
      <c r="W15" s="138" t="n"/>
      <c r="X15" s="138" t="n"/>
      <c r="Y15" s="138" t="n"/>
      <c r="Z15" s="138" t="n"/>
      <c r="AA15" s="138" t="n"/>
      <c r="AB15" s="138" t="n"/>
      <c r="AC15" s="138" t="n"/>
      <c r="AD15" s="138" t="n"/>
      <c r="AE15" s="138" t="n"/>
    </row>
    <row r="17" ht="20.1" customFormat="1" customHeight="1" s="64">
      <c r="D17" s="65">
        <f>CONCATENATE("1. 귀 ",환경설정!B7,"의 무궁한 발전을 기원 합니다.")</f>
        <v/>
      </c>
    </row>
    <row r="18" ht="20.1" customFormat="1" customHeight="1" s="64"/>
    <row r="19" ht="20.1" customFormat="1" customHeight="1" s="64">
      <c r="D19" s="65">
        <f>CONCATENATE("2.납품요구번호 : 제 ",환경설정!D2," 호")</f>
        <v/>
      </c>
    </row>
    <row r="20" ht="20.1" customFormat="1" customHeight="1" s="64"/>
    <row r="21" ht="20.1" customFormat="1" customHeight="1" s="64">
      <c r="D21" s="65">
        <f>CONCATENATE("3. 사 업 명 : ",환경설정!B1)</f>
        <v/>
      </c>
    </row>
    <row r="22" ht="20.1" customFormat="1" customHeight="1" s="64"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</row>
    <row r="23" ht="20.1" customFormat="1" customHeight="1" s="64">
      <c r="D23" s="65" t="inlineStr">
        <is>
          <t>4. 위 계약건과 관련하여 착수계를  제출 하오니 승인하여 주시기 바랍니다.</t>
        </is>
      </c>
    </row>
    <row r="24" ht="20.1" customFormat="1" customHeight="1" s="64">
      <c r="A24" s="64" t="n"/>
    </row>
    <row r="25" ht="20.1" customFormat="1" customHeight="1" s="64">
      <c r="A25" s="64" t="n"/>
    </row>
    <row r="26" ht="20.1" customFormat="1" customHeight="1" s="64">
      <c r="A26" s="64" t="n"/>
    </row>
    <row r="27" ht="20.1" customFormat="1" customHeight="1" s="64"/>
    <row r="28" ht="20.1" customFormat="1" customHeight="1" s="64"/>
    <row r="29" ht="20.1" customFormat="1" customHeight="1" s="64">
      <c r="D29" s="65">
        <f>CONCATENATE("별첨. 착수계 …………",IF(환경설정!D7="유",3,2),"부.           끝.")</f>
        <v/>
      </c>
    </row>
    <row r="30" ht="20.1" customFormat="1" customHeight="1" s="64">
      <c r="A30" s="64" t="n"/>
    </row>
    <row r="31" ht="20.1" customFormat="1" customHeight="1" s="64">
      <c r="B31" s="15" t="n"/>
      <c r="C31" s="15" t="n"/>
      <c r="D31" s="15" t="n"/>
      <c r="E31" s="15" t="n"/>
      <c r="F31" s="15" t="n"/>
      <c r="G31" s="15" t="n"/>
      <c r="H31" s="15" t="n"/>
      <c r="I31" s="15" t="n"/>
      <c r="J31" s="62" t="n"/>
      <c r="N31" s="62" t="n"/>
      <c r="T31" s="63" t="n"/>
      <c r="X31" s="63" t="n"/>
      <c r="AB31" s="62" t="n"/>
      <c r="AD31" s="62" t="n"/>
    </row>
    <row r="32" ht="20.1" customHeight="1" s="135">
      <c r="B32" s="15" t="n"/>
      <c r="C32" s="15" t="n"/>
      <c r="D32" s="15" t="n"/>
      <c r="E32" s="15" t="n"/>
      <c r="F32" s="15" t="n"/>
      <c r="G32" s="15" t="n"/>
      <c r="H32" s="15" t="n"/>
      <c r="I32" s="15" t="n"/>
      <c r="J32" s="62" t="n"/>
      <c r="N32" s="62" t="n"/>
      <c r="T32" s="63" t="n"/>
      <c r="X32" s="63" t="n"/>
      <c r="AB32" s="62" t="n"/>
      <c r="AD32" s="62" t="n"/>
    </row>
    <row r="34" ht="24.95" customHeight="1" s="135">
      <c r="E34" s="61" t="inlineStr">
        <is>
          <t>(주)매 그 나 텍 대표이사 박  선  후</t>
        </is>
      </c>
    </row>
  </sheetData>
  <mergeCells count="70">
    <mergeCell ref="H1:V3"/>
    <mergeCell ref="A26:AE26"/>
    <mergeCell ref="Y13:AB13"/>
    <mergeCell ref="E12:O12"/>
    <mergeCell ref="J31:M31"/>
    <mergeCell ref="T31:W31"/>
    <mergeCell ref="U8:X8"/>
    <mergeCell ref="Y9:Y12"/>
    <mergeCell ref="E13:P13"/>
    <mergeCell ref="Q11:T11"/>
    <mergeCell ref="Z12:AB12"/>
    <mergeCell ref="A4:P4"/>
    <mergeCell ref="E9:P9"/>
    <mergeCell ref="AB32:AC32"/>
    <mergeCell ref="R6:U7"/>
    <mergeCell ref="X31:AA31"/>
    <mergeCell ref="U10:X10"/>
    <mergeCell ref="E6:P6"/>
    <mergeCell ref="AC10:AE10"/>
    <mergeCell ref="E15:AE15"/>
    <mergeCell ref="Q13:T13"/>
    <mergeCell ref="E11:P11"/>
    <mergeCell ref="D23:AB23"/>
    <mergeCell ref="AC9:AE9"/>
    <mergeCell ref="A8:C8"/>
    <mergeCell ref="U9:X9"/>
    <mergeCell ref="Y4:AE4"/>
    <mergeCell ref="D29:AB29"/>
    <mergeCell ref="Q12:T12"/>
    <mergeCell ref="AB31:AC31"/>
    <mergeCell ref="Q6:Q7"/>
    <mergeCell ref="U12:X12"/>
    <mergeCell ref="AD31:AE31"/>
    <mergeCell ref="N31:S31"/>
    <mergeCell ref="T32:W32"/>
    <mergeCell ref="A30:AE30"/>
    <mergeCell ref="Q4:X4"/>
    <mergeCell ref="X32:AA32"/>
    <mergeCell ref="D19:AB19"/>
    <mergeCell ref="A13:C13"/>
    <mergeCell ref="AC11:AE11"/>
    <mergeCell ref="Z10:AB10"/>
    <mergeCell ref="V6:X7"/>
    <mergeCell ref="A24:AE24"/>
    <mergeCell ref="Z9:AB9"/>
    <mergeCell ref="E34:AA34"/>
    <mergeCell ref="A9:C9"/>
    <mergeCell ref="R9:T9"/>
    <mergeCell ref="U11:X11"/>
    <mergeCell ref="R8:T8"/>
    <mergeCell ref="A15:C15"/>
    <mergeCell ref="AD32:AE32"/>
    <mergeCell ref="D21:AB21"/>
    <mergeCell ref="Z6:AE8"/>
    <mergeCell ref="Z11:AB11"/>
    <mergeCell ref="Q8:Q10"/>
    <mergeCell ref="A11:C11"/>
    <mergeCell ref="AA3:AE3"/>
    <mergeCell ref="N32:S32"/>
    <mergeCell ref="A25:AE25"/>
    <mergeCell ref="R10:T10"/>
    <mergeCell ref="AC13:AE13"/>
    <mergeCell ref="U13:X13"/>
    <mergeCell ref="A6:C6"/>
    <mergeCell ref="AA2:AE2"/>
    <mergeCell ref="D17:AB17"/>
    <mergeCell ref="E8:P8"/>
    <mergeCell ref="AC12:AE12"/>
    <mergeCell ref="J32:M32"/>
    <mergeCell ref="Y6:Y8"/>
  </mergeCells>
  <printOptions horizontalCentered="1" verticalCentered="1"/>
  <pageMargins left="0.7086614173228351" right="0.7086614173228351" top="0.73" bottom="0.7" header="0.511811023622047" footer="0.511811023622047"/>
  <pageSetup orientation="portrait" paperSize="9" scale="9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view="pageBreakPreview" zoomScale="115" zoomScaleNormal="100" zoomScaleSheetLayoutView="115" workbookViewId="0">
      <selection activeCell="D16" sqref="D16"/>
    </sheetView>
  </sheetViews>
  <sheetFormatPr baseColWidth="8" defaultRowHeight="16.5"/>
  <cols>
    <col width="10.625" customWidth="1" style="5" min="1" max="1"/>
    <col width="7.25" customWidth="1" style="5" min="2" max="2"/>
    <col width="10.75" customWidth="1" style="5" min="3" max="3"/>
    <col width="8.75" customWidth="1" style="5" min="4" max="4"/>
    <col width="18.25" customWidth="1" style="5" min="5" max="5"/>
    <col width="1.625" customWidth="1" style="5" min="6" max="6"/>
    <col width="14.75" customWidth="1" style="5" min="7" max="7"/>
    <col width="16.5" customWidth="1" style="5" min="8" max="8"/>
    <col width="9" customWidth="1" style="5" min="9" max="16384"/>
  </cols>
  <sheetData>
    <row r="1" ht="28.5" customHeight="1" s="135">
      <c r="C1" s="113" t="inlineStr">
        <is>
          <t>㈜매그나텍</t>
        </is>
      </c>
    </row>
    <row r="2" ht="18" customHeight="1" s="135">
      <c r="C2" s="114" t="inlineStr">
        <is>
          <t>전남 장성군 동화면 전자농공단지2길 55</t>
        </is>
      </c>
    </row>
    <row r="3" ht="18" customHeight="1" s="135">
      <c r="C3" s="114" t="inlineStr">
        <is>
          <t>Telephone : 061-392-5508  Fax : 061-392-5518</t>
        </is>
      </c>
    </row>
    <row r="5" ht="39" customHeight="1" s="135">
      <c r="A5" s="115" t="inlineStr">
        <is>
          <t>착     수     계</t>
        </is>
      </c>
    </row>
    <row r="6" ht="12" customHeight="1" s="135"/>
    <row r="7" ht="20.25" customHeight="1" s="135">
      <c r="E7" s="116" t="n"/>
    </row>
    <row r="8">
      <c r="G8" s="96" t="n"/>
      <c r="H8" s="96" t="n"/>
    </row>
    <row r="9" ht="30.75" customHeight="1" s="135">
      <c r="A9" s="105" t="inlineStr">
        <is>
          <t>공    사    명  :</t>
        </is>
      </c>
      <c r="B9" s="137" t="n"/>
      <c r="C9" s="110">
        <f>환경설정!B1</f>
        <v/>
      </c>
      <c r="D9" s="136" t="n"/>
      <c r="E9" s="136" t="n"/>
      <c r="F9" s="136" t="n"/>
      <c r="G9" s="136" t="n"/>
      <c r="H9" s="137" t="n"/>
    </row>
    <row r="10" ht="30.75" customHeight="1" s="135">
      <c r="A10" s="105" t="inlineStr">
        <is>
          <t>계 약   금 액  :</t>
        </is>
      </c>
      <c r="B10" s="137" t="n"/>
      <c r="C10" s="156">
        <f>G10</f>
        <v/>
      </c>
      <c r="D10" s="136" t="n"/>
      <c r="E10" s="137" t="n"/>
      <c r="F10" s="6" t="inlineStr">
        <is>
          <t>(</t>
        </is>
      </c>
      <c r="G10" s="157">
        <f>환경설정!D10</f>
        <v/>
      </c>
      <c r="H10" s="8" t="inlineStr">
        <is>
          <t>:  부가세포함  )</t>
        </is>
      </c>
    </row>
    <row r="11" ht="30.75" customHeight="1" s="135">
      <c r="A11" s="105" t="inlineStr">
        <is>
          <t>계 약  년월일 :</t>
        </is>
      </c>
      <c r="B11" s="137" t="n"/>
      <c r="C11" s="158">
        <f>환경설정!B3</f>
        <v/>
      </c>
      <c r="D11" s="136" t="n"/>
      <c r="E11" s="136" t="n"/>
      <c r="F11" s="136" t="n"/>
      <c r="G11" s="136" t="n"/>
      <c r="H11" s="137" t="n"/>
    </row>
    <row r="12" ht="30.75" customHeight="1" s="135">
      <c r="A12" s="105" t="inlineStr">
        <is>
          <t>착 수  년월일 :</t>
        </is>
      </c>
      <c r="B12" s="137" t="n"/>
      <c r="C12" s="158">
        <f>환경설정!B4</f>
        <v/>
      </c>
      <c r="D12" s="136" t="n"/>
      <c r="E12" s="136" t="n"/>
      <c r="F12" s="136" t="n"/>
      <c r="G12" s="136" t="n"/>
      <c r="H12" s="137" t="n"/>
      <c r="J12" s="105" t="inlineStr">
        <is>
          <t>납 품  년월일 :</t>
        </is>
      </c>
      <c r="K12" s="137" t="n"/>
      <c r="L12" s="158" t="n">
        <v>44711</v>
      </c>
      <c r="M12" s="136" t="n"/>
      <c r="N12" s="136" t="n"/>
      <c r="O12" s="136" t="n"/>
      <c r="P12" s="136" t="n"/>
      <c r="Q12" s="137" t="n"/>
    </row>
    <row r="13" ht="30.75" customHeight="1" s="135">
      <c r="A13" s="105" t="inlineStr">
        <is>
          <t>납 품  년월일 :</t>
        </is>
      </c>
      <c r="B13" s="137" t="n"/>
      <c r="C13" s="158">
        <f>환경설정!D3</f>
        <v/>
      </c>
      <c r="D13" s="136" t="n"/>
      <c r="E13" s="136" t="n"/>
      <c r="F13" s="136" t="n"/>
      <c r="G13" s="136" t="n"/>
      <c r="H13" s="137" t="n"/>
    </row>
    <row r="14" ht="30.75" customHeight="1" s="135">
      <c r="A14" s="119" t="n"/>
      <c r="B14" s="119" t="n"/>
      <c r="C14" s="159" t="n"/>
      <c r="D14" s="159" t="n"/>
      <c r="E14" s="159" t="n"/>
      <c r="F14" s="159" t="n"/>
      <c r="G14" s="159" t="n"/>
      <c r="H14" s="159" t="n"/>
    </row>
    <row r="15" ht="20.1" customHeight="1" s="135">
      <c r="A15" s="96" t="inlineStr">
        <is>
          <t>상기 용역에 대해 위와 같이 착수하였기에 착수계를 제출합니다.</t>
        </is>
      </c>
    </row>
    <row r="16" ht="21.75" customHeight="1" s="135">
      <c r="A16" s="96" t="n"/>
      <c r="B16" s="96" t="n"/>
      <c r="C16" s="96" t="n"/>
      <c r="D16" s="96" t="n"/>
      <c r="E16" s="96" t="n"/>
      <c r="F16" s="96" t="n"/>
      <c r="G16" s="96" t="n"/>
      <c r="H16" s="96" t="n"/>
    </row>
    <row r="17" ht="15" customHeight="1" s="135">
      <c r="A17" s="96" t="n"/>
      <c r="B17" s="96" t="inlineStr">
        <is>
          <t>붙임.</t>
        </is>
      </c>
      <c r="C17" s="99" t="inlineStr">
        <is>
          <t>1. 사업자등록증</t>
        </is>
      </c>
      <c r="G17" s="96" t="n"/>
      <c r="H17" s="96" t="n"/>
    </row>
    <row r="18" ht="15" customHeight="1" s="135">
      <c r="A18" s="96" t="n"/>
      <c r="B18" s="96" t="n"/>
      <c r="C18" s="99" t="inlineStr">
        <is>
          <t>2. 국세, 지방세 납세증명서</t>
        </is>
      </c>
      <c r="G18" s="96" t="n"/>
      <c r="H18" s="96" t="n"/>
    </row>
    <row r="19" ht="15" customHeight="1" s="135">
      <c r="A19" s="96" t="n"/>
      <c r="B19" s="96" t="n"/>
      <c r="C19" s="99" t="inlineStr">
        <is>
          <t>3. 공장등록증명서</t>
        </is>
      </c>
      <c r="G19" s="96" t="n"/>
      <c r="H19" s="96" t="n"/>
    </row>
    <row r="20" ht="15" customHeight="1" s="135">
      <c r="A20" s="96" t="n"/>
      <c r="B20" s="96" t="n"/>
      <c r="C20" s="99" t="inlineStr">
        <is>
          <t>4. 직접생산확인증명서</t>
        </is>
      </c>
      <c r="G20" s="96" t="n"/>
      <c r="H20" s="96" t="n"/>
    </row>
    <row r="21" ht="15" customHeight="1" s="135">
      <c r="A21" s="96" t="n"/>
      <c r="B21" s="96" t="n"/>
      <c r="C21" s="99" t="inlineStr">
        <is>
          <t>5. 현장대리인계</t>
        </is>
      </c>
      <c r="G21" s="96" t="n"/>
      <c r="H21" s="96" t="n"/>
    </row>
    <row r="22" ht="15" customHeight="1" s="135">
      <c r="A22" s="96" t="n"/>
      <c r="B22" s="96" t="n"/>
      <c r="C22" s="99" t="inlineStr">
        <is>
          <t>6. 재직증명서</t>
        </is>
      </c>
      <c r="G22" s="96" t="n"/>
      <c r="H22" s="96" t="n"/>
    </row>
    <row r="23" ht="15" customHeight="1" s="135">
      <c r="A23" s="96" t="n"/>
      <c r="B23" s="96" t="n"/>
      <c r="C23" s="99" t="inlineStr">
        <is>
          <t>7. 물품계약서</t>
        </is>
      </c>
      <c r="G23" s="96" t="n"/>
      <c r="H23" s="96" t="n"/>
    </row>
    <row r="24" ht="15" customHeight="1" s="135">
      <c r="A24" s="96" t="n"/>
      <c r="B24" s="96" t="n"/>
      <c r="C24" s="99" t="inlineStr">
        <is>
          <t>8. 예정공정표</t>
        </is>
      </c>
      <c r="D24" s="99" t="n"/>
      <c r="E24" s="99" t="n"/>
      <c r="F24" s="99" t="n"/>
      <c r="G24" s="96" t="n"/>
      <c r="H24" s="96" t="n"/>
    </row>
    <row r="25" ht="15" customHeight="1" s="135">
      <c r="A25" s="96" t="n"/>
      <c r="B25" s="96" t="n"/>
      <c r="C25" s="99" t="inlineStr">
        <is>
          <t>9. 납품내역서</t>
        </is>
      </c>
      <c r="D25" s="99" t="n"/>
      <c r="E25" s="99" t="n"/>
      <c r="F25" s="99" t="n"/>
      <c r="G25" s="96" t="n"/>
      <c r="H25" s="96" t="n"/>
    </row>
    <row r="26" ht="15" customHeight="1" s="135">
      <c r="A26" s="96" t="n"/>
      <c r="B26" s="96" t="n"/>
      <c r="C26" s="99" t="inlineStr">
        <is>
          <t>10. 제작도면</t>
        </is>
      </c>
      <c r="D26" s="99" t="n"/>
      <c r="E26" s="99" t="n"/>
      <c r="F26" s="99" t="n"/>
      <c r="G26" s="96" t="n"/>
      <c r="H26" s="96" t="n"/>
    </row>
    <row r="27">
      <c r="B27" s="28" t="n"/>
      <c r="C27" s="28" t="n"/>
      <c r="D27" s="28" t="n"/>
      <c r="E27" s="28" t="n"/>
      <c r="H27" s="31" t="n"/>
    </row>
    <row r="28" ht="24.95" customHeight="1" s="135">
      <c r="A28" s="160">
        <f>C12</f>
        <v/>
      </c>
    </row>
    <row r="29" ht="24.95" customHeight="1" s="135">
      <c r="A29" s="160" t="n"/>
      <c r="B29" s="96" t="n"/>
      <c r="C29" s="96" t="n"/>
      <c r="D29" s="96" t="n"/>
      <c r="E29" s="96" t="n"/>
      <c r="F29" s="96" t="n"/>
      <c r="G29" s="96" t="n"/>
      <c r="H29" s="96" t="n"/>
    </row>
    <row r="30" ht="17.25" customHeight="1" s="135">
      <c r="A30" s="9" t="n"/>
      <c r="B30" s="9" t="n"/>
      <c r="C30" s="9" t="n"/>
      <c r="D30" s="9" t="n"/>
      <c r="E30" s="9" t="n"/>
      <c r="F30" s="29" t="n"/>
      <c r="G30" s="29" t="n"/>
      <c r="H30" s="29" t="n"/>
    </row>
    <row r="31" ht="24.95" customHeight="1" s="135">
      <c r="A31" s="9" t="n"/>
      <c r="B31" s="9" t="n"/>
      <c r="C31" s="9" t="n"/>
      <c r="D31" s="9" t="n"/>
      <c r="E31" s="97" t="inlineStr">
        <is>
          <t>전남 장성군 동화면 전자농공단지2길 55</t>
        </is>
      </c>
    </row>
    <row r="32" ht="24.95" customHeight="1" s="135">
      <c r="A32" s="9" t="n"/>
      <c r="B32" s="9" t="n"/>
      <c r="C32" s="9" t="n"/>
      <c r="D32" s="9" t="n"/>
      <c r="E32" s="97" t="inlineStr">
        <is>
          <t>㈜ 매그나텍</t>
        </is>
      </c>
    </row>
    <row r="33" ht="24.95" customHeight="1" s="135">
      <c r="A33" s="9" t="n"/>
      <c r="B33" s="9" t="n"/>
      <c r="C33" s="9" t="n"/>
      <c r="D33" s="9" t="n"/>
      <c r="E33" s="97" t="inlineStr">
        <is>
          <t>대       표      박     선     후    (인)</t>
        </is>
      </c>
    </row>
    <row r="34">
      <c r="E34" s="30" t="n"/>
    </row>
    <row r="35" ht="36" customHeight="1" s="135">
      <c r="A35" s="98">
        <f>환경설정!B6&amp;"    귀하"</f>
        <v/>
      </c>
    </row>
  </sheetData>
  <mergeCells count="30">
    <mergeCell ref="C23:F23"/>
    <mergeCell ref="C17:F17"/>
    <mergeCell ref="A15:H15"/>
    <mergeCell ref="A11:B11"/>
    <mergeCell ref="C9:H9"/>
    <mergeCell ref="E7:H7"/>
    <mergeCell ref="C12:H12"/>
    <mergeCell ref="C19:F19"/>
    <mergeCell ref="E32:H32"/>
    <mergeCell ref="C11:H11"/>
    <mergeCell ref="C18:F18"/>
    <mergeCell ref="C2:H2"/>
    <mergeCell ref="E33:H33"/>
    <mergeCell ref="A12:B12"/>
    <mergeCell ref="C13:H13"/>
    <mergeCell ref="C20:F20"/>
    <mergeCell ref="C3:H3"/>
    <mergeCell ref="A5:H5"/>
    <mergeCell ref="C22:F22"/>
    <mergeCell ref="C10:E10"/>
    <mergeCell ref="J12:K12"/>
    <mergeCell ref="E31:H31"/>
    <mergeCell ref="A35:H35"/>
    <mergeCell ref="A10:B10"/>
    <mergeCell ref="A28:H28"/>
    <mergeCell ref="C21:F21"/>
    <mergeCell ref="A13:B13"/>
    <mergeCell ref="A9:B9"/>
    <mergeCell ref="L12:Q12"/>
    <mergeCell ref="C1:H1"/>
  </mergeCells>
  <printOptions horizontalCentered="1" verticalCentered="1"/>
  <pageMargins left="0.3937007874015748" right="0.3149606299212598" top="0.1968503937007874" bottom="0.1968503937007874" header="0.5118110236220472" footer="0.5118110236220472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view="pageBreakPreview" topLeftCell="A5" zoomScale="115" zoomScaleNormal="100" zoomScaleSheetLayoutView="115" workbookViewId="0">
      <selection activeCell="D16" sqref="D16"/>
    </sheetView>
  </sheetViews>
  <sheetFormatPr baseColWidth="8" defaultRowHeight="16.5"/>
  <cols>
    <col width="10.625" customWidth="1" style="5" min="1" max="1"/>
    <col width="7.25" customWidth="1" style="5" min="2" max="2"/>
    <col width="10.75" customWidth="1" style="5" min="3" max="3"/>
    <col width="8.75" customWidth="1" style="5" min="4" max="4"/>
    <col width="18.25" customWidth="1" style="5" min="5" max="5"/>
    <col width="1.625" customWidth="1" style="5" min="6" max="6"/>
    <col width="14.75" customWidth="1" style="5" min="7" max="7"/>
    <col width="16.5" customWidth="1" style="5" min="8" max="8"/>
    <col width="9" customWidth="1" style="5" min="9" max="14"/>
    <col width="17.125" bestFit="1" customWidth="1" style="5" min="15" max="15"/>
    <col width="11.125" bestFit="1" customWidth="1" style="5" min="16" max="16"/>
    <col width="9" customWidth="1" style="5" min="17" max="16384"/>
  </cols>
  <sheetData>
    <row r="1" ht="28.5" customHeight="1" s="135">
      <c r="C1" s="113" t="inlineStr">
        <is>
          <t>㈜매그나텍</t>
        </is>
      </c>
    </row>
    <row r="2" ht="18" customHeight="1" s="135">
      <c r="C2" s="114" t="inlineStr">
        <is>
          <t>전남 장성군 동화면 전자농공단지2길 55</t>
        </is>
      </c>
    </row>
    <row r="3" ht="18" customHeight="1" s="135">
      <c r="C3" s="114" t="inlineStr">
        <is>
          <t>Telephone : 061-392-5508  Fax : 061-392-5518</t>
        </is>
      </c>
    </row>
    <row r="5" ht="39" customHeight="1" s="135">
      <c r="A5" s="115" t="inlineStr">
        <is>
          <t>현  장  대  리  인  계</t>
        </is>
      </c>
    </row>
    <row r="6" ht="12" customHeight="1" s="135"/>
    <row r="7" ht="20.25" customHeight="1" s="135">
      <c r="E7" s="116" t="n"/>
    </row>
    <row r="8">
      <c r="G8" s="96" t="n"/>
      <c r="H8" s="96" t="n"/>
    </row>
    <row r="9" ht="30.75" customHeight="1" s="135">
      <c r="A9" s="119" t="inlineStr">
        <is>
          <t>공    사    명  :</t>
        </is>
      </c>
      <c r="C9" s="122">
        <f>환경설정!B1</f>
        <v/>
      </c>
    </row>
    <row r="10" ht="30.75" customHeight="1" s="135">
      <c r="A10" s="119" t="n"/>
      <c r="C10" s="161" t="n"/>
      <c r="F10" s="116" t="n"/>
      <c r="G10" s="162" t="n"/>
    </row>
    <row r="11" ht="20.1" customHeight="1" s="135">
      <c r="A11" s="96" t="inlineStr">
        <is>
          <t>상기 용역에 대해 아래와 같이 현장대리인을 선정하여 제출합니다.</t>
        </is>
      </c>
    </row>
    <row r="12" ht="30.75" customHeight="1" s="135">
      <c r="A12" s="121" t="n"/>
      <c r="J12" s="105" t="inlineStr">
        <is>
          <t>납 품  년월일 :</t>
        </is>
      </c>
      <c r="K12" s="137" t="n"/>
      <c r="L12" s="158" t="n">
        <v>44711</v>
      </c>
      <c r="M12" s="136" t="n"/>
      <c r="N12" s="136" t="n"/>
      <c r="O12" s="136" t="n"/>
      <c r="P12" s="136" t="n"/>
      <c r="Q12" s="137" t="n"/>
    </row>
    <row r="13" ht="30.75" customHeight="1" s="135">
      <c r="A13" s="121" t="inlineStr">
        <is>
          <t>-     아    래     -</t>
        </is>
      </c>
    </row>
    <row r="14" ht="30.75" customHeight="1" s="135">
      <c r="A14" s="119" t="n"/>
      <c r="B14" s="119" t="n"/>
      <c r="C14" s="159" t="n"/>
      <c r="D14" s="159" t="n"/>
      <c r="E14" s="159" t="n"/>
      <c r="F14" s="159" t="n"/>
      <c r="G14" s="159" t="n"/>
      <c r="H14" s="159" t="n"/>
    </row>
    <row r="15" ht="24.95" customFormat="1" customHeight="1" s="9">
      <c r="A15" s="118" t="inlineStr">
        <is>
          <t xml:space="preserve">    현  장  대  리  인</t>
        </is>
      </c>
    </row>
    <row r="16" ht="24.95" customHeight="1" s="135">
      <c r="A16" s="96" t="n"/>
      <c r="B16" s="96" t="n"/>
      <c r="C16" s="96" t="n"/>
      <c r="D16" s="96" t="n"/>
      <c r="E16" s="96" t="n"/>
      <c r="F16" s="96" t="n"/>
      <c r="G16" s="96" t="n"/>
      <c r="H16" s="96" t="n"/>
      <c r="L16" s="5" t="inlineStr">
        <is>
          <t>이름</t>
        </is>
      </c>
      <c r="M16" s="5" t="inlineStr">
        <is>
          <t>직급</t>
        </is>
      </c>
      <c r="N16" s="5" t="inlineStr">
        <is>
          <t>주소</t>
        </is>
      </c>
      <c r="O16" s="5" t="inlineStr">
        <is>
          <t>생년월일</t>
        </is>
      </c>
      <c r="P16" s="5" t="inlineStr">
        <is>
          <t>입사일</t>
        </is>
      </c>
    </row>
    <row r="17" ht="39.95" customHeight="1" s="135">
      <c r="A17" s="96" t="n"/>
      <c r="B17" s="96" t="inlineStr">
        <is>
          <t>성  명 / 직  급   :</t>
        </is>
      </c>
      <c r="D17" s="96">
        <f>CONCATENATE(VLOOKUP(환경설정!B10,현장대리인계!K17:M19,2,0)," / ",VLOOKUP(환경설정!B10,현장대리인계!K17:M19,3,0))</f>
        <v/>
      </c>
      <c r="H17" s="96" t="n"/>
      <c r="K17" s="5" t="inlineStr">
        <is>
          <t>김정수</t>
        </is>
      </c>
      <c r="L17" s="5" t="inlineStr">
        <is>
          <t>김  정  수</t>
        </is>
      </c>
      <c r="M17" s="5" t="inlineStr">
        <is>
          <t>차 장</t>
        </is>
      </c>
      <c r="N17" s="5" t="inlineStr">
        <is>
          <t>광주광역시 광산구 사암로215번길 16</t>
        </is>
      </c>
      <c r="O17" s="32" t="n">
        <v>32933</v>
      </c>
      <c r="P17" s="33" t="n">
        <v>43052</v>
      </c>
    </row>
    <row r="18" ht="39.95" customHeight="1" s="135">
      <c r="A18" s="96" t="n"/>
      <c r="B18" s="96" t="inlineStr">
        <is>
          <t>주             소   :</t>
        </is>
      </c>
      <c r="D18" s="96">
        <f>VLOOKUP(환경설정!B10,현장대리인계!K17:P19,4,0)</f>
        <v/>
      </c>
      <c r="H18" s="96" t="n"/>
      <c r="K18" s="5" t="inlineStr">
        <is>
          <t>김선중</t>
        </is>
      </c>
      <c r="L18" s="5" t="inlineStr">
        <is>
          <t>김  선  중</t>
        </is>
      </c>
      <c r="M18" s="5" t="inlineStr">
        <is>
          <t>대 리</t>
        </is>
      </c>
      <c r="N18" s="5" t="inlineStr">
        <is>
          <t>광주광역시 광산구 수등로 287</t>
        </is>
      </c>
      <c r="O18" s="32" t="n">
        <v>33530</v>
      </c>
      <c r="P18" s="33" t="n">
        <v>45139</v>
      </c>
    </row>
    <row r="19" ht="39.95" customHeight="1" s="135">
      <c r="A19" s="96" t="n"/>
      <c r="B19" s="96" t="inlineStr">
        <is>
          <t>생  년   월  일   :</t>
        </is>
      </c>
      <c r="D19" s="96">
        <f>TEXT(VLOOKUP(환경설정!$B$10,재직증명서!$K$16:$P$19,5,0),"yyyy년 mm월 dd일")</f>
        <v/>
      </c>
      <c r="H19" s="96" t="n"/>
      <c r="K19" s="5" t="inlineStr">
        <is>
          <t>최한진</t>
        </is>
      </c>
      <c r="L19" s="5" t="inlineStr">
        <is>
          <t>최  한  진</t>
        </is>
      </c>
      <c r="M19" s="5" t="inlineStr">
        <is>
          <t>대 리</t>
        </is>
      </c>
      <c r="N19" s="5" t="inlineStr">
        <is>
          <t>광주광역시 광산구 신창동 1285</t>
        </is>
      </c>
      <c r="O19" s="32" t="n">
        <v>33512</v>
      </c>
      <c r="P19" s="33" t="n">
        <v>45433</v>
      </c>
    </row>
    <row r="20" ht="24.95" customHeight="1" s="135">
      <c r="B20" s="28" t="n"/>
      <c r="H20" s="31" t="n"/>
    </row>
    <row r="21" ht="24.95" customHeight="1" s="135">
      <c r="A21" s="117">
        <f>환경설정!B4</f>
        <v/>
      </c>
    </row>
    <row r="22" ht="17.25" customHeight="1" s="135">
      <c r="A22" s="9" t="n"/>
      <c r="B22" s="9" t="n"/>
      <c r="C22" s="9" t="n"/>
      <c r="D22" s="9" t="n"/>
      <c r="E22" s="9" t="n"/>
      <c r="F22" s="29" t="n"/>
      <c r="G22" s="29" t="n"/>
      <c r="H22" s="29" t="n"/>
    </row>
    <row r="23" ht="24.95" customHeight="1" s="135">
      <c r="A23" s="9" t="n"/>
      <c r="B23" s="9" t="n"/>
      <c r="C23" s="9" t="n"/>
      <c r="D23" s="9" t="n"/>
      <c r="E23" s="97" t="inlineStr">
        <is>
          <t>전남 장성군 동화면 전자농공단지2길 55</t>
        </is>
      </c>
    </row>
    <row r="24" ht="24.95" customHeight="1" s="135">
      <c r="A24" s="9" t="n"/>
      <c r="B24" s="9" t="n"/>
      <c r="C24" s="9" t="n"/>
      <c r="D24" s="9" t="n"/>
      <c r="E24" s="97" t="inlineStr">
        <is>
          <t>㈜ 매그나텍</t>
        </is>
      </c>
    </row>
    <row r="25" ht="24.95" customHeight="1" s="135">
      <c r="A25" s="9" t="n"/>
      <c r="B25" s="9" t="n"/>
      <c r="C25" s="9" t="n"/>
      <c r="D25" s="9" t="n"/>
      <c r="E25" s="97" t="inlineStr">
        <is>
          <t>대       표      박     선     후    (인)</t>
        </is>
      </c>
    </row>
    <row r="26">
      <c r="E26" s="30" t="n"/>
    </row>
    <row r="27" ht="36" customHeight="1" s="135">
      <c r="A27" s="98">
        <f>환경설정!B6&amp;"    귀하"</f>
        <v/>
      </c>
    </row>
  </sheetData>
  <mergeCells count="26">
    <mergeCell ref="D18:G18"/>
    <mergeCell ref="A15:H15"/>
    <mergeCell ref="C9:H9"/>
    <mergeCell ref="A11:H11"/>
    <mergeCell ref="E7:H7"/>
    <mergeCell ref="E25:H25"/>
    <mergeCell ref="B18:C18"/>
    <mergeCell ref="C2:H2"/>
    <mergeCell ref="D19:G19"/>
    <mergeCell ref="B17:C17"/>
    <mergeCell ref="A27:H27"/>
    <mergeCell ref="E24:H24"/>
    <mergeCell ref="A12:H12"/>
    <mergeCell ref="A21:H21"/>
    <mergeCell ref="E23:H23"/>
    <mergeCell ref="B19:C19"/>
    <mergeCell ref="A5:H5"/>
    <mergeCell ref="C3:H3"/>
    <mergeCell ref="C10:E10"/>
    <mergeCell ref="D17:G17"/>
    <mergeCell ref="J12:K12"/>
    <mergeCell ref="A10:B10"/>
    <mergeCell ref="A13:H13"/>
    <mergeCell ref="A9:B9"/>
    <mergeCell ref="L12:Q12"/>
    <mergeCell ref="C1:H1"/>
  </mergeCells>
  <printOptions horizontalCentered="1" verticalCentered="1"/>
  <pageMargins left="0.3937007874015748" right="0.3149606299212598" top="0.1968503937007874" bottom="0.1968503937007874" header="0.5118110236220472" footer="0.5118110236220472"/>
  <pageSetup orientation="portrait" paperSize="9"/>
  <colBreaks count="1" manualBreakCount="1">
    <brk id="8" min="0" max="26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C252" sqref="C252"/>
    </sheetView>
  </sheetViews>
  <sheetFormatPr baseColWidth="8" defaultRowHeight="16.5"/>
  <cols>
    <col width="12.125" bestFit="1" customWidth="1" style="135" min="1" max="1"/>
    <col width="13" bestFit="1" customWidth="1" style="135" min="2" max="2"/>
    <col width="33.625" bestFit="1" customWidth="1" style="135" min="3" max="3"/>
  </cols>
  <sheetData>
    <row r="1">
      <c r="A1" s="0" t="inlineStr">
        <is>
          <t>ARENA-200S</t>
        </is>
      </c>
      <c r="B1" s="0" t="inlineStr">
        <is>
          <t>LED투광등기구</t>
        </is>
      </c>
      <c r="C1" s="0">
        <f>CONCATENATE(B1,", ",A1,", ",E1)</f>
        <v/>
      </c>
      <c r="E1" s="0" t="inlineStr">
        <is>
          <t>200W</t>
        </is>
      </c>
    </row>
    <row r="2">
      <c r="A2" s="0" t="inlineStr">
        <is>
          <t>ARENA-300S</t>
        </is>
      </c>
      <c r="B2" s="0" t="inlineStr">
        <is>
          <t>LED투광등기구</t>
        </is>
      </c>
      <c r="C2" s="0">
        <f>CONCATENATE(B2,", ",A2,", ",E2)</f>
        <v/>
      </c>
      <c r="E2" s="0" t="inlineStr">
        <is>
          <t>300W</t>
        </is>
      </c>
    </row>
    <row r="3">
      <c r="A3" s="0" t="inlineStr">
        <is>
          <t>ARENA-400(3000K)</t>
        </is>
      </c>
      <c r="B3" s="0" t="inlineStr">
        <is>
          <t>LED투광등기구</t>
        </is>
      </c>
      <c r="C3" s="0">
        <f>CONCATENATE(B3,", ",A3,", ",E3)</f>
        <v/>
      </c>
      <c r="E3" s="0" t="inlineStr">
        <is>
          <t>400W</t>
        </is>
      </c>
    </row>
    <row r="4">
      <c r="A4" s="0" t="inlineStr">
        <is>
          <t>ARENA-400</t>
        </is>
      </c>
      <c r="B4" s="0" t="inlineStr">
        <is>
          <t>LED투광등기구</t>
        </is>
      </c>
      <c r="C4" s="0">
        <f>CONCATENATE(B4,", ",A4,", ",E4)</f>
        <v/>
      </c>
      <c r="E4" s="0" t="inlineStr">
        <is>
          <t>400W</t>
        </is>
      </c>
    </row>
    <row r="5">
      <c r="A5" s="0" t="inlineStr">
        <is>
          <t>ARENA-400S</t>
        </is>
      </c>
      <c r="B5" s="0" t="inlineStr">
        <is>
          <t>LED투광등기구</t>
        </is>
      </c>
      <c r="C5" s="0">
        <f>CONCATENATE(B5,", ",A5,", ",E5)</f>
        <v/>
      </c>
      <c r="E5" s="0" t="inlineStr">
        <is>
          <t>400W</t>
        </is>
      </c>
    </row>
    <row r="6">
      <c r="A6" s="0" t="inlineStr">
        <is>
          <t>ARENA-500(3000K)</t>
        </is>
      </c>
      <c r="B6" s="0" t="inlineStr">
        <is>
          <t>LED투광등기구</t>
        </is>
      </c>
      <c r="C6" s="0">
        <f>CONCATENATE(B6,", ",A6,", ",E6)</f>
        <v/>
      </c>
      <c r="E6" s="0" t="inlineStr">
        <is>
          <t>500W</t>
        </is>
      </c>
    </row>
    <row r="7">
      <c r="A7" s="0" t="inlineStr">
        <is>
          <t>ARENA-500</t>
        </is>
      </c>
      <c r="B7" s="0" t="inlineStr">
        <is>
          <t>LED투광등기구</t>
        </is>
      </c>
      <c r="C7" s="0">
        <f>CONCATENATE(B7,", ",A7,", ",E7)</f>
        <v/>
      </c>
      <c r="E7" s="0" t="inlineStr">
        <is>
          <t>500W</t>
        </is>
      </c>
    </row>
    <row r="8">
      <c r="A8" s="0" t="inlineStr">
        <is>
          <t>ARENA-600(3000K)</t>
        </is>
      </c>
      <c r="B8" s="0" t="inlineStr">
        <is>
          <t>LED투광등기구</t>
        </is>
      </c>
      <c r="C8" s="0">
        <f>CONCATENATE(B8,", ",A8,", ",E8)</f>
        <v/>
      </c>
      <c r="E8" s="0" t="inlineStr">
        <is>
          <t>600W</t>
        </is>
      </c>
    </row>
    <row r="9">
      <c r="A9" s="0" t="inlineStr">
        <is>
          <t>ARENA-600</t>
        </is>
      </c>
      <c r="B9" s="0" t="inlineStr">
        <is>
          <t>LED투광등기구</t>
        </is>
      </c>
      <c r="C9" s="0">
        <f>CONCATENATE(B9,", ",A9,", ",E9)</f>
        <v/>
      </c>
      <c r="E9" s="0" t="inlineStr">
        <is>
          <t>600W</t>
        </is>
      </c>
    </row>
    <row r="10">
      <c r="A10" s="0" t="inlineStr">
        <is>
          <t>ARENA-800(3000K)</t>
        </is>
      </c>
      <c r="B10" s="0" t="inlineStr">
        <is>
          <t>LED투광등기구</t>
        </is>
      </c>
      <c r="C10" s="0">
        <f>CONCATENATE(B10,", ",A10,", ",E10)</f>
        <v/>
      </c>
      <c r="E10" s="0" t="inlineStr">
        <is>
          <t>800W</t>
        </is>
      </c>
    </row>
    <row r="11">
      <c r="A11" s="0" t="inlineStr">
        <is>
          <t>ARENA-800</t>
        </is>
      </c>
      <c r="B11" s="0" t="inlineStr">
        <is>
          <t>LED투광등기구</t>
        </is>
      </c>
      <c r="C11" s="0">
        <f>CONCATENATE(B11,", ",A11,", ",E11)</f>
        <v/>
      </c>
      <c r="E11" s="0" t="inlineStr">
        <is>
          <t>800W</t>
        </is>
      </c>
    </row>
    <row r="12">
      <c r="A12" s="0" t="inlineStr">
        <is>
          <t>ARENA(M)-200S</t>
        </is>
      </c>
      <c r="B12" s="0" t="inlineStr">
        <is>
          <t>LED투광등기구</t>
        </is>
      </c>
      <c r="C12" s="0">
        <f>CONCATENATE(B12,", ",A12,", ",E12)</f>
        <v/>
      </c>
      <c r="E12" s="0" t="inlineStr">
        <is>
          <t>200W</t>
        </is>
      </c>
    </row>
    <row r="13">
      <c r="A13" s="0" t="inlineStr">
        <is>
          <t>ARENA(M)-300S</t>
        </is>
      </c>
      <c r="B13" s="0" t="inlineStr">
        <is>
          <t>LED투광등기구</t>
        </is>
      </c>
      <c r="C13" s="0">
        <f>CONCATENATE(B13,", ",A13,", ",E13)</f>
        <v/>
      </c>
      <c r="E13" s="0" t="inlineStr">
        <is>
          <t>300W</t>
        </is>
      </c>
    </row>
    <row r="14">
      <c r="A14" s="0" t="inlineStr">
        <is>
          <t>ARENA(M)-400</t>
        </is>
      </c>
      <c r="B14" s="0" t="inlineStr">
        <is>
          <t>LED투광등기구</t>
        </is>
      </c>
      <c r="C14" s="0">
        <f>CONCATENATE(B14,", ",A14,", ",E14)</f>
        <v/>
      </c>
      <c r="E14" s="0" t="inlineStr">
        <is>
          <t>400W</t>
        </is>
      </c>
    </row>
    <row r="15">
      <c r="A15" s="0" t="inlineStr">
        <is>
          <t>ARENA(M)-400S</t>
        </is>
      </c>
      <c r="B15" s="0" t="inlineStr">
        <is>
          <t>LED투광등기구</t>
        </is>
      </c>
      <c r="C15" s="0">
        <f>CONCATENATE(B15,", ",A15,", ",E15)</f>
        <v/>
      </c>
      <c r="E15" s="0" t="inlineStr">
        <is>
          <t>400W</t>
        </is>
      </c>
    </row>
    <row r="16">
      <c r="A16" s="0" t="inlineStr">
        <is>
          <t>ARENA(M)-500</t>
        </is>
      </c>
      <c r="B16" s="0" t="inlineStr">
        <is>
          <t>LED투광등기구</t>
        </is>
      </c>
      <c r="C16" s="0">
        <f>CONCATENATE(B16,", ",A16,", ",E16)</f>
        <v/>
      </c>
      <c r="E16" s="0" t="inlineStr">
        <is>
          <t>500W</t>
        </is>
      </c>
    </row>
    <row r="17">
      <c r="A17" s="0" t="inlineStr">
        <is>
          <t>ARENA(M)-600</t>
        </is>
      </c>
      <c r="B17" s="0" t="inlineStr">
        <is>
          <t>LED투광등기구</t>
        </is>
      </c>
      <c r="C17" s="0">
        <f>CONCATENATE(B17,", ",A17,", ",E17)</f>
        <v/>
      </c>
      <c r="E17" s="0" t="inlineStr">
        <is>
          <t>600W</t>
        </is>
      </c>
    </row>
    <row r="18">
      <c r="A18" s="0" t="inlineStr">
        <is>
          <t>ARENA(M)-800</t>
        </is>
      </c>
      <c r="B18" s="0" t="inlineStr">
        <is>
          <t>LED투광등기구</t>
        </is>
      </c>
      <c r="C18" s="0">
        <f>CONCATENATE(B18,", ",A18,", ",E18)</f>
        <v/>
      </c>
      <c r="E18" s="0" t="inlineStr">
        <is>
          <t>800W</t>
        </is>
      </c>
    </row>
    <row r="19">
      <c r="A19" s="0" t="inlineStr">
        <is>
          <t>ARENA(X)-200S</t>
        </is>
      </c>
      <c r="B19" s="0" t="inlineStr">
        <is>
          <t>LED투광등기구</t>
        </is>
      </c>
      <c r="C19" s="0">
        <f>CONCATENATE(B19,", ",A19,", ",E19)</f>
        <v/>
      </c>
      <c r="E19" s="0" t="inlineStr">
        <is>
          <t>200W</t>
        </is>
      </c>
    </row>
    <row r="20">
      <c r="A20" s="0" t="inlineStr">
        <is>
          <t>ARENA(X)-300S</t>
        </is>
      </c>
      <c r="B20" s="0" t="inlineStr">
        <is>
          <t>LED투광등기구</t>
        </is>
      </c>
      <c r="C20" s="0">
        <f>CONCATENATE(B20,", ",A20,", ",E20)</f>
        <v/>
      </c>
      <c r="E20" s="0" t="inlineStr">
        <is>
          <t>300W</t>
        </is>
      </c>
    </row>
    <row r="21">
      <c r="A21" s="0" t="inlineStr">
        <is>
          <t>ARENA(X)-400</t>
        </is>
      </c>
      <c r="B21" s="0" t="inlineStr">
        <is>
          <t>LED투광등기구</t>
        </is>
      </c>
      <c r="C21" s="0">
        <f>CONCATENATE(B21,", ",A21,", ",E21)</f>
        <v/>
      </c>
      <c r="E21" s="0" t="inlineStr">
        <is>
          <t>400W</t>
        </is>
      </c>
    </row>
    <row r="22">
      <c r="A22" s="0" t="inlineStr">
        <is>
          <t>ARENA(X)-400S</t>
        </is>
      </c>
      <c r="B22" s="0" t="inlineStr">
        <is>
          <t>LED투광등기구</t>
        </is>
      </c>
      <c r="C22" s="0">
        <f>CONCATENATE(B22,", ",A22,", ",E22)</f>
        <v/>
      </c>
      <c r="E22" s="0" t="inlineStr">
        <is>
          <t>400W</t>
        </is>
      </c>
    </row>
    <row r="23">
      <c r="A23" s="0" t="inlineStr">
        <is>
          <t>ARENA(X)-500</t>
        </is>
      </c>
      <c r="B23" s="0" t="inlineStr">
        <is>
          <t>LED투광등기구</t>
        </is>
      </c>
      <c r="C23" s="0">
        <f>CONCATENATE(B23,", ",A23,", ",E23)</f>
        <v/>
      </c>
      <c r="E23" s="0" t="inlineStr">
        <is>
          <t>500W</t>
        </is>
      </c>
    </row>
    <row r="24">
      <c r="A24" s="0" t="inlineStr">
        <is>
          <t>ARENA(X)-600</t>
        </is>
      </c>
      <c r="B24" s="0" t="inlineStr">
        <is>
          <t>LED투광등기구</t>
        </is>
      </c>
      <c r="C24" s="0">
        <f>CONCATENATE(B24,", ",A24,", ",E24)</f>
        <v/>
      </c>
      <c r="E24" s="0" t="inlineStr">
        <is>
          <t>600W</t>
        </is>
      </c>
    </row>
    <row r="25">
      <c r="A25" s="0" t="inlineStr">
        <is>
          <t>ARENA(X)-800</t>
        </is>
      </c>
      <c r="B25" s="0" t="inlineStr">
        <is>
          <t>LED투광등기구</t>
        </is>
      </c>
      <c r="C25" s="0">
        <f>CONCATENATE(B25,", ",A25,", ",E25)</f>
        <v/>
      </c>
      <c r="E25" s="0" t="inlineStr">
        <is>
          <t>800W</t>
        </is>
      </c>
    </row>
    <row r="26">
      <c r="A26" s="0" t="inlineStr">
        <is>
          <t>BATOO-200</t>
        </is>
      </c>
      <c r="B26" s="0" t="inlineStr">
        <is>
          <t>LED투광등기구</t>
        </is>
      </c>
      <c r="C26" s="0">
        <f>CONCATENATE(B26,", ",A26,", ",E26)</f>
        <v/>
      </c>
      <c r="E26" s="0" t="inlineStr">
        <is>
          <t>200W</t>
        </is>
      </c>
    </row>
    <row r="27">
      <c r="A27" s="0" t="inlineStr">
        <is>
          <t>MT-BLCP-008-01</t>
        </is>
      </c>
      <c r="B27" s="0" t="inlineStr">
        <is>
          <t>LED경관조명기구</t>
        </is>
      </c>
      <c r="C27" s="0">
        <f>CONCATENATE(B27,", ",A27,", ",E27)</f>
        <v/>
      </c>
      <c r="E27" s="0" t="inlineStr">
        <is>
          <t>8W</t>
        </is>
      </c>
    </row>
    <row r="28">
      <c r="A28" s="0" t="inlineStr">
        <is>
          <t>MT-BLCP-008-02</t>
        </is>
      </c>
      <c r="B28" s="0" t="inlineStr">
        <is>
          <t>LED경관조명기구</t>
        </is>
      </c>
      <c r="C28" s="0">
        <f>CONCATENATE(B28,", ",A28,", ",E28)</f>
        <v/>
      </c>
      <c r="E28" s="0" t="inlineStr">
        <is>
          <t>8W</t>
        </is>
      </c>
    </row>
    <row r="29">
      <c r="A29" s="0" t="inlineStr">
        <is>
          <t>MT-BLCP-008-03</t>
        </is>
      </c>
      <c r="B29" s="0" t="inlineStr">
        <is>
          <t>LED경관조명기구</t>
        </is>
      </c>
      <c r="C29" s="0">
        <f>CONCATENATE(B29,", ",A29,", ",E29)</f>
        <v/>
      </c>
      <c r="E29" s="0" t="inlineStr">
        <is>
          <t>8W</t>
        </is>
      </c>
    </row>
    <row r="30">
      <c r="A30" s="0" t="inlineStr">
        <is>
          <t>MT-BLCP-009-01</t>
        </is>
      </c>
      <c r="B30" s="0" t="inlineStr">
        <is>
          <t>LED경관조명기구</t>
        </is>
      </c>
      <c r="C30" s="0">
        <f>CONCATENATE(B30,", ",A30,", ",E30)</f>
        <v/>
      </c>
      <c r="E30" s="0" t="inlineStr">
        <is>
          <t>9W</t>
        </is>
      </c>
    </row>
    <row r="31">
      <c r="A31" s="0" t="inlineStr">
        <is>
          <t>MT-BLCP-009-02</t>
        </is>
      </c>
      <c r="B31" s="0" t="inlineStr">
        <is>
          <t>LED경관조명기구</t>
        </is>
      </c>
      <c r="C31" s="0">
        <f>CONCATENATE(B31,", ",A31,", ",E31)</f>
        <v/>
      </c>
      <c r="E31" s="0" t="inlineStr">
        <is>
          <t>9W</t>
        </is>
      </c>
    </row>
    <row r="32">
      <c r="A32" s="0" t="inlineStr">
        <is>
          <t>MT-BLCP-009-03</t>
        </is>
      </c>
      <c r="B32" s="0" t="inlineStr">
        <is>
          <t>LED경관조명기구</t>
        </is>
      </c>
      <c r="C32" s="0">
        <f>CONCATENATE(B32,", ",A32,", ",E32)</f>
        <v/>
      </c>
      <c r="E32" s="0" t="inlineStr">
        <is>
          <t>9W</t>
        </is>
      </c>
    </row>
    <row r="33">
      <c r="A33" s="0" t="inlineStr">
        <is>
          <t>MT-BLCP-009-04</t>
        </is>
      </c>
      <c r="B33" s="0" t="inlineStr">
        <is>
          <t>LED경관조명기구</t>
        </is>
      </c>
      <c r="C33" s="0">
        <f>CONCATENATE(B33,", ",A33,", ",E33)</f>
        <v/>
      </c>
      <c r="E33" s="0" t="inlineStr">
        <is>
          <t>9W</t>
        </is>
      </c>
    </row>
    <row r="34">
      <c r="A34" s="0" t="inlineStr">
        <is>
          <t>MT-BLCP-009-05</t>
        </is>
      </c>
      <c r="B34" s="0" t="inlineStr">
        <is>
          <t>LED경관조명기구</t>
        </is>
      </c>
      <c r="C34" s="0">
        <f>CONCATENATE(B34,", ",A34,", ",E34)</f>
        <v/>
      </c>
      <c r="E34" s="0" t="inlineStr">
        <is>
          <t>9W</t>
        </is>
      </c>
    </row>
    <row r="35">
      <c r="A35" s="0" t="inlineStr">
        <is>
          <t>MT-BLCP-009-06</t>
        </is>
      </c>
      <c r="B35" s="0" t="inlineStr">
        <is>
          <t>LED경관조명기구</t>
        </is>
      </c>
      <c r="C35" s="0">
        <f>CONCATENATE(B35,", ",A35,", ",E35)</f>
        <v/>
      </c>
      <c r="E35" s="0" t="inlineStr">
        <is>
          <t>9W</t>
        </is>
      </c>
    </row>
    <row r="36">
      <c r="A36" s="0" t="inlineStr">
        <is>
          <t>MT-BLCP-009-07</t>
        </is>
      </c>
      <c r="B36" s="0" t="inlineStr">
        <is>
          <t>LED경관조명기구</t>
        </is>
      </c>
      <c r="C36" s="0">
        <f>CONCATENATE(B36,", ",A36,", ",E36)</f>
        <v/>
      </c>
      <c r="E36" s="0" t="inlineStr">
        <is>
          <t>9W</t>
        </is>
      </c>
    </row>
    <row r="37">
      <c r="A37" s="0" t="inlineStr">
        <is>
          <t>MT-BLCP-009-08</t>
        </is>
      </c>
      <c r="B37" s="0" t="inlineStr">
        <is>
          <t>LED경관조명기구</t>
        </is>
      </c>
      <c r="C37" s="0">
        <f>CONCATENATE(B37,", ",A37,", ",E37)</f>
        <v/>
      </c>
      <c r="E37" s="0" t="inlineStr">
        <is>
          <t>9W</t>
        </is>
      </c>
    </row>
    <row r="38">
      <c r="A38" s="0" t="inlineStr">
        <is>
          <t>MT-BLCP-010-01</t>
        </is>
      </c>
      <c r="B38" s="0" t="inlineStr">
        <is>
          <t>LED경관조명기구</t>
        </is>
      </c>
      <c r="C38" s="0">
        <f>CONCATENATE(B38,", ",A38,", ",E38)</f>
        <v/>
      </c>
      <c r="E38" s="0" t="inlineStr">
        <is>
          <t>10W</t>
        </is>
      </c>
    </row>
    <row r="39">
      <c r="A39" s="0" t="inlineStr">
        <is>
          <t>MT-BLCP-010-02</t>
        </is>
      </c>
      <c r="B39" s="0" t="inlineStr">
        <is>
          <t>LED경관조명기구</t>
        </is>
      </c>
      <c r="C39" s="0">
        <f>CONCATENATE(B39,", ",A39,", ",E39)</f>
        <v/>
      </c>
      <c r="E39" s="0" t="inlineStr">
        <is>
          <t>10W</t>
        </is>
      </c>
    </row>
    <row r="40">
      <c r="A40" s="0" t="inlineStr">
        <is>
          <t>MT-BLCP-010-03</t>
        </is>
      </c>
      <c r="B40" s="0" t="inlineStr">
        <is>
          <t>LED경관조명기구</t>
        </is>
      </c>
      <c r="C40" s="0">
        <f>CONCATENATE(B40,", ",A40,", ",E40)</f>
        <v/>
      </c>
      <c r="E40" s="0" t="inlineStr">
        <is>
          <t>10W</t>
        </is>
      </c>
    </row>
    <row r="41">
      <c r="A41" s="0" t="inlineStr">
        <is>
          <t>MT-BLCP-010-04</t>
        </is>
      </c>
      <c r="B41" s="0" t="inlineStr">
        <is>
          <t>LED경관조명기구</t>
        </is>
      </c>
      <c r="C41" s="0">
        <f>CONCATENATE(B41,", ",A41,", ",E41)</f>
        <v/>
      </c>
      <c r="E41" s="0" t="inlineStr">
        <is>
          <t>10W</t>
        </is>
      </c>
    </row>
    <row r="42">
      <c r="A42" s="0" t="inlineStr">
        <is>
          <t>MT-BLCP-011-01</t>
        </is>
      </c>
      <c r="B42" s="0" t="inlineStr">
        <is>
          <t>LED경관조명기구</t>
        </is>
      </c>
      <c r="C42" s="0">
        <f>CONCATENATE(B42,", ",A42,", ",E42)</f>
        <v/>
      </c>
      <c r="E42" s="0" t="inlineStr">
        <is>
          <t>11(3+8)W</t>
        </is>
      </c>
    </row>
    <row r="43">
      <c r="A43" s="0" t="inlineStr">
        <is>
          <t>MT-BLCP-012-01</t>
        </is>
      </c>
      <c r="B43" s="60" t="inlineStr">
        <is>
          <t>LED경관조명기구</t>
        </is>
      </c>
      <c r="C43" s="0">
        <f>CONCATENATE(B43,", ",A43,", ",E43)</f>
        <v/>
      </c>
      <c r="E43" s="0" t="inlineStr">
        <is>
          <t>12(4+8)W</t>
        </is>
      </c>
    </row>
    <row r="44">
      <c r="A44" s="0" t="inlineStr">
        <is>
          <t>MT-BLCP-012-02</t>
        </is>
      </c>
      <c r="B44" s="60" t="inlineStr">
        <is>
          <t>LED경관조명기구</t>
        </is>
      </c>
      <c r="C44" s="0">
        <f>CONCATENATE(B44,", ",A44,", ",E44)</f>
        <v/>
      </c>
      <c r="E44" s="0" t="inlineStr">
        <is>
          <t>12W</t>
        </is>
      </c>
    </row>
    <row r="45">
      <c r="A45" s="0" t="inlineStr">
        <is>
          <t>MT-BLCP-012-03</t>
        </is>
      </c>
      <c r="B45" s="60" t="inlineStr">
        <is>
          <t>LED경관조명기구</t>
        </is>
      </c>
      <c r="C45" s="0">
        <f>CONCATENATE(B45,", ",A45,", ",E45)</f>
        <v/>
      </c>
      <c r="E45" s="0" t="inlineStr">
        <is>
          <t>12W</t>
        </is>
      </c>
    </row>
    <row r="46">
      <c r="A46" s="0" t="inlineStr">
        <is>
          <t>MT-BLCP-012-04</t>
        </is>
      </c>
      <c r="B46" s="60" t="inlineStr">
        <is>
          <t>LED경관조명기구</t>
        </is>
      </c>
      <c r="C46" s="0">
        <f>CONCATENATE(B46,", ",A46,", ",E46)</f>
        <v/>
      </c>
      <c r="E46" s="0" t="inlineStr">
        <is>
          <t>12W</t>
        </is>
      </c>
    </row>
    <row r="47">
      <c r="A47" s="0" t="inlineStr">
        <is>
          <t>MT-BLCP-012-05</t>
        </is>
      </c>
      <c r="B47" s="60" t="inlineStr">
        <is>
          <t>LED경관조명기구</t>
        </is>
      </c>
      <c r="C47" s="0">
        <f>CONCATENATE(B47,", ",A47,", ",E47)</f>
        <v/>
      </c>
      <c r="E47" s="0" t="inlineStr">
        <is>
          <t>12W</t>
        </is>
      </c>
    </row>
    <row r="48">
      <c r="A48" s="0" t="inlineStr">
        <is>
          <t>MT-BLCP-015-01</t>
        </is>
      </c>
      <c r="B48" s="60" t="inlineStr">
        <is>
          <t>LED경관조명기구</t>
        </is>
      </c>
      <c r="C48" s="0">
        <f>CONCATENATE(B48,", ",A48,", ",E48)</f>
        <v/>
      </c>
      <c r="E48" s="0" t="inlineStr">
        <is>
          <t>15W</t>
        </is>
      </c>
    </row>
    <row r="49">
      <c r="A49" s="0" t="inlineStr">
        <is>
          <t>MT-BLCP-015-02</t>
        </is>
      </c>
      <c r="B49" s="60" t="inlineStr">
        <is>
          <t>LED경관조명기구</t>
        </is>
      </c>
      <c r="C49" s="0">
        <f>CONCATENATE(B49,", ",A49,", ",E49)</f>
        <v/>
      </c>
      <c r="E49" s="0" t="inlineStr">
        <is>
          <t>15W</t>
        </is>
      </c>
    </row>
    <row r="50">
      <c r="A50" s="0" t="inlineStr">
        <is>
          <t>MT-BLCP-020-01</t>
        </is>
      </c>
      <c r="B50" s="60" t="inlineStr">
        <is>
          <t>LED경관조명기구</t>
        </is>
      </c>
      <c r="C50" s="0">
        <f>CONCATENATE(B50,", ",A50,", ",E50)</f>
        <v/>
      </c>
      <c r="E50" s="0" t="inlineStr">
        <is>
          <t>20(10×2)W</t>
        </is>
      </c>
    </row>
    <row r="51">
      <c r="A51" s="0" t="inlineStr">
        <is>
          <t>MT-BLCP-020-02</t>
        </is>
      </c>
      <c r="B51" s="60" t="inlineStr">
        <is>
          <t>LED경관조명기구</t>
        </is>
      </c>
      <c r="C51" s="0">
        <f>CONCATENATE(B51,", ",A51,", ",E51)</f>
        <v/>
      </c>
      <c r="E51" s="0" t="inlineStr">
        <is>
          <t>20W</t>
        </is>
      </c>
    </row>
    <row r="52">
      <c r="A52" s="0" t="inlineStr">
        <is>
          <t>MT-BLSP-008-01</t>
        </is>
      </c>
      <c r="B52" s="60" t="inlineStr">
        <is>
          <t>LED경관조명기구</t>
        </is>
      </c>
      <c r="C52" s="0">
        <f>CONCATENATE(B52,", ",A52,", ",E52)</f>
        <v/>
      </c>
      <c r="E52" s="0" t="inlineStr">
        <is>
          <t>8W</t>
        </is>
      </c>
    </row>
    <row r="53">
      <c r="A53" s="0" t="inlineStr">
        <is>
          <t>MT-BLSP-008-02</t>
        </is>
      </c>
      <c r="B53" s="60" t="inlineStr">
        <is>
          <t>LED경관조명기구</t>
        </is>
      </c>
      <c r="C53" s="0">
        <f>CONCATENATE(B53,", ",A53,", ",E53)</f>
        <v/>
      </c>
      <c r="E53" s="0" t="inlineStr">
        <is>
          <t>8W</t>
        </is>
      </c>
    </row>
    <row r="54">
      <c r="A54" s="0" t="inlineStr">
        <is>
          <t>MT-BLSP-010-01</t>
        </is>
      </c>
      <c r="B54" s="60" t="inlineStr">
        <is>
          <t>LED경관조명기구</t>
        </is>
      </c>
      <c r="C54" s="0">
        <f>CONCATENATE(B54,", ",A54,", ",E54)</f>
        <v/>
      </c>
      <c r="E54" s="0" t="inlineStr">
        <is>
          <t>10W</t>
        </is>
      </c>
    </row>
    <row r="55">
      <c r="A55" s="0" t="inlineStr">
        <is>
          <t>MT-BLSP-012-01</t>
        </is>
      </c>
      <c r="B55" s="60" t="inlineStr">
        <is>
          <t>LED경관조명기구</t>
        </is>
      </c>
      <c r="C55" s="0">
        <f>CONCATENATE(B55,", ",A55,", ",E55)</f>
        <v/>
      </c>
      <c r="E55" s="0" t="inlineStr">
        <is>
          <t>12W</t>
        </is>
      </c>
    </row>
    <row r="56">
      <c r="A56" s="0" t="inlineStr">
        <is>
          <t>MT-BLSP-012-02</t>
        </is>
      </c>
      <c r="B56" s="60" t="inlineStr">
        <is>
          <t>LED경관조명기구</t>
        </is>
      </c>
      <c r="C56" s="0">
        <f>CONCATENATE(B56,", ",A56,", ",E56)</f>
        <v/>
      </c>
      <c r="E56" s="0" t="inlineStr">
        <is>
          <t>12W</t>
        </is>
      </c>
    </row>
    <row r="57">
      <c r="A57" s="0" t="inlineStr">
        <is>
          <t>MT-BLSP-016-01</t>
        </is>
      </c>
      <c r="B57" s="60" t="inlineStr">
        <is>
          <t>LED경관조명기구</t>
        </is>
      </c>
      <c r="C57" s="0">
        <f>CONCATENATE(B57,", ",A57,", ",E57)</f>
        <v/>
      </c>
      <c r="E57" s="0" t="inlineStr">
        <is>
          <t>16(8×2)W</t>
        </is>
      </c>
    </row>
    <row r="58">
      <c r="A58" s="0" t="inlineStr">
        <is>
          <t>MT-BLSP-020-01</t>
        </is>
      </c>
      <c r="B58" s="60" t="inlineStr">
        <is>
          <t>LED경관조명기구</t>
        </is>
      </c>
      <c r="C58" s="0">
        <f>CONCATENATE(B58,", ",A58,", ",E58)</f>
        <v/>
      </c>
      <c r="E58" s="0" t="inlineStr">
        <is>
          <t>20W</t>
        </is>
      </c>
    </row>
    <row r="59">
      <c r="A59" s="0" t="inlineStr">
        <is>
          <t>MT-BLSP-022-01</t>
        </is>
      </c>
      <c r="B59" s="60" t="inlineStr">
        <is>
          <t>LED경관조명기구</t>
        </is>
      </c>
      <c r="C59" s="0">
        <f>CONCATENATE(B59,", ",A59,", ",E59)</f>
        <v/>
      </c>
      <c r="E59" s="0" t="inlineStr">
        <is>
          <t>22W</t>
        </is>
      </c>
    </row>
    <row r="60">
      <c r="A60" s="0" t="inlineStr">
        <is>
          <t>MT-BLSP-036-01</t>
        </is>
      </c>
      <c r="B60" s="60" t="inlineStr">
        <is>
          <t>LED경관조명기구</t>
        </is>
      </c>
      <c r="C60" s="0">
        <f>CONCATENATE(B60,", ",A60,", ",E60)</f>
        <v/>
      </c>
      <c r="E60" s="0" t="inlineStr">
        <is>
          <t>36W</t>
        </is>
      </c>
    </row>
    <row r="61">
      <c r="A61" s="0" t="inlineStr">
        <is>
          <t>MT-BLTP-010-01</t>
        </is>
      </c>
      <c r="B61" s="60" t="inlineStr">
        <is>
          <t>LED경관조명기구</t>
        </is>
      </c>
      <c r="C61" s="0">
        <f>CONCATENATE(B61,", ",A61,", ",E61)</f>
        <v/>
      </c>
      <c r="E61" s="0" t="inlineStr">
        <is>
          <t>10W</t>
        </is>
      </c>
    </row>
    <row r="62">
      <c r="A62" s="0" t="inlineStr">
        <is>
          <t>MT-CLCP-060-01</t>
        </is>
      </c>
      <c r="B62" s="60" t="inlineStr">
        <is>
          <t>LED경관조명기구</t>
        </is>
      </c>
      <c r="C62" s="0">
        <f>CONCATENATE(B62,", ",A62,", ",E62)</f>
        <v/>
      </c>
      <c r="E62" s="0" t="inlineStr">
        <is>
          <t>60W</t>
        </is>
      </c>
    </row>
    <row r="63">
      <c r="A63" s="0" t="inlineStr">
        <is>
          <t>MT-CLCP-120-01</t>
        </is>
      </c>
      <c r="B63" s="60" t="inlineStr">
        <is>
          <t>LED경관조명기구</t>
        </is>
      </c>
      <c r="C63" s="0">
        <f>CONCATENATE(B63,", ",A63,", ",E63)</f>
        <v/>
      </c>
      <c r="E63" s="0" t="inlineStr">
        <is>
          <t>120W</t>
        </is>
      </c>
    </row>
    <row r="64">
      <c r="A64" s="0" t="inlineStr">
        <is>
          <t>MT-CLCP-125-01</t>
        </is>
      </c>
      <c r="B64" s="60" t="inlineStr">
        <is>
          <t>LED경관조명기구</t>
        </is>
      </c>
      <c r="C64" s="0">
        <f>CONCATENATE(B64,", ",A64,", ",E64)</f>
        <v/>
      </c>
      <c r="E64" s="0" t="inlineStr">
        <is>
          <t>125W</t>
        </is>
      </c>
    </row>
    <row r="65">
      <c r="A65" s="0" t="inlineStr">
        <is>
          <t>MT-CLFL-100-01</t>
        </is>
      </c>
      <c r="B65" s="60" t="inlineStr">
        <is>
          <t>LED경관조명기구</t>
        </is>
      </c>
      <c r="C65" s="0">
        <f>CONCATENATE(B65,", ",A65,", ",E65)</f>
        <v/>
      </c>
      <c r="E65" s="0" t="inlineStr">
        <is>
          <t>100W</t>
        </is>
      </c>
    </row>
    <row r="66">
      <c r="A66" s="0" t="inlineStr">
        <is>
          <t>MT-CLFL-150-01</t>
        </is>
      </c>
      <c r="B66" s="60" t="inlineStr">
        <is>
          <t>LED경관조명기구</t>
        </is>
      </c>
      <c r="C66" s="0">
        <f>CONCATENATE(B66,", ",A66,", ",E66)</f>
        <v/>
      </c>
      <c r="E66" s="0" t="inlineStr">
        <is>
          <t>150(50×3)W</t>
        </is>
      </c>
    </row>
    <row r="67">
      <c r="A67" s="0" t="inlineStr">
        <is>
          <t>MT-CLFL-260-01</t>
        </is>
      </c>
      <c r="B67" s="60" t="inlineStr">
        <is>
          <t>LED경관조명기구</t>
        </is>
      </c>
      <c r="C67" s="0">
        <f>CONCATENATE(B67,", ",A67,", ",E67)</f>
        <v/>
      </c>
      <c r="E67" s="0" t="inlineStr">
        <is>
          <t>259(37×7)W</t>
        </is>
      </c>
    </row>
    <row r="68">
      <c r="A68" s="0" t="inlineStr">
        <is>
          <t>MT-CLPL-090-01</t>
        </is>
      </c>
      <c r="B68" s="60" t="inlineStr">
        <is>
          <t>LED경관조명기구</t>
        </is>
      </c>
      <c r="C68" s="0">
        <f>CONCATENATE(B68,", ",A68,", ",E68)</f>
        <v/>
      </c>
      <c r="E68" s="0" t="inlineStr">
        <is>
          <t>90W</t>
        </is>
      </c>
    </row>
    <row r="69">
      <c r="A69" s="0" t="inlineStr">
        <is>
          <t>MT-CLPL-120-01</t>
        </is>
      </c>
      <c r="B69" s="60" t="inlineStr">
        <is>
          <t>LED경관조명기구</t>
        </is>
      </c>
      <c r="C69" s="0">
        <f>CONCATENATE(B69,", ",A69,", ",E69)</f>
        <v/>
      </c>
      <c r="E69" s="0" t="inlineStr">
        <is>
          <t>120W</t>
        </is>
      </c>
    </row>
    <row r="70">
      <c r="A70" s="0" t="inlineStr">
        <is>
          <t>MT-CLSP-030-01</t>
        </is>
      </c>
      <c r="B70" s="60" t="inlineStr">
        <is>
          <t>LED경관조명기구</t>
        </is>
      </c>
      <c r="C70" s="0">
        <f>CONCATENATE(B70,", ",A70,", ",E70)</f>
        <v/>
      </c>
      <c r="E70" s="0" t="inlineStr">
        <is>
          <t>30W</t>
        </is>
      </c>
    </row>
    <row r="71">
      <c r="A71" s="0" t="inlineStr">
        <is>
          <t>MT-CLSP-030-02</t>
        </is>
      </c>
      <c r="B71" s="60" t="inlineStr">
        <is>
          <t>LED경관조명기구</t>
        </is>
      </c>
      <c r="C71" s="0">
        <f>CONCATENATE(B71,", ",A71,", ",E71)</f>
        <v/>
      </c>
      <c r="E71" s="0" t="inlineStr">
        <is>
          <t>30W</t>
        </is>
      </c>
    </row>
    <row r="72">
      <c r="A72" s="0" t="inlineStr">
        <is>
          <t>MT-FL-1000A</t>
        </is>
      </c>
      <c r="B72" s="60" t="inlineStr">
        <is>
          <t>LED투광등기구</t>
        </is>
      </c>
      <c r="C72" s="0">
        <f>CONCATENATE(B72,", ",A72,", ",E72)</f>
        <v/>
      </c>
      <c r="E72" s="0" t="inlineStr">
        <is>
          <t>1000W</t>
        </is>
      </c>
    </row>
    <row r="73">
      <c r="A73" s="0" t="inlineStr">
        <is>
          <t>MT-FL-1200A</t>
        </is>
      </c>
      <c r="B73" s="60" t="inlineStr">
        <is>
          <t>LED투광등기구</t>
        </is>
      </c>
      <c r="C73" s="0">
        <f>CONCATENATE(B73,", ",A73,", ",E73)</f>
        <v/>
      </c>
      <c r="E73" s="0" t="inlineStr">
        <is>
          <t>1200W</t>
        </is>
      </c>
    </row>
    <row r="74">
      <c r="A74" s="0" t="inlineStr">
        <is>
          <t>MT-FL-300A</t>
        </is>
      </c>
      <c r="B74" s="60" t="inlineStr">
        <is>
          <t>LED투광등기구</t>
        </is>
      </c>
      <c r="C74" s="0">
        <f>CONCATENATE(B74,", ",A74,", ",E74)</f>
        <v/>
      </c>
      <c r="E74" s="0" t="inlineStr">
        <is>
          <t>300W</t>
        </is>
      </c>
    </row>
    <row r="75">
      <c r="A75" s="0" t="inlineStr">
        <is>
          <t>MT-FL-400S</t>
        </is>
      </c>
      <c r="B75" s="60" t="inlineStr">
        <is>
          <t>LED투광등기구</t>
        </is>
      </c>
      <c r="C75" s="0">
        <f>CONCATENATE(B75,", ",A75,", ",E75)</f>
        <v/>
      </c>
      <c r="E75" s="0" t="inlineStr">
        <is>
          <t>400W</t>
        </is>
      </c>
    </row>
    <row r="76">
      <c r="A76" s="0" t="inlineStr">
        <is>
          <t>MT-FL-600A</t>
        </is>
      </c>
      <c r="B76" s="60" t="inlineStr">
        <is>
          <t>LED투광등기구</t>
        </is>
      </c>
      <c r="C76" s="0">
        <f>CONCATENATE(B76,", ",A76,", ",E76)</f>
        <v/>
      </c>
      <c r="E76" s="0" t="inlineStr">
        <is>
          <t>600W</t>
        </is>
      </c>
    </row>
    <row r="77">
      <c r="A77" s="0" t="inlineStr">
        <is>
          <t>MT-FLCR-009-01</t>
        </is>
      </c>
      <c r="B77" s="60" t="inlineStr">
        <is>
          <t>LED경관조명기구</t>
        </is>
      </c>
      <c r="C77" s="0">
        <f>CONCATENATE(B77,", ",A77,", ",E77)</f>
        <v/>
      </c>
      <c r="E77" s="0" t="inlineStr">
        <is>
          <t>9W</t>
        </is>
      </c>
    </row>
    <row r="78">
      <c r="A78" s="0" t="inlineStr">
        <is>
          <t>MT-FLCR-012-01</t>
        </is>
      </c>
      <c r="B78" s="60" t="inlineStr">
        <is>
          <t>LED경관조명기구</t>
        </is>
      </c>
      <c r="C78" s="0">
        <f>CONCATENATE(B78,", ",A78,", ",E78)</f>
        <v/>
      </c>
      <c r="E78" s="0" t="inlineStr">
        <is>
          <t>12W</t>
        </is>
      </c>
    </row>
    <row r="79">
      <c r="A79" s="0" t="inlineStr">
        <is>
          <t>MT-FLCR-016-01</t>
        </is>
      </c>
      <c r="B79" s="60" t="inlineStr">
        <is>
          <t>LED경관조명기구</t>
        </is>
      </c>
      <c r="C79" s="0">
        <f>CONCATENATE(B79,", ",A79,", ",E79)</f>
        <v/>
      </c>
      <c r="E79" s="0" t="inlineStr">
        <is>
          <t>16(8×2)W</t>
        </is>
      </c>
    </row>
    <row r="80">
      <c r="A80" s="0" t="inlineStr">
        <is>
          <t>MT-FLCR-018-01</t>
        </is>
      </c>
      <c r="B80" s="60" t="inlineStr">
        <is>
          <t>LED경관조명기구</t>
        </is>
      </c>
      <c r="C80" s="0">
        <f>CONCATENATE(B80,", ",A80,", ",E80)</f>
        <v/>
      </c>
      <c r="E80" s="0" t="inlineStr">
        <is>
          <t>18W</t>
        </is>
      </c>
    </row>
    <row r="81">
      <c r="A81" s="0" t="inlineStr">
        <is>
          <t>MT-FLCR-018-02</t>
        </is>
      </c>
      <c r="B81" s="60" t="inlineStr">
        <is>
          <t>LED경관조명기구</t>
        </is>
      </c>
      <c r="C81" s="0">
        <f>CONCATENATE(B81,", ",A81,", ",E81)</f>
        <v/>
      </c>
      <c r="E81" s="0" t="inlineStr">
        <is>
          <t>18W</t>
        </is>
      </c>
    </row>
    <row r="82">
      <c r="A82" s="0" t="inlineStr">
        <is>
          <t>MT-FLCR-024-01</t>
        </is>
      </c>
      <c r="B82" s="60" t="inlineStr">
        <is>
          <t>LED경관조명기구</t>
        </is>
      </c>
      <c r="C82" s="0">
        <f>CONCATENATE(B82,", ",A82,", ",E82)</f>
        <v/>
      </c>
      <c r="E82" s="0" t="inlineStr">
        <is>
          <t>24W</t>
        </is>
      </c>
    </row>
    <row r="83">
      <c r="A83" s="0" t="inlineStr">
        <is>
          <t>MT-FLCR-024-02</t>
        </is>
      </c>
      <c r="B83" s="60" t="inlineStr">
        <is>
          <t>LED경관조명기구</t>
        </is>
      </c>
      <c r="C83" s="0">
        <f>CONCATENATE(B83,", ",A83,", ",E83)</f>
        <v/>
      </c>
      <c r="E83" s="0" t="inlineStr">
        <is>
          <t>24W</t>
        </is>
      </c>
    </row>
    <row r="84">
      <c r="A84" s="0" t="inlineStr">
        <is>
          <t>MT-FLCR-025-01</t>
        </is>
      </c>
      <c r="B84" s="60" t="inlineStr">
        <is>
          <t>LED경관조명기구</t>
        </is>
      </c>
      <c r="C84" s="0">
        <f>CONCATENATE(B84,", ",A84,", ",E84)</f>
        <v/>
      </c>
      <c r="E84" s="0" t="inlineStr">
        <is>
          <t>25W</t>
        </is>
      </c>
    </row>
    <row r="85">
      <c r="A85" s="0" t="inlineStr">
        <is>
          <t>MT-FLCR-036-01</t>
        </is>
      </c>
      <c r="B85" s="60" t="inlineStr">
        <is>
          <t>LED경관조명기구</t>
        </is>
      </c>
      <c r="C85" s="0">
        <f>CONCATENATE(B85,", ",A85,", ",E85)</f>
        <v/>
      </c>
      <c r="E85" s="0" t="inlineStr">
        <is>
          <t>36W</t>
        </is>
      </c>
    </row>
    <row r="86">
      <c r="A86" s="0" t="inlineStr">
        <is>
          <t>MT-FLCR-045-01</t>
        </is>
      </c>
      <c r="B86" s="60" t="inlineStr">
        <is>
          <t>LED경관조명기구</t>
        </is>
      </c>
      <c r="C86" s="0">
        <f>CONCATENATE(B86,", ",A86,", ",E86)</f>
        <v/>
      </c>
      <c r="E86" s="0" t="inlineStr">
        <is>
          <t>45W</t>
        </is>
      </c>
    </row>
    <row r="87">
      <c r="A87" s="0" t="inlineStr">
        <is>
          <t>MT-FLCR-048-01</t>
        </is>
      </c>
      <c r="B87" s="60" t="inlineStr">
        <is>
          <t>LED경관조명기구</t>
        </is>
      </c>
      <c r="C87" s="0">
        <f>CONCATENATE(B87,", ",A87,", ",E87)</f>
        <v/>
      </c>
      <c r="E87" s="0" t="inlineStr">
        <is>
          <t>48W</t>
        </is>
      </c>
    </row>
    <row r="88">
      <c r="A88" s="0" t="inlineStr">
        <is>
          <t>MT-FLCR-050-01</t>
        </is>
      </c>
      <c r="B88" s="60" t="inlineStr">
        <is>
          <t>LED경관조명기구</t>
        </is>
      </c>
      <c r="C88" s="0">
        <f>CONCATENATE(B88,", ",A88,", ",E88)</f>
        <v/>
      </c>
      <c r="E88" s="0" t="inlineStr">
        <is>
          <t>50W</t>
        </is>
      </c>
    </row>
    <row r="89">
      <c r="A89" s="0" t="inlineStr">
        <is>
          <t>MT-FLCR-060-01</t>
        </is>
      </c>
      <c r="B89" s="60" t="inlineStr">
        <is>
          <t>LED경관조명기구</t>
        </is>
      </c>
      <c r="C89" s="0">
        <f>CONCATENATE(B89,", ",A89,", ",E89)</f>
        <v/>
      </c>
      <c r="E89" s="0" t="inlineStr">
        <is>
          <t>60W</t>
        </is>
      </c>
    </row>
    <row r="90">
      <c r="A90" s="0" t="inlineStr">
        <is>
          <t>MT-FLCR-060-02</t>
        </is>
      </c>
      <c r="B90" s="60" t="inlineStr">
        <is>
          <t>LED경관조명기구</t>
        </is>
      </c>
      <c r="C90" s="0">
        <f>CONCATENATE(B90,", ",A90,", ",E90)</f>
        <v/>
      </c>
      <c r="E90" s="0" t="inlineStr">
        <is>
          <t>60W</t>
        </is>
      </c>
    </row>
    <row r="91">
      <c r="A91" s="0" t="inlineStr">
        <is>
          <t>MT-FLCR-060-03</t>
        </is>
      </c>
      <c r="B91" s="60" t="inlineStr">
        <is>
          <t>LED경관조명기구</t>
        </is>
      </c>
      <c r="C91" s="0">
        <f>CONCATENATE(B91,", ",A91,", ",E91)</f>
        <v/>
      </c>
      <c r="E91" s="0" t="inlineStr">
        <is>
          <t>60W</t>
        </is>
      </c>
    </row>
    <row r="92">
      <c r="A92" s="0" t="inlineStr">
        <is>
          <t>MT-FLCR-072-01</t>
        </is>
      </c>
      <c r="B92" s="60" t="inlineStr">
        <is>
          <t>LED경관조명기구</t>
        </is>
      </c>
      <c r="C92" s="0">
        <f>CONCATENATE(B92,", ",A92,", ",E92)</f>
        <v/>
      </c>
      <c r="E92" s="0" t="inlineStr">
        <is>
          <t>72W</t>
        </is>
      </c>
    </row>
    <row r="93">
      <c r="A93" s="0" t="inlineStr">
        <is>
          <t>MT-FLCR-072-02</t>
        </is>
      </c>
      <c r="B93" s="60" t="inlineStr">
        <is>
          <t>LED경관조명기구</t>
        </is>
      </c>
      <c r="C93" s="0">
        <f>CONCATENATE(B93,", ",A93,", ",E93)</f>
        <v/>
      </c>
      <c r="E93" s="0" t="inlineStr">
        <is>
          <t>72W</t>
        </is>
      </c>
    </row>
    <row r="94">
      <c r="A94" s="0" t="inlineStr">
        <is>
          <t>MT-FLSQ-050-01</t>
        </is>
      </c>
      <c r="B94" s="60" t="inlineStr">
        <is>
          <t>LED경관조명기구</t>
        </is>
      </c>
      <c r="C94" s="0">
        <f>CONCATENATE(B94,", ",A94,", ",E94)</f>
        <v/>
      </c>
      <c r="E94" s="0" t="inlineStr">
        <is>
          <t>50W</t>
        </is>
      </c>
    </row>
    <row r="95">
      <c r="A95" s="0" t="inlineStr">
        <is>
          <t>MT-FLSQ-060-01</t>
        </is>
      </c>
      <c r="B95" s="60" t="inlineStr">
        <is>
          <t>LED경관조명기구</t>
        </is>
      </c>
      <c r="C95" s="0">
        <f>CONCATENATE(B95,", ",A95,", ",E95)</f>
        <v/>
      </c>
      <c r="E95" s="0" t="inlineStr">
        <is>
          <t>60W</t>
        </is>
      </c>
    </row>
    <row r="96">
      <c r="A96" s="0" t="inlineStr">
        <is>
          <t>MT-FLSQ-100-01</t>
        </is>
      </c>
      <c r="B96" s="60" t="inlineStr">
        <is>
          <t>LED경관조명기구</t>
        </is>
      </c>
      <c r="C96" s="0">
        <f>CONCATENATE(B96,", ",A96,", ",E96)</f>
        <v/>
      </c>
      <c r="E96" s="0" t="inlineStr">
        <is>
          <t>100W</t>
        </is>
      </c>
    </row>
    <row r="97">
      <c r="A97" s="0" t="inlineStr">
        <is>
          <t>MT-FLSQ-120-01</t>
        </is>
      </c>
      <c r="B97" s="60" t="inlineStr">
        <is>
          <t>LED경관조명기구</t>
        </is>
      </c>
      <c r="C97" s="0">
        <f>CONCATENATE(B97,", ",A97,", ",E97)</f>
        <v/>
      </c>
      <c r="E97" s="0" t="inlineStr">
        <is>
          <t>120W</t>
        </is>
      </c>
    </row>
    <row r="98">
      <c r="A98" s="0" t="inlineStr">
        <is>
          <t>MT-FLSQ-150-01</t>
        </is>
      </c>
      <c r="B98" s="60" t="inlineStr">
        <is>
          <t>LED경관조명기구</t>
        </is>
      </c>
      <c r="C98" s="0">
        <f>CONCATENATE(B98,", ",A98,", ",E98)</f>
        <v/>
      </c>
      <c r="E98" s="0" t="inlineStr">
        <is>
          <t>150W</t>
        </is>
      </c>
    </row>
    <row r="99">
      <c r="A99" s="0" t="inlineStr">
        <is>
          <t>MT-FLSQ-200-01</t>
        </is>
      </c>
      <c r="B99" s="60" t="inlineStr">
        <is>
          <t>LED경관조명기구</t>
        </is>
      </c>
      <c r="C99" s="0">
        <f>CONCATENATE(B99,", ",A99,", ",E99)</f>
        <v/>
      </c>
      <c r="E99" s="0" t="inlineStr">
        <is>
          <t>200W</t>
        </is>
      </c>
    </row>
    <row r="100">
      <c r="A100" s="0" t="inlineStr">
        <is>
          <t>MT-FLSQ-260-01</t>
        </is>
      </c>
      <c r="B100" s="60" t="inlineStr">
        <is>
          <t>LED경관조명기구</t>
        </is>
      </c>
      <c r="C100" s="0">
        <f>CONCATENATE(B100,", ",A100,", ",E100)</f>
        <v/>
      </c>
      <c r="E100" s="0" t="inlineStr">
        <is>
          <t>260W</t>
        </is>
      </c>
    </row>
    <row r="101">
      <c r="A101" s="0" t="inlineStr">
        <is>
          <t>MT-FLSQ-450-01</t>
        </is>
      </c>
      <c r="B101" s="60" t="inlineStr">
        <is>
          <t>LED경관조명기구</t>
        </is>
      </c>
      <c r="C101" s="0">
        <f>CONCATENATE(B101,", ",A101,", ",E101)</f>
        <v/>
      </c>
      <c r="E101" s="0" t="inlineStr">
        <is>
          <t>450W</t>
        </is>
      </c>
    </row>
    <row r="102">
      <c r="A102" s="0" t="inlineStr">
        <is>
          <t>MT-FLSQ-520-01</t>
        </is>
      </c>
      <c r="B102" s="60" t="inlineStr">
        <is>
          <t>LED경관조명기구</t>
        </is>
      </c>
      <c r="C102" s="0">
        <f>CONCATENATE(B102,", ",A102,", ",E102)</f>
        <v/>
      </c>
      <c r="E102" s="0" t="inlineStr">
        <is>
          <t>520W</t>
        </is>
      </c>
    </row>
    <row r="103">
      <c r="A103" s="0" t="inlineStr">
        <is>
          <t>MT-FLSQ-900-01</t>
        </is>
      </c>
      <c r="B103" s="60" t="inlineStr">
        <is>
          <t>LED경관조명기구</t>
        </is>
      </c>
      <c r="C103" s="0">
        <f>CONCATENATE(B103,", ",A103,", ",E103)</f>
        <v/>
      </c>
      <c r="E103" s="0" t="inlineStr">
        <is>
          <t>900W</t>
        </is>
      </c>
    </row>
    <row r="104">
      <c r="A104" s="0" t="inlineStr">
        <is>
          <t>MT-FXWR-012-01</t>
        </is>
      </c>
      <c r="B104" s="60" t="inlineStr">
        <is>
          <t>LED경관조명기구</t>
        </is>
      </c>
      <c r="C104" s="0">
        <f>CONCATENATE(B104,", ",A104,", ",E104)</f>
        <v/>
      </c>
      <c r="E104" s="0" t="inlineStr">
        <is>
          <t>12W</t>
        </is>
      </c>
    </row>
    <row r="105">
      <c r="A105" s="0" t="inlineStr">
        <is>
          <t>MT-FXWR-023-01</t>
        </is>
      </c>
      <c r="B105" s="60" t="inlineStr">
        <is>
          <t>LED경관조명기구</t>
        </is>
      </c>
      <c r="C105" s="0">
        <f>CONCATENATE(B105,", ",A105,", ",E105)</f>
        <v/>
      </c>
      <c r="E105" s="0" t="inlineStr">
        <is>
          <t>23W</t>
        </is>
      </c>
    </row>
    <row r="106">
      <c r="A106" s="0" t="inlineStr">
        <is>
          <t>MT-LBSQ-011-01</t>
        </is>
      </c>
      <c r="B106" s="60" t="inlineStr">
        <is>
          <t>LED경관조명기구</t>
        </is>
      </c>
      <c r="C106" s="0">
        <f>CONCATENATE(B106,", ",A106,", ",E106)</f>
        <v/>
      </c>
      <c r="E106" s="0" t="inlineStr">
        <is>
          <t>11W</t>
        </is>
      </c>
    </row>
    <row r="107">
      <c r="A107" s="0" t="inlineStr">
        <is>
          <t>MT-LBSQ-015-01</t>
        </is>
      </c>
      <c r="B107" s="0" t="inlineStr">
        <is>
          <t>LED경관조명기구</t>
        </is>
      </c>
      <c r="C107" s="0">
        <f>CONCATENATE(B107,", ",A107,", ",E107)</f>
        <v/>
      </c>
      <c r="E107" s="0" t="inlineStr">
        <is>
          <t>15W</t>
        </is>
      </c>
    </row>
    <row r="108">
      <c r="A108" s="0" t="inlineStr">
        <is>
          <t>MT-LBSQ-015-02</t>
        </is>
      </c>
      <c r="B108" s="0" t="inlineStr">
        <is>
          <t>LED경관조명기구</t>
        </is>
      </c>
      <c r="C108" s="0">
        <f>CONCATENATE(B108,", ",A108,", ",E108)</f>
        <v/>
      </c>
      <c r="E108" s="0" t="inlineStr">
        <is>
          <t>15W</t>
        </is>
      </c>
    </row>
    <row r="109">
      <c r="A109" s="0" t="inlineStr">
        <is>
          <t>MT-LBST-008-01</t>
        </is>
      </c>
      <c r="B109" s="0" t="inlineStr">
        <is>
          <t>LED경관조명기구</t>
        </is>
      </c>
      <c r="C109" s="0">
        <f>CONCATENATE(B109,", ",A109,", ",E109)</f>
        <v/>
      </c>
      <c r="E109" s="0" t="inlineStr">
        <is>
          <t>8W</t>
        </is>
      </c>
    </row>
    <row r="110">
      <c r="A110" s="0" t="inlineStr">
        <is>
          <t>MT-LBST-012-01</t>
        </is>
      </c>
      <c r="B110" s="0" t="inlineStr">
        <is>
          <t>LED경관조명기구</t>
        </is>
      </c>
      <c r="C110" s="0">
        <f>CONCATENATE(B110,", ",A110,", ",E110)</f>
        <v/>
      </c>
      <c r="E110" s="0" t="inlineStr">
        <is>
          <t>12W</t>
        </is>
      </c>
    </row>
    <row r="111">
      <c r="A111" s="0" t="inlineStr">
        <is>
          <t>MT-LBST-015-01</t>
        </is>
      </c>
      <c r="B111" s="0" t="inlineStr">
        <is>
          <t>LED경관조명기구</t>
        </is>
      </c>
      <c r="C111" s="0">
        <f>CONCATENATE(B111,", ",A111,", ",E111)</f>
        <v/>
      </c>
      <c r="E111" s="0" t="inlineStr">
        <is>
          <t>15W</t>
        </is>
      </c>
    </row>
    <row r="112">
      <c r="A112" s="0" t="inlineStr">
        <is>
          <t>MT-LBST-018-01</t>
        </is>
      </c>
      <c r="B112" s="0" t="inlineStr">
        <is>
          <t>LED경관조명기구</t>
        </is>
      </c>
      <c r="C112" s="0">
        <f>CONCATENATE(B112,", ",A112,", ",E112)</f>
        <v/>
      </c>
      <c r="E112" s="0" t="inlineStr">
        <is>
          <t>18W</t>
        </is>
      </c>
    </row>
    <row r="113">
      <c r="A113" s="0" t="inlineStr">
        <is>
          <t>MT-LBST-018-02</t>
        </is>
      </c>
      <c r="B113" s="0" t="inlineStr">
        <is>
          <t>LED경관조명기구</t>
        </is>
      </c>
      <c r="C113" s="0">
        <f>CONCATENATE(B113,", ",A113,", ",E113)</f>
        <v/>
      </c>
      <c r="E113" s="0" t="inlineStr">
        <is>
          <t>18W</t>
        </is>
      </c>
    </row>
    <row r="114">
      <c r="A114" s="0" t="inlineStr">
        <is>
          <t>MT-LBST-021-01</t>
        </is>
      </c>
      <c r="B114" s="0" t="inlineStr">
        <is>
          <t>LED경관조명기구</t>
        </is>
      </c>
      <c r="C114" s="0">
        <f>CONCATENATE(B114,", ",A114,", ",E114)</f>
        <v/>
      </c>
      <c r="E114" s="0" t="inlineStr">
        <is>
          <t>21W</t>
        </is>
      </c>
    </row>
    <row r="115">
      <c r="A115" s="0" t="inlineStr">
        <is>
          <t>MT-LBST-021-02</t>
        </is>
      </c>
      <c r="B115" s="0" t="inlineStr">
        <is>
          <t>LED경관조명기구</t>
        </is>
      </c>
      <c r="C115" s="0">
        <f>CONCATENATE(B115,", ",A115,", ",E115)</f>
        <v/>
      </c>
      <c r="E115" s="0" t="inlineStr">
        <is>
          <t>21W</t>
        </is>
      </c>
    </row>
    <row r="116">
      <c r="A116" s="0" t="inlineStr">
        <is>
          <t>MT-LBST-024-01</t>
        </is>
      </c>
      <c r="B116" s="0" t="inlineStr">
        <is>
          <t>LED경관조명기구</t>
        </is>
      </c>
      <c r="C116" s="0">
        <f>CONCATENATE(B116,", ",A116,", ",E116)</f>
        <v/>
      </c>
      <c r="E116" s="0" t="inlineStr">
        <is>
          <t>24W</t>
        </is>
      </c>
    </row>
    <row r="117">
      <c r="A117" s="0" t="inlineStr">
        <is>
          <t>MT-LBST-024-02</t>
        </is>
      </c>
      <c r="B117" s="0" t="inlineStr">
        <is>
          <t>LED경관조명기구</t>
        </is>
      </c>
      <c r="C117" s="0">
        <f>CONCATENATE(B117,", ",A117,", ",E117)</f>
        <v/>
      </c>
      <c r="E117" s="0" t="inlineStr">
        <is>
          <t>24W</t>
        </is>
      </c>
    </row>
    <row r="118">
      <c r="A118" s="0" t="inlineStr">
        <is>
          <t>MT-LBST-024-03</t>
        </is>
      </c>
      <c r="B118" s="0" t="inlineStr">
        <is>
          <t>LED경관조명기구</t>
        </is>
      </c>
      <c r="C118" s="0">
        <f>CONCATENATE(B118,", ",A118,", ",E118)</f>
        <v/>
      </c>
      <c r="E118" s="0" t="inlineStr">
        <is>
          <t>24W</t>
        </is>
      </c>
    </row>
    <row r="119">
      <c r="A119" s="0" t="inlineStr">
        <is>
          <t>MT-LBST-036-01</t>
        </is>
      </c>
      <c r="B119" s="0" t="inlineStr">
        <is>
          <t>LED경관조명기구</t>
        </is>
      </c>
      <c r="C119" s="0">
        <f>CONCATENATE(B119,", ",A119,", ",E119)</f>
        <v/>
      </c>
      <c r="E119" s="0" t="inlineStr">
        <is>
          <t>36W</t>
        </is>
      </c>
    </row>
    <row r="120">
      <c r="A120" s="0" t="inlineStr">
        <is>
          <t>MT-LBST-036-02</t>
        </is>
      </c>
      <c r="B120" s="0" t="inlineStr">
        <is>
          <t>LED경관조명기구</t>
        </is>
      </c>
      <c r="C120" s="0">
        <f>CONCATENATE(B120,", ",A120,", ",E120)</f>
        <v/>
      </c>
      <c r="E120" s="0" t="inlineStr">
        <is>
          <t>36W</t>
        </is>
      </c>
    </row>
    <row r="121">
      <c r="A121" s="0" t="inlineStr">
        <is>
          <t>MT-LBST-036-03</t>
        </is>
      </c>
      <c r="B121" s="0" t="inlineStr">
        <is>
          <t>LED경관조명기구</t>
        </is>
      </c>
      <c r="C121" s="0">
        <f>CONCATENATE(B121,", ",A121,", ",E121)</f>
        <v/>
      </c>
      <c r="E121" s="0" t="inlineStr">
        <is>
          <t>36W</t>
        </is>
      </c>
    </row>
    <row r="122">
      <c r="A122" s="0" t="inlineStr">
        <is>
          <t>MT-LBST-036-04</t>
        </is>
      </c>
      <c r="B122" s="0" t="inlineStr">
        <is>
          <t>LED경관조명기구</t>
        </is>
      </c>
      <c r="C122" s="0">
        <f>CONCATENATE(B122,", ",A122,", ",E122)</f>
        <v/>
      </c>
      <c r="E122" s="0" t="inlineStr">
        <is>
          <t>36W</t>
        </is>
      </c>
    </row>
    <row r="123">
      <c r="A123" s="0" t="inlineStr">
        <is>
          <t>MT-LBST-054-01</t>
        </is>
      </c>
      <c r="B123" s="0" t="inlineStr">
        <is>
          <t>LED경관조명기구</t>
        </is>
      </c>
      <c r="C123" s="0">
        <f>CONCATENATE(B123,", ",A123,", ",E123)</f>
        <v/>
      </c>
      <c r="E123" s="0" t="inlineStr">
        <is>
          <t>54W</t>
        </is>
      </c>
    </row>
    <row r="124">
      <c r="A124" s="0" t="inlineStr">
        <is>
          <t>MT-LFST-048-01</t>
        </is>
      </c>
      <c r="B124" s="0" t="inlineStr">
        <is>
          <t>LED경관조명기구</t>
        </is>
      </c>
      <c r="C124" s="0">
        <f>CONCATENATE(B124,", ",A124,", ",E124)</f>
        <v/>
      </c>
      <c r="E124" s="0" t="inlineStr">
        <is>
          <t>48W</t>
        </is>
      </c>
    </row>
    <row r="125">
      <c r="A125" s="0" t="inlineStr">
        <is>
          <t>MT-LFST-072-01</t>
        </is>
      </c>
      <c r="B125" s="0" t="inlineStr">
        <is>
          <t>LED경관조명기구</t>
        </is>
      </c>
      <c r="C125" s="0">
        <f>CONCATENATE(B125,", ",A125,", ",E125)</f>
        <v/>
      </c>
      <c r="E125" s="0" t="inlineStr">
        <is>
          <t>72W</t>
        </is>
      </c>
    </row>
    <row r="126">
      <c r="A126" s="0" t="inlineStr">
        <is>
          <t>MT-LFST-072-02</t>
        </is>
      </c>
      <c r="B126" s="0" t="inlineStr">
        <is>
          <t>LED경관조명기구</t>
        </is>
      </c>
      <c r="C126" s="0">
        <f>CONCATENATE(B126,", ",A126,", ",E126)</f>
        <v/>
      </c>
      <c r="E126" s="0" t="inlineStr">
        <is>
          <t>72W</t>
        </is>
      </c>
    </row>
    <row r="127">
      <c r="A127" s="0" t="inlineStr">
        <is>
          <t>MT-LFST-072-03</t>
        </is>
      </c>
      <c r="B127" s="0" t="inlineStr">
        <is>
          <t>LED경관조명기구</t>
        </is>
      </c>
      <c r="C127" s="0">
        <f>CONCATENATE(B127,", ",A127,", ",E127)</f>
        <v/>
      </c>
      <c r="E127" s="0" t="inlineStr">
        <is>
          <t>72W</t>
        </is>
      </c>
    </row>
    <row r="128">
      <c r="A128" s="0" t="inlineStr">
        <is>
          <t>MT-LFST-144-01</t>
        </is>
      </c>
      <c r="B128" s="0" t="inlineStr">
        <is>
          <t>LED경관조명기구</t>
        </is>
      </c>
      <c r="C128" s="0">
        <f>CONCATENATE(B128,", ",A128,", ",E128)</f>
        <v/>
      </c>
      <c r="E128" s="0" t="inlineStr">
        <is>
          <t>144W</t>
        </is>
      </c>
    </row>
    <row r="129">
      <c r="A129" s="0" t="inlineStr">
        <is>
          <t>MT-MLSP-012-01</t>
        </is>
      </c>
      <c r="B129" s="0" t="inlineStr">
        <is>
          <t>LED경관조명기구</t>
        </is>
      </c>
      <c r="C129" s="0">
        <f>CONCATENATE(B129,", ",A129,", ",E129)</f>
        <v/>
      </c>
      <c r="E129" s="0" t="inlineStr">
        <is>
          <t>12W</t>
        </is>
      </c>
    </row>
    <row r="130">
      <c r="A130" s="0" t="inlineStr">
        <is>
          <t>MT-MLSP-012-02</t>
        </is>
      </c>
      <c r="B130" s="0" t="inlineStr">
        <is>
          <t>LED경관조명기구</t>
        </is>
      </c>
      <c r="C130" s="0">
        <f>CONCATENATE(B130,", ",A130,", ",E130)</f>
        <v/>
      </c>
      <c r="E130" s="0" t="inlineStr">
        <is>
          <t>12W</t>
        </is>
      </c>
    </row>
    <row r="131">
      <c r="A131" s="0" t="inlineStr">
        <is>
          <t>MT-MLSQ-009-01</t>
        </is>
      </c>
      <c r="B131" s="0" t="inlineStr">
        <is>
          <t>LED경관조명기구</t>
        </is>
      </c>
      <c r="C131" s="0">
        <f>CONCATENATE(B131,", ",A131,", ",E131)</f>
        <v/>
      </c>
      <c r="E131" s="0" t="inlineStr">
        <is>
          <t>9W</t>
        </is>
      </c>
    </row>
    <row r="132">
      <c r="A132" s="0" t="inlineStr">
        <is>
          <t>MT-OBEL-005-01</t>
        </is>
      </c>
      <c r="B132" s="0" t="inlineStr">
        <is>
          <t>LED경관조명기구</t>
        </is>
      </c>
      <c r="C132" s="0">
        <f>CONCATENATE(B132,", ",A132,", ",E132)</f>
        <v/>
      </c>
      <c r="E132" s="0" t="inlineStr">
        <is>
          <t>5W</t>
        </is>
      </c>
    </row>
    <row r="133">
      <c r="A133" s="0" t="inlineStr">
        <is>
          <t>MT-OBEL-3_5-01</t>
        </is>
      </c>
      <c r="B133" s="0" t="inlineStr">
        <is>
          <t>LED경관조명기구</t>
        </is>
      </c>
      <c r="C133" s="0">
        <f>CONCATENATE(B133,", ",A133,", ",E133)</f>
        <v/>
      </c>
      <c r="E133" s="0" t="inlineStr">
        <is>
          <t>3.5W</t>
        </is>
      </c>
    </row>
    <row r="134">
      <c r="A134" s="0" t="inlineStr">
        <is>
          <t>MT-OBSC-100-01</t>
        </is>
      </c>
      <c r="B134" s="0" t="inlineStr">
        <is>
          <t>LED경관조명기구</t>
        </is>
      </c>
      <c r="C134" s="0">
        <f>CONCATENATE(B134,", ",A134,", ",E134)</f>
        <v/>
      </c>
      <c r="E134" s="0" t="inlineStr">
        <is>
          <t>100W</t>
        </is>
      </c>
    </row>
    <row r="135">
      <c r="A135" s="0" t="inlineStr">
        <is>
          <t>MT-OBSQ-005-01</t>
        </is>
      </c>
      <c r="B135" s="0" t="inlineStr">
        <is>
          <t>LED경관조명기구</t>
        </is>
      </c>
      <c r="C135" s="0">
        <f>CONCATENATE(B135,", ",A135,", ",E135)</f>
        <v/>
      </c>
      <c r="E135" s="0" t="inlineStr">
        <is>
          <t>5W</t>
        </is>
      </c>
    </row>
    <row r="136">
      <c r="A136" s="0" t="inlineStr">
        <is>
          <t>MT-OBSQ-005-02</t>
        </is>
      </c>
      <c r="B136" s="0" t="inlineStr">
        <is>
          <t>LED경관조명기구</t>
        </is>
      </c>
      <c r="C136" s="0">
        <f>CONCATENATE(B136,", ",A136,", ",E136)</f>
        <v/>
      </c>
      <c r="E136" s="0" t="inlineStr">
        <is>
          <t>3.5W</t>
        </is>
      </c>
    </row>
    <row r="137">
      <c r="A137" s="0" t="inlineStr">
        <is>
          <t>MT-OBSR-005-01</t>
        </is>
      </c>
      <c r="B137" s="0" t="inlineStr">
        <is>
          <t>LED경관조명기구</t>
        </is>
      </c>
      <c r="C137" s="0">
        <f>CONCATENATE(B137,", ",A137,", ",E137)</f>
        <v/>
      </c>
      <c r="E137" s="0" t="inlineStr">
        <is>
          <t>3.5W</t>
        </is>
      </c>
    </row>
    <row r="138">
      <c r="A138" s="0" t="inlineStr">
        <is>
          <t>MT-OBSR-007-01</t>
        </is>
      </c>
      <c r="B138" s="0" t="inlineStr">
        <is>
          <t>LED경관조명기구</t>
        </is>
      </c>
      <c r="C138" s="0">
        <f>CONCATENATE(B138,", ",A138,", ",E138)</f>
        <v/>
      </c>
      <c r="E138" s="0" t="inlineStr">
        <is>
          <t>7W</t>
        </is>
      </c>
    </row>
    <row r="139">
      <c r="A139" s="0" t="inlineStr">
        <is>
          <t>MT-OBSR-007-02</t>
        </is>
      </c>
      <c r="B139" s="0" t="inlineStr">
        <is>
          <t>LED경관조명기구</t>
        </is>
      </c>
      <c r="C139" s="0">
        <f>CONCATENATE(B139,", ",A139,", ",E139)</f>
        <v/>
      </c>
      <c r="E139" s="0" t="inlineStr">
        <is>
          <t>7W</t>
        </is>
      </c>
    </row>
    <row r="140">
      <c r="A140" s="0" t="inlineStr">
        <is>
          <t>MT-SCBC-005-01</t>
        </is>
      </c>
      <c r="B140" s="0" t="inlineStr">
        <is>
          <t>LED경관조명기구</t>
        </is>
      </c>
      <c r="C140" s="0">
        <f>CONCATENATE(B140,", ",A140,", ",E140)</f>
        <v/>
      </c>
      <c r="E140" s="0" t="inlineStr">
        <is>
          <t>5W</t>
        </is>
      </c>
    </row>
    <row r="141">
      <c r="A141" s="0" t="inlineStr">
        <is>
          <t>MT-SCPL-120-01</t>
        </is>
      </c>
      <c r="B141" s="0" t="inlineStr">
        <is>
          <t>LED경관조명기구</t>
        </is>
      </c>
      <c r="C141" s="0">
        <f>CONCATENATE(B141,", ",A141,", ",E141)</f>
        <v/>
      </c>
      <c r="E141" s="0" t="inlineStr">
        <is>
          <t>120W</t>
        </is>
      </c>
    </row>
    <row r="142">
      <c r="A142" s="0" t="inlineStr">
        <is>
          <t>MT-SLA-030</t>
        </is>
      </c>
      <c r="B142" s="0" t="inlineStr">
        <is>
          <t>LED보안등기구</t>
        </is>
      </c>
      <c r="C142" s="0">
        <f>CONCATENATE(B142,", ",A142,", ",E142)</f>
        <v/>
      </c>
      <c r="E142" s="0" t="inlineStr">
        <is>
          <t>30W</t>
        </is>
      </c>
    </row>
    <row r="143">
      <c r="A143" s="0" t="inlineStr">
        <is>
          <t>MT-SLA-040</t>
        </is>
      </c>
      <c r="B143" s="0" t="inlineStr">
        <is>
          <t>LED보안등기구</t>
        </is>
      </c>
      <c r="C143" s="0">
        <f>CONCATENATE(B143,", ",A143,", ",E143)</f>
        <v/>
      </c>
      <c r="E143" s="0" t="inlineStr">
        <is>
          <t>40W</t>
        </is>
      </c>
    </row>
    <row r="144">
      <c r="A144" s="0" t="inlineStr">
        <is>
          <t>MT-SLA-050</t>
        </is>
      </c>
      <c r="B144" s="0" t="inlineStr">
        <is>
          <t>LED보안등기구</t>
        </is>
      </c>
      <c r="C144" s="0">
        <f>CONCATENATE(B144,", ",A144,", ",E144)</f>
        <v/>
      </c>
      <c r="E144" s="0" t="inlineStr">
        <is>
          <t>50W</t>
        </is>
      </c>
    </row>
    <row r="145">
      <c r="A145" s="0" t="inlineStr">
        <is>
          <t>MT-SLA-075</t>
        </is>
      </c>
      <c r="B145" s="0" t="inlineStr">
        <is>
          <t>LED가로등기구</t>
        </is>
      </c>
      <c r="C145" s="0">
        <f>CONCATENATE(B145,", ",A145,", ",E145)</f>
        <v/>
      </c>
      <c r="E145" s="0" t="inlineStr">
        <is>
          <t>75W</t>
        </is>
      </c>
    </row>
    <row r="146">
      <c r="A146" s="0" t="inlineStr">
        <is>
          <t>MT-SLA-100</t>
        </is>
      </c>
      <c r="B146" s="0" t="inlineStr">
        <is>
          <t>LED가로등기구</t>
        </is>
      </c>
      <c r="C146" s="0">
        <f>CONCATENATE(B146,", ",A146,", ",E146)</f>
        <v/>
      </c>
      <c r="E146" s="0" t="inlineStr">
        <is>
          <t>100W</t>
        </is>
      </c>
    </row>
    <row r="147">
      <c r="A147" s="0" t="inlineStr">
        <is>
          <t>MT-SLA-125</t>
        </is>
      </c>
      <c r="B147" s="0" t="inlineStr">
        <is>
          <t>LED가로등기구</t>
        </is>
      </c>
      <c r="C147" s="0">
        <f>CONCATENATE(B147,", ",A147,", ",E147)</f>
        <v/>
      </c>
      <c r="E147" s="0" t="inlineStr">
        <is>
          <t>125W</t>
        </is>
      </c>
    </row>
    <row r="148">
      <c r="A148" s="0" t="inlineStr">
        <is>
          <t>MT-SLA-150</t>
        </is>
      </c>
      <c r="B148" s="0" t="inlineStr">
        <is>
          <t>LED가로등기구</t>
        </is>
      </c>
      <c r="C148" s="0">
        <f>CONCATENATE(B148,", ",A148,", ",E148)</f>
        <v/>
      </c>
      <c r="E148" s="0" t="inlineStr">
        <is>
          <t>150W</t>
        </is>
      </c>
    </row>
    <row r="149">
      <c r="A149" s="0" t="inlineStr">
        <is>
          <t>MT-SLA(D)-040</t>
        </is>
      </c>
      <c r="B149" s="0" t="inlineStr">
        <is>
          <t>LED보안등기구</t>
        </is>
      </c>
      <c r="C149" s="0">
        <f>CONCATENATE(B149,", ",A149,", ",E149)</f>
        <v/>
      </c>
      <c r="E149" s="0" t="inlineStr">
        <is>
          <t>40W</t>
        </is>
      </c>
    </row>
    <row r="150">
      <c r="A150" s="0" t="inlineStr">
        <is>
          <t>MT-SLA(D)-050</t>
        </is>
      </c>
      <c r="B150" s="0" t="inlineStr">
        <is>
          <t>LED보안등기구</t>
        </is>
      </c>
      <c r="C150" s="0">
        <f>CONCATENATE(B150,", ",A150,", ",E150)</f>
        <v/>
      </c>
      <c r="E150" s="0" t="inlineStr">
        <is>
          <t>50W</t>
        </is>
      </c>
    </row>
    <row r="151">
      <c r="A151" s="0" t="inlineStr">
        <is>
          <t>MT-SLA(D)-100</t>
        </is>
      </c>
      <c r="B151" s="0" t="inlineStr">
        <is>
          <t>LED가로등기구</t>
        </is>
      </c>
      <c r="C151" s="0">
        <f>CONCATENATE(B151,", ",A151,", ",E151)</f>
        <v/>
      </c>
      <c r="E151" s="0" t="inlineStr">
        <is>
          <t>100W</t>
        </is>
      </c>
    </row>
    <row r="152">
      <c r="A152" s="0" t="inlineStr">
        <is>
          <t>MT-SLA(D)-125</t>
        </is>
      </c>
      <c r="B152" s="0" t="inlineStr">
        <is>
          <t>LED가로등기구</t>
        </is>
      </c>
      <c r="C152" s="0">
        <f>CONCATENATE(B152,", ",A152,", ",E152)</f>
        <v/>
      </c>
      <c r="E152" s="0" t="inlineStr">
        <is>
          <t>125W</t>
        </is>
      </c>
    </row>
    <row r="153">
      <c r="A153" s="0" t="inlineStr">
        <is>
          <t>MT-SLA(D)-150</t>
        </is>
      </c>
      <c r="B153" s="0" t="inlineStr">
        <is>
          <t>LED가로등기구</t>
        </is>
      </c>
      <c r="C153" s="0">
        <f>CONCATENATE(B153,", ",A153,", ",E153)</f>
        <v/>
      </c>
      <c r="E153" s="0" t="inlineStr">
        <is>
          <t>150W</t>
        </is>
      </c>
    </row>
    <row r="154">
      <c r="A154" s="0" t="inlineStr">
        <is>
          <t>MT-SLC-025-35</t>
        </is>
      </c>
      <c r="B154" s="0" t="inlineStr">
        <is>
          <t>LED보안등기구</t>
        </is>
      </c>
      <c r="C154" s="0">
        <f>CONCATENATE(B154,", ",A154,", ",E154)</f>
        <v/>
      </c>
      <c r="E154" s="0" t="inlineStr">
        <is>
          <t>25W</t>
        </is>
      </c>
    </row>
    <row r="155">
      <c r="A155" s="0" t="inlineStr">
        <is>
          <t>MT-SLC-050-35</t>
        </is>
      </c>
      <c r="B155" s="0" t="inlineStr">
        <is>
          <t>LED보안등기구</t>
        </is>
      </c>
      <c r="C155" s="0">
        <f>CONCATENATE(B155,", ",A155,", ",E155)</f>
        <v/>
      </c>
      <c r="E155" s="0" t="inlineStr">
        <is>
          <t>50W</t>
        </is>
      </c>
    </row>
    <row r="156">
      <c r="A156" s="0" t="inlineStr">
        <is>
          <t>MT-SLC-060</t>
        </is>
      </c>
      <c r="B156" s="0" t="inlineStr">
        <is>
          <t>LED보안등기구</t>
        </is>
      </c>
      <c r="C156" s="0">
        <f>CONCATENATE(B156,", ",A156,", ",E156)</f>
        <v/>
      </c>
      <c r="E156" s="0" t="inlineStr">
        <is>
          <t>60W</t>
        </is>
      </c>
    </row>
    <row r="157">
      <c r="A157" s="0" t="inlineStr">
        <is>
          <t>MT-SLC-075-40</t>
        </is>
      </c>
      <c r="B157" s="0" t="inlineStr">
        <is>
          <t>LED가로등기구</t>
        </is>
      </c>
      <c r="C157" s="0">
        <f>CONCATENATE(B157,", ",A157,", ",E157)</f>
        <v/>
      </c>
      <c r="E157" s="0" t="inlineStr">
        <is>
          <t>75W</t>
        </is>
      </c>
    </row>
    <row r="158">
      <c r="A158" s="0" t="inlineStr">
        <is>
          <t>MT-SLC-075-45</t>
        </is>
      </c>
      <c r="B158" s="0" t="inlineStr">
        <is>
          <t>LED가로등기구</t>
        </is>
      </c>
      <c r="C158" s="0">
        <f>CONCATENATE(B158,", ",A158,", ",E158)</f>
        <v/>
      </c>
      <c r="E158" s="0" t="inlineStr">
        <is>
          <t>75W</t>
        </is>
      </c>
    </row>
    <row r="159">
      <c r="A159" s="0" t="inlineStr">
        <is>
          <t>MT-SLC-075</t>
        </is>
      </c>
      <c r="B159" s="0" t="inlineStr">
        <is>
          <t>LED가로등기구</t>
        </is>
      </c>
      <c r="C159" s="0">
        <f>CONCATENATE(B159,", ",A159,", ",E159)</f>
        <v/>
      </c>
      <c r="E159" s="0" t="inlineStr">
        <is>
          <t>75W</t>
        </is>
      </c>
    </row>
    <row r="160">
      <c r="A160" s="0" t="inlineStr">
        <is>
          <t>MT-SLC-100-40</t>
        </is>
      </c>
      <c r="B160" s="0" t="inlineStr">
        <is>
          <t>LED가로등기구</t>
        </is>
      </c>
      <c r="C160" s="0">
        <f>CONCATENATE(B160,", ",A160,", ",E160)</f>
        <v/>
      </c>
      <c r="E160" s="0" t="inlineStr">
        <is>
          <t>100W</t>
        </is>
      </c>
    </row>
    <row r="161">
      <c r="A161" s="0" t="inlineStr">
        <is>
          <t>MT-SLC-100-45</t>
        </is>
      </c>
      <c r="B161" s="0" t="inlineStr">
        <is>
          <t>LED가로등기구</t>
        </is>
      </c>
      <c r="C161" s="0">
        <f>CONCATENATE(B161,", ",A161,", ",E161)</f>
        <v/>
      </c>
      <c r="E161" s="0" t="inlineStr">
        <is>
          <t>100W</t>
        </is>
      </c>
    </row>
    <row r="162">
      <c r="A162" s="0" t="inlineStr">
        <is>
          <t>MT-SLC-125-40</t>
        </is>
      </c>
      <c r="B162" s="0" t="inlineStr">
        <is>
          <t>LED가로등기구</t>
        </is>
      </c>
      <c r="C162" s="0">
        <f>CONCATENATE(B162,", ",A162,", ",E162)</f>
        <v/>
      </c>
      <c r="E162" s="0" t="inlineStr">
        <is>
          <t>125W</t>
        </is>
      </c>
    </row>
    <row r="163">
      <c r="A163" s="0" t="inlineStr">
        <is>
          <t>MT-SLC-125-45</t>
        </is>
      </c>
      <c r="B163" s="0" t="inlineStr">
        <is>
          <t>LED가로등기구</t>
        </is>
      </c>
      <c r="C163" s="0">
        <f>CONCATENATE(B163,", ",A163,", ",E163)</f>
        <v/>
      </c>
      <c r="E163" s="0" t="inlineStr">
        <is>
          <t>125W</t>
        </is>
      </c>
    </row>
    <row r="164">
      <c r="A164" s="0" t="inlineStr">
        <is>
          <t>MT-SLC-150-40</t>
        </is>
      </c>
      <c r="B164" s="0" t="inlineStr">
        <is>
          <t>LED가로등기구</t>
        </is>
      </c>
      <c r="C164" s="0">
        <f>CONCATENATE(B164,", ",A164,", ",E164)</f>
        <v/>
      </c>
      <c r="E164" s="0" t="inlineStr">
        <is>
          <t>150W</t>
        </is>
      </c>
    </row>
    <row r="165">
      <c r="A165" s="0" t="inlineStr">
        <is>
          <t>MT-SLC-150-45</t>
        </is>
      </c>
      <c r="B165" s="0" t="inlineStr">
        <is>
          <t>LED가로등기구</t>
        </is>
      </c>
      <c r="C165" s="0">
        <f>CONCATENATE(B165,", ",A165,", ",E165)</f>
        <v/>
      </c>
      <c r="E165" s="0" t="inlineStr">
        <is>
          <t>150W</t>
        </is>
      </c>
    </row>
    <row r="166">
      <c r="A166" s="0" t="inlineStr">
        <is>
          <t>MT-SLC-200</t>
        </is>
      </c>
      <c r="B166" s="0" t="inlineStr">
        <is>
          <t>LED가로등기구</t>
        </is>
      </c>
      <c r="C166" s="0">
        <f>CONCATENATE(B166,", ",A166,", ",E166)</f>
        <v/>
      </c>
      <c r="E166" s="0" t="inlineStr">
        <is>
          <t>200W</t>
        </is>
      </c>
    </row>
    <row r="167">
      <c r="A167" s="0" t="inlineStr">
        <is>
          <t>MT-SLC-240</t>
        </is>
      </c>
      <c r="B167" s="0" t="inlineStr">
        <is>
          <t>LED가로등기구</t>
        </is>
      </c>
      <c r="C167" s="0">
        <f>CONCATENATE(B167,", ",A167,", ",E167)</f>
        <v/>
      </c>
      <c r="E167" s="0" t="inlineStr">
        <is>
          <t>240W</t>
        </is>
      </c>
    </row>
    <row r="168">
      <c r="A168" s="0" t="inlineStr">
        <is>
          <t>MT-SPAR-008-01</t>
        </is>
      </c>
      <c r="B168" s="0" t="inlineStr">
        <is>
          <t>LED경관조명기구</t>
        </is>
      </c>
      <c r="C168" s="0">
        <f>CONCATENATE(B168,", ",A168,", ",E168)</f>
        <v/>
      </c>
      <c r="E168" s="0" t="inlineStr">
        <is>
          <t>8W</t>
        </is>
      </c>
    </row>
    <row r="169">
      <c r="A169" s="0" t="inlineStr">
        <is>
          <t>MT-SPCR-1_8-01</t>
        </is>
      </c>
      <c r="B169" s="0" t="inlineStr">
        <is>
          <t>LED경관조명기구</t>
        </is>
      </c>
      <c r="C169" s="0">
        <f>CONCATENATE(B169,", ",A169,", ",E169)</f>
        <v/>
      </c>
      <c r="E169" s="0" t="inlineStr">
        <is>
          <t>1.8W</t>
        </is>
      </c>
    </row>
    <row r="170">
      <c r="A170" s="0" t="inlineStr">
        <is>
          <t>MT-SPEL-012-01</t>
        </is>
      </c>
      <c r="B170" s="0" t="inlineStr">
        <is>
          <t>LED경관조명기구</t>
        </is>
      </c>
      <c r="C170" s="0">
        <f>CONCATENATE(B170,", ",A170,", ",E170)</f>
        <v/>
      </c>
      <c r="E170" s="0" t="inlineStr">
        <is>
          <t>12W</t>
        </is>
      </c>
    </row>
    <row r="171">
      <c r="A171" s="0" t="inlineStr">
        <is>
          <t>MT-SPWR-005-01</t>
        </is>
      </c>
      <c r="B171" s="0" t="inlineStr">
        <is>
          <t>LED경관조명기구</t>
        </is>
      </c>
      <c r="C171" s="0">
        <f>CONCATENATE(B171,", ",A171,", ",E171)</f>
        <v/>
      </c>
      <c r="E171" s="0" t="inlineStr">
        <is>
          <t>5W</t>
        </is>
      </c>
    </row>
    <row r="172">
      <c r="A172" s="0" t="inlineStr">
        <is>
          <t>MT-ULCR-003-01</t>
        </is>
      </c>
      <c r="B172" s="0" t="inlineStr">
        <is>
          <t>LED경관조명기구</t>
        </is>
      </c>
      <c r="C172" s="0">
        <f>CONCATENATE(B172,", ",A172,", ",E172)</f>
        <v/>
      </c>
      <c r="E172" s="0" t="inlineStr">
        <is>
          <t>3W</t>
        </is>
      </c>
    </row>
    <row r="173">
      <c r="A173" s="0" t="inlineStr">
        <is>
          <t>MT-ULCR-004-01</t>
        </is>
      </c>
      <c r="B173" s="0" t="inlineStr">
        <is>
          <t>LED경관조명기구</t>
        </is>
      </c>
      <c r="C173" s="0">
        <f>CONCATENATE(B173,", ",A173,", ",E173)</f>
        <v/>
      </c>
      <c r="E173" s="0" t="inlineStr">
        <is>
          <t>4W</t>
        </is>
      </c>
    </row>
    <row r="174">
      <c r="A174" s="0" t="inlineStr">
        <is>
          <t>MT-ULCR-005-01</t>
        </is>
      </c>
      <c r="B174" s="0" t="inlineStr">
        <is>
          <t>LED경관조명기구</t>
        </is>
      </c>
      <c r="C174" s="0">
        <f>CONCATENATE(B174,", ",A174,", ",E174)</f>
        <v/>
      </c>
      <c r="E174" s="0" t="inlineStr">
        <is>
          <t>5W</t>
        </is>
      </c>
    </row>
    <row r="175">
      <c r="A175" s="0" t="inlineStr">
        <is>
          <t>MT-ULCR-012-01</t>
        </is>
      </c>
      <c r="B175" s="0" t="inlineStr">
        <is>
          <t>LED경관조명기구</t>
        </is>
      </c>
      <c r="C175" s="0">
        <f>CONCATENATE(B175,", ",A175,", ",E175)</f>
        <v/>
      </c>
      <c r="E175" s="0" t="inlineStr">
        <is>
          <t>12W</t>
        </is>
      </c>
    </row>
    <row r="176">
      <c r="A176" s="0" t="inlineStr">
        <is>
          <t>MT-ULCR-014-01</t>
        </is>
      </c>
      <c r="B176" s="0" t="inlineStr">
        <is>
          <t>LED경관조명기구</t>
        </is>
      </c>
      <c r="C176" s="0">
        <f>CONCATENATE(B176,", ",A176,", ",E176)</f>
        <v/>
      </c>
      <c r="E176" s="0" t="inlineStr">
        <is>
          <t>14W</t>
        </is>
      </c>
    </row>
    <row r="177">
      <c r="A177" s="0" t="inlineStr">
        <is>
          <t>MT-ULCR-016-01</t>
        </is>
      </c>
      <c r="B177" s="0" t="inlineStr">
        <is>
          <t>LED경관조명기구</t>
        </is>
      </c>
      <c r="C177" s="0">
        <f>CONCATENATE(B177,", ",A177,", ",E177)</f>
        <v/>
      </c>
      <c r="E177" s="0" t="inlineStr">
        <is>
          <t>16(8×2)W</t>
        </is>
      </c>
    </row>
    <row r="178">
      <c r="A178" s="0" t="inlineStr">
        <is>
          <t>MT-ULCR-032-01</t>
        </is>
      </c>
      <c r="B178" s="0" t="inlineStr">
        <is>
          <t>LED경관조명기구</t>
        </is>
      </c>
      <c r="C178" s="0">
        <f>CONCATENATE(B178,", ",A178,", ",E178)</f>
        <v/>
      </c>
      <c r="E178" s="0" t="inlineStr">
        <is>
          <t>32W</t>
        </is>
      </c>
    </row>
    <row r="179">
      <c r="A179" s="0" t="inlineStr">
        <is>
          <t>MT-VM</t>
        </is>
      </c>
      <c r="B179" s="0" t="inlineStr">
        <is>
          <t>LED투광등기구</t>
        </is>
      </c>
      <c r="C179" s="0">
        <f>CONCATENATE(B179,", ",A179,", ",E179)</f>
        <v/>
      </c>
      <c r="E179" s="0" t="inlineStr">
        <is>
          <t>(부품)눈부심방지장치</t>
        </is>
      </c>
    </row>
    <row r="180">
      <c r="A180" s="0" t="inlineStr">
        <is>
          <t>MT-WMCP-024-01</t>
        </is>
      </c>
      <c r="B180" s="0" t="inlineStr">
        <is>
          <t>LED경관조명기구</t>
        </is>
      </c>
      <c r="C180" s="0">
        <f>CONCATENATE(B180,", ",A180,", ",E180)</f>
        <v/>
      </c>
      <c r="E180" s="0" t="inlineStr">
        <is>
          <t>24W</t>
        </is>
      </c>
    </row>
    <row r="181">
      <c r="A181" s="0" t="inlineStr">
        <is>
          <t>MT-WMCR-020-01</t>
        </is>
      </c>
      <c r="B181" s="0" t="inlineStr">
        <is>
          <t>LED경관조명기구</t>
        </is>
      </c>
      <c r="C181" s="0">
        <f>CONCATENATE(B181,", ",A181,", ",E181)</f>
        <v/>
      </c>
      <c r="E181" s="0" t="inlineStr">
        <is>
          <t>20(10×2)W</t>
        </is>
      </c>
    </row>
    <row r="182">
      <c r="A182" s="0" t="inlineStr">
        <is>
          <t>MT-WMCR-030-01</t>
        </is>
      </c>
      <c r="B182" s="0" t="inlineStr">
        <is>
          <t>LED경관조명기구</t>
        </is>
      </c>
      <c r="C182" s="0">
        <f>CONCATENATE(B182,", ",A182,", ",E182)</f>
        <v/>
      </c>
      <c r="E182" s="0" t="inlineStr">
        <is>
          <t>30W</t>
        </is>
      </c>
    </row>
    <row r="183">
      <c r="A183" s="0" t="inlineStr">
        <is>
          <t>MT-WMSQ-003-01</t>
        </is>
      </c>
      <c r="B183" s="0" t="inlineStr">
        <is>
          <t>LED경관조명기구</t>
        </is>
      </c>
      <c r="C183" s="0">
        <f>CONCATENATE(B183,", ",A183,", ",E183)</f>
        <v/>
      </c>
      <c r="E183" s="0" t="inlineStr">
        <is>
          <t>3W</t>
        </is>
      </c>
    </row>
    <row r="184">
      <c r="A184" s="0" t="inlineStr">
        <is>
          <t>MT-WMSQ-006-01</t>
        </is>
      </c>
      <c r="B184" s="0" t="inlineStr">
        <is>
          <t>LED경관조명기구</t>
        </is>
      </c>
      <c r="C184" s="0">
        <f>CONCATENATE(B184,", ",A184,", ",E184)</f>
        <v/>
      </c>
      <c r="E184" s="0" t="inlineStr">
        <is>
          <t>6W</t>
        </is>
      </c>
    </row>
    <row r="185">
      <c r="A185" s="0" t="inlineStr">
        <is>
          <t>MT-WMSQ-006-02</t>
        </is>
      </c>
      <c r="B185" s="0" t="inlineStr">
        <is>
          <t>LED경관조명기구</t>
        </is>
      </c>
      <c r="C185" s="0">
        <f>CONCATENATE(B185,", ",A185,", ",E185)</f>
        <v/>
      </c>
      <c r="E185" s="0" t="inlineStr">
        <is>
          <t>6W</t>
        </is>
      </c>
    </row>
    <row r="186">
      <c r="A186" s="0" t="inlineStr">
        <is>
          <t>MT-WMSQ-006-03</t>
        </is>
      </c>
      <c r="B186" s="0" t="inlineStr">
        <is>
          <t>LED경관조명기구</t>
        </is>
      </c>
      <c r="C186" s="0">
        <f>CONCATENATE(B186,", ",A186,", ",E186)</f>
        <v/>
      </c>
      <c r="E186" s="0" t="inlineStr">
        <is>
          <t>6W</t>
        </is>
      </c>
    </row>
    <row r="187">
      <c r="A187" s="0" t="inlineStr">
        <is>
          <t>MT-WMSQ-006-04</t>
        </is>
      </c>
      <c r="B187" s="0" t="inlineStr">
        <is>
          <t>LED경관조명기구</t>
        </is>
      </c>
      <c r="C187" s="0">
        <f>CONCATENATE(B187,", ",A187,", ",E187)</f>
        <v/>
      </c>
      <c r="E187" s="0" t="inlineStr">
        <is>
          <t>6W</t>
        </is>
      </c>
    </row>
    <row r="188">
      <c r="A188" s="0" t="inlineStr">
        <is>
          <t>MT-WPCR-016-01</t>
        </is>
      </c>
      <c r="B188" s="0" t="inlineStr">
        <is>
          <t>LED경관조명기구</t>
        </is>
      </c>
      <c r="C188" s="0">
        <f>CONCATENATE(B188,", ",A188,", ",E188)</f>
        <v/>
      </c>
      <c r="E188" s="0" t="inlineStr">
        <is>
          <t>16(8×2)W</t>
        </is>
      </c>
    </row>
    <row r="189">
      <c r="A189" s="0" t="inlineStr">
        <is>
          <t>STA-400</t>
        </is>
      </c>
      <c r="B189" s="0" t="inlineStr">
        <is>
          <t>LED투광등기구</t>
        </is>
      </c>
      <c r="C189" s="0">
        <f>CONCATENATE(B189,", ",A189,", ",E189)</f>
        <v/>
      </c>
      <c r="E189" s="0" t="inlineStr">
        <is>
          <t>400W</t>
        </is>
      </c>
    </row>
    <row r="190">
      <c r="A190" s="0" t="inlineStr">
        <is>
          <t>STA-500</t>
        </is>
      </c>
      <c r="B190" s="0" t="inlineStr">
        <is>
          <t>LED투광등기구</t>
        </is>
      </c>
      <c r="C190" s="0">
        <f>CONCATENATE(B190,", ",A190,", ",E190)</f>
        <v/>
      </c>
      <c r="E190" s="0" t="inlineStr">
        <is>
          <t>500W</t>
        </is>
      </c>
    </row>
    <row r="191">
      <c r="A191" s="0" t="inlineStr">
        <is>
          <t>STA-600</t>
        </is>
      </c>
      <c r="B191" s="0" t="inlineStr">
        <is>
          <t>LED투광등기구</t>
        </is>
      </c>
      <c r="C191" s="0">
        <f>CONCATENATE(B191,", ",A191,", ",E191)</f>
        <v/>
      </c>
      <c r="E191" s="0" t="inlineStr">
        <is>
          <t>600W</t>
        </is>
      </c>
    </row>
    <row r="192">
      <c r="A192" s="0" t="inlineStr">
        <is>
          <t>STA-700</t>
        </is>
      </c>
      <c r="B192" s="0" t="inlineStr">
        <is>
          <t>LED투광등기구</t>
        </is>
      </c>
      <c r="C192" s="0">
        <f>CONCATENATE(B192,", ",A192,", ",E192)</f>
        <v/>
      </c>
      <c r="E192" s="0" t="inlineStr">
        <is>
          <t>700W</t>
        </is>
      </c>
    </row>
    <row r="193">
      <c r="A193" s="0" t="inlineStr">
        <is>
          <t>STA-800</t>
        </is>
      </c>
      <c r="B193" s="0" t="inlineStr">
        <is>
          <t>LED투광등기구</t>
        </is>
      </c>
      <c r="C193" s="0">
        <f>CONCATENATE(B193,", ",A193,", ",E193)</f>
        <v/>
      </c>
      <c r="E193" s="0" t="inlineStr">
        <is>
          <t>800W</t>
        </is>
      </c>
    </row>
    <row r="194">
      <c r="A194" s="0" t="inlineStr">
        <is>
          <t>STA(M)-1000</t>
        </is>
      </c>
      <c r="B194" s="0" t="inlineStr">
        <is>
          <t>LED투광등기구</t>
        </is>
      </c>
      <c r="C194" s="0">
        <f>CONCATENATE(B194,", ",A194,", ",E194)</f>
        <v/>
      </c>
      <c r="E194" s="0" t="inlineStr">
        <is>
          <t>1000W</t>
        </is>
      </c>
    </row>
    <row r="195">
      <c r="A195" s="0" t="inlineStr">
        <is>
          <t>STA(M)-1200</t>
        </is>
      </c>
      <c r="B195" s="0" t="inlineStr">
        <is>
          <t>LED투광등기구</t>
        </is>
      </c>
      <c r="C195" s="0">
        <f>CONCATENATE(B195,", ",A195,", ",E195)</f>
        <v/>
      </c>
      <c r="E195" s="0" t="inlineStr">
        <is>
          <t>1200W</t>
        </is>
      </c>
    </row>
    <row r="196">
      <c r="A196" s="0" t="inlineStr">
        <is>
          <t>MTPF-101-10</t>
        </is>
      </c>
      <c r="B196" s="0" t="inlineStr">
        <is>
          <t>철제가로등주</t>
        </is>
      </c>
      <c r="C196" s="0">
        <f>CONCATENATE(B196,", ",A196,", ",E196)</f>
        <v/>
      </c>
      <c r="E196" s="0" t="inlineStr">
        <is>
          <t>10m, 1등용, 원2단형</t>
        </is>
      </c>
    </row>
    <row r="197">
      <c r="A197" s="0" t="inlineStr">
        <is>
          <t>MTPF-101-10-2</t>
        </is>
      </c>
      <c r="B197" s="0" t="inlineStr">
        <is>
          <t>철제가로등주</t>
        </is>
      </c>
      <c r="C197" s="0">
        <f>CONCATENATE(B197,", ",A197,", ",E197)</f>
        <v/>
      </c>
      <c r="E197" s="0" t="inlineStr">
        <is>
          <t>10m, 2등용, 원2단형</t>
        </is>
      </c>
    </row>
    <row r="198">
      <c r="A198" s="0" t="inlineStr">
        <is>
          <t>MTPF-101-12</t>
        </is>
      </c>
      <c r="B198" s="0" t="inlineStr">
        <is>
          <t>철제가로등주</t>
        </is>
      </c>
      <c r="C198" s="0">
        <f>CONCATENATE(B198,", ",A198,", ",E198)</f>
        <v/>
      </c>
      <c r="E198" s="0" t="inlineStr">
        <is>
          <t>12m, 1등용, 원2단형</t>
        </is>
      </c>
    </row>
    <row r="199">
      <c r="A199" s="0" t="inlineStr">
        <is>
          <t>MTPF-101-12-2</t>
        </is>
      </c>
      <c r="B199" s="0" t="inlineStr">
        <is>
          <t>철제가로등주</t>
        </is>
      </c>
      <c r="C199" s="0">
        <f>CONCATENATE(B199,", ",A199,", ",E199)</f>
        <v/>
      </c>
      <c r="E199" s="0" t="inlineStr">
        <is>
          <t>12m, 2등용, 원2단형</t>
        </is>
      </c>
    </row>
    <row r="200">
      <c r="A200" s="0" t="inlineStr">
        <is>
          <t>MTPF-101-8-2</t>
        </is>
      </c>
      <c r="B200" s="0" t="inlineStr">
        <is>
          <t>철제가로등주</t>
        </is>
      </c>
      <c r="C200" s="0">
        <f>CONCATENATE(B200,", ",A200,", ",E200)</f>
        <v/>
      </c>
      <c r="E200" s="0" t="inlineStr">
        <is>
          <t>8m, 2등용, 원2단형</t>
        </is>
      </c>
    </row>
    <row r="201">
      <c r="A201" s="0" t="inlineStr">
        <is>
          <t>MTPF-101-8</t>
        </is>
      </c>
      <c r="B201" s="0" t="inlineStr">
        <is>
          <t>철제가로등주</t>
        </is>
      </c>
      <c r="C201" s="0">
        <f>CONCATENATE(B201,", ",A201,", ",E201)</f>
        <v/>
      </c>
      <c r="E201" s="0" t="inlineStr">
        <is>
          <t>8m, 1등용, 원2단형</t>
        </is>
      </c>
    </row>
    <row r="202">
      <c r="A202" s="0" t="inlineStr">
        <is>
          <t>MTPF-101-9-2</t>
        </is>
      </c>
      <c r="B202" s="0" t="inlineStr">
        <is>
          <t>철제가로등주</t>
        </is>
      </c>
      <c r="C202" s="0">
        <f>CONCATENATE(B202,", ",A202,", ",E202)</f>
        <v/>
      </c>
      <c r="E202" s="0" t="inlineStr">
        <is>
          <t>9m, 2등용, 원2단형</t>
        </is>
      </c>
    </row>
    <row r="203">
      <c r="A203" s="0" t="inlineStr">
        <is>
          <t>MTPF-101-9</t>
        </is>
      </c>
      <c r="B203" s="0" t="inlineStr">
        <is>
          <t>철제가로등주</t>
        </is>
      </c>
      <c r="C203" s="0">
        <f>CONCATENATE(B203,", ",A203,", ",E203)</f>
        <v/>
      </c>
      <c r="E203" s="0" t="inlineStr">
        <is>
          <t>9m, 1등용, 원2단형</t>
        </is>
      </c>
    </row>
    <row r="204">
      <c r="A204" s="0" t="inlineStr">
        <is>
          <t>MTPF-201-4-2</t>
        </is>
      </c>
      <c r="B204" s="0" t="inlineStr">
        <is>
          <t>철제가로등주</t>
        </is>
      </c>
      <c r="C204" s="0">
        <f>CONCATENATE(B204,", ",A204,", ",E204)</f>
        <v/>
      </c>
      <c r="E204" s="0" t="inlineStr">
        <is>
          <t>4m, 2등용, 원2단형</t>
        </is>
      </c>
    </row>
    <row r="205">
      <c r="A205" s="0" t="inlineStr">
        <is>
          <t>MTPF-201-4</t>
        </is>
      </c>
      <c r="B205" s="0" t="inlineStr">
        <is>
          <t>철제가로등주</t>
        </is>
      </c>
      <c r="C205" s="0">
        <f>CONCATENATE(B205,", ",A205,", ",E205)</f>
        <v/>
      </c>
      <c r="E205" s="0" t="inlineStr">
        <is>
          <t>4m, 1등용, 원2단형</t>
        </is>
      </c>
    </row>
    <row r="206">
      <c r="A206" s="0" t="inlineStr">
        <is>
          <t>MTPF-201-5-2</t>
        </is>
      </c>
      <c r="B206" s="0" t="inlineStr">
        <is>
          <t>철제가로등주</t>
        </is>
      </c>
      <c r="C206" s="0">
        <f>CONCATENATE(B206,", ",A206,", ",E206)</f>
        <v/>
      </c>
      <c r="E206" s="0" t="inlineStr">
        <is>
          <t>5m, 2등용, 원2단형</t>
        </is>
      </c>
    </row>
    <row r="207">
      <c r="A207" s="0" t="inlineStr">
        <is>
          <t>MTPF-201-5</t>
        </is>
      </c>
      <c r="B207" s="0" t="inlineStr">
        <is>
          <t>철제가로등주</t>
        </is>
      </c>
      <c r="C207" s="0">
        <f>CONCATENATE(B207,", ",A207,", ",E207)</f>
        <v/>
      </c>
      <c r="E207" s="0" t="inlineStr">
        <is>
          <t>5m, 1등용, 원2단형</t>
        </is>
      </c>
    </row>
    <row r="208">
      <c r="A208" s="0" t="inlineStr">
        <is>
          <t>MTPS-101-10</t>
        </is>
      </c>
      <c r="B208" s="0" t="inlineStr">
        <is>
          <t>스테인리스가로등주</t>
        </is>
      </c>
      <c r="C208" s="0">
        <f>CONCATENATE(B208,", ",A208,", ",E208)</f>
        <v/>
      </c>
      <c r="E208" s="0" t="inlineStr">
        <is>
          <t>10m, 1등용, 원2단형</t>
        </is>
      </c>
    </row>
    <row r="209">
      <c r="A209" s="0" t="inlineStr">
        <is>
          <t>MTPS-101-8</t>
        </is>
      </c>
      <c r="B209" s="0" t="inlineStr">
        <is>
          <t>스테인리스가로등주</t>
        </is>
      </c>
      <c r="C209" s="0">
        <f>CONCATENATE(B209,", ",A209,", ",E209)</f>
        <v/>
      </c>
      <c r="E209" s="0" t="inlineStr">
        <is>
          <t>8m, 1등용, 원2단형</t>
        </is>
      </c>
    </row>
    <row r="210">
      <c r="A210" s="0" t="inlineStr">
        <is>
          <t>MTPS-101-9</t>
        </is>
      </c>
      <c r="B210" s="0" t="inlineStr">
        <is>
          <t>스테인리스가로등주</t>
        </is>
      </c>
      <c r="C210" s="0">
        <f>CONCATENATE(B210,", ",A210,", ",E210)</f>
        <v/>
      </c>
      <c r="E210" s="0" t="inlineStr">
        <is>
          <t>9m, 1등용, 원2단형</t>
        </is>
      </c>
    </row>
    <row r="211">
      <c r="A211" s="0" t="inlineStr">
        <is>
          <t>MTPS-102-10</t>
        </is>
      </c>
      <c r="B211" s="0" t="inlineStr">
        <is>
          <t>스테인리스가로등주</t>
        </is>
      </c>
      <c r="C211" s="0">
        <f>CONCATENATE(B211,", ",A211,", ",E211)</f>
        <v/>
      </c>
      <c r="E211" s="0" t="inlineStr">
        <is>
          <t>10m, 1등용, 원2단형</t>
        </is>
      </c>
    </row>
    <row r="212">
      <c r="A212" s="0" t="inlineStr">
        <is>
          <t>MTPS-102-8</t>
        </is>
      </c>
      <c r="B212" s="0" t="inlineStr">
        <is>
          <t>스테인리스가로등주</t>
        </is>
      </c>
      <c r="C212" s="0">
        <f>CONCATENATE(B212,", ",A212,", ",E212)</f>
        <v/>
      </c>
      <c r="E212" s="0" t="inlineStr">
        <is>
          <t>8m, 1등용, 원2단형</t>
        </is>
      </c>
    </row>
    <row r="213">
      <c r="A213" s="0" t="inlineStr">
        <is>
          <t>MTPS-102-9</t>
        </is>
      </c>
      <c r="B213" s="0" t="inlineStr">
        <is>
          <t>스테인리스가로등주</t>
        </is>
      </c>
      <c r="C213" s="0">
        <f>CONCATENATE(B213,", ",A213,", ",E213)</f>
        <v/>
      </c>
      <c r="E213" s="0" t="inlineStr">
        <is>
          <t>9m, 1등용, 원2단형</t>
        </is>
      </c>
    </row>
    <row r="214">
      <c r="A214" s="0" t="inlineStr">
        <is>
          <t>MTPS-103-10</t>
        </is>
      </c>
      <c r="B214" s="0" t="inlineStr">
        <is>
          <t>스테인리스가로등주</t>
        </is>
      </c>
      <c r="C214" s="0">
        <f>CONCATENATE(B214,", ",A214,", ",E214)</f>
        <v/>
      </c>
      <c r="E214" s="0" t="inlineStr">
        <is>
          <t>10m, 1등용, 원2단형</t>
        </is>
      </c>
    </row>
    <row r="215">
      <c r="A215" s="0" t="inlineStr">
        <is>
          <t>MTPS-103-10-2</t>
        </is>
      </c>
      <c r="B215" s="0" t="inlineStr">
        <is>
          <t>스테인리스가로등주</t>
        </is>
      </c>
      <c r="C215" s="0">
        <f>CONCATENATE(B215,", ",A215,", ",E215)</f>
        <v/>
      </c>
      <c r="E215" s="0" t="inlineStr">
        <is>
          <t>10m, 2등용, 원2단형</t>
        </is>
      </c>
    </row>
    <row r="216">
      <c r="A216" s="0" t="inlineStr">
        <is>
          <t>MTPS-103-8</t>
        </is>
      </c>
      <c r="B216" s="0" t="inlineStr">
        <is>
          <t>스테인리스가로등주</t>
        </is>
      </c>
      <c r="C216" s="0">
        <f>CONCATENATE(B216,", ",A216,", ",E216)</f>
        <v/>
      </c>
      <c r="E216" s="0" t="inlineStr">
        <is>
          <t>8m, 1등용, 원2단형</t>
        </is>
      </c>
    </row>
    <row r="217">
      <c r="A217" s="0" t="inlineStr">
        <is>
          <t>MTPS-103-9</t>
        </is>
      </c>
      <c r="B217" s="0" t="inlineStr">
        <is>
          <t>스테인리스가로등주</t>
        </is>
      </c>
      <c r="C217" s="0">
        <f>CONCATENATE(B217,", ",A217,", ",E217)</f>
        <v/>
      </c>
      <c r="E217" s="0" t="inlineStr">
        <is>
          <t>9m, 1등용, 원2단형</t>
        </is>
      </c>
    </row>
    <row r="218">
      <c r="A218" s="0" t="inlineStr">
        <is>
          <t>MTPS-104-10</t>
        </is>
      </c>
      <c r="B218" s="0" t="inlineStr">
        <is>
          <t>스테인리스가로등주</t>
        </is>
      </c>
      <c r="C218" s="0">
        <f>CONCATENATE(B218,", ",A218,", ",E218)</f>
        <v/>
      </c>
      <c r="E218" s="0" t="inlineStr">
        <is>
          <t>10m, 1등용, 원2단형</t>
        </is>
      </c>
    </row>
    <row r="219">
      <c r="A219" s="0" t="inlineStr">
        <is>
          <t>MTPS-104-8</t>
        </is>
      </c>
      <c r="B219" s="0" t="inlineStr">
        <is>
          <t>스테인리스가로등주</t>
        </is>
      </c>
      <c r="C219" s="0">
        <f>CONCATENATE(B219,", ",A219,", ",E219)</f>
        <v/>
      </c>
      <c r="E219" s="0" t="inlineStr">
        <is>
          <t>8m, 1등용, 원2단형</t>
        </is>
      </c>
    </row>
    <row r="220">
      <c r="A220" s="0" t="inlineStr">
        <is>
          <t>MTPS-104-9</t>
        </is>
      </c>
      <c r="B220" s="0" t="inlineStr">
        <is>
          <t>스테인리스가로등주</t>
        </is>
      </c>
      <c r="C220" s="0">
        <f>CONCATENATE(B220,", ",A220,", ",E220)</f>
        <v/>
      </c>
      <c r="E220" s="0" t="inlineStr">
        <is>
          <t>9m, 1등용, 원2단형</t>
        </is>
      </c>
    </row>
    <row r="221">
      <c r="A221" s="0" t="inlineStr">
        <is>
          <t>MTPS-105-10</t>
        </is>
      </c>
      <c r="B221" s="0" t="inlineStr">
        <is>
          <t>스테인리스가로등주</t>
        </is>
      </c>
      <c r="C221" s="0">
        <f>CONCATENATE(B221,", ",A221,", ",E221)</f>
        <v/>
      </c>
      <c r="E221" s="0" t="inlineStr">
        <is>
          <t>10m, 1등용, 원2단형</t>
        </is>
      </c>
    </row>
    <row r="222">
      <c r="A222" s="0" t="inlineStr">
        <is>
          <t>MTPS-105-10-2</t>
        </is>
      </c>
      <c r="B222" s="0" t="inlineStr">
        <is>
          <t>스테인리스가로등주</t>
        </is>
      </c>
      <c r="C222" s="0">
        <f>CONCATENATE(B222,", ",A222,", ",E222)</f>
        <v/>
      </c>
      <c r="E222" s="0" t="inlineStr">
        <is>
          <t>10m, 2등용, 원2단형</t>
        </is>
      </c>
    </row>
    <row r="223">
      <c r="A223" s="0" t="inlineStr">
        <is>
          <t>MTPS-105-8</t>
        </is>
      </c>
      <c r="B223" s="0" t="inlineStr">
        <is>
          <t>스테인리스가로등주</t>
        </is>
      </c>
      <c r="C223" s="0">
        <f>CONCATENATE(B223,", ",A223,", ",E223)</f>
        <v/>
      </c>
      <c r="E223" s="0" t="inlineStr">
        <is>
          <t>8m, 1등용, 원2단형</t>
        </is>
      </c>
    </row>
    <row r="224">
      <c r="A224" s="0" t="inlineStr">
        <is>
          <t>MTPS-105-9-2</t>
        </is>
      </c>
      <c r="B224" s="0" t="inlineStr">
        <is>
          <t>스테인리스가로등주</t>
        </is>
      </c>
      <c r="C224" s="0">
        <f>CONCATENATE(B224,", ",A224,", ",E224)</f>
        <v/>
      </c>
      <c r="E224" s="0" t="inlineStr">
        <is>
          <t>9m, 2등용, 원2단형</t>
        </is>
      </c>
    </row>
    <row r="225">
      <c r="A225" s="0" t="inlineStr">
        <is>
          <t>MTPS-105-9</t>
        </is>
      </c>
      <c r="B225" s="0" t="inlineStr">
        <is>
          <t>스테인리스가로등주</t>
        </is>
      </c>
      <c r="C225" s="0">
        <f>CONCATENATE(B225,", ",A225,", ",E225)</f>
        <v/>
      </c>
      <c r="E225" s="0" t="inlineStr">
        <is>
          <t>9m, 1등용, 원2단형</t>
        </is>
      </c>
    </row>
    <row r="226">
      <c r="A226" s="0" t="inlineStr">
        <is>
          <t>MTPS-201-4</t>
        </is>
      </c>
      <c r="B226" s="0" t="inlineStr">
        <is>
          <t>스테인리스가로등주</t>
        </is>
      </c>
      <c r="C226" s="0">
        <f>CONCATENATE(B226,", ",A226,", ",E226)</f>
        <v/>
      </c>
      <c r="E226" s="0" t="inlineStr">
        <is>
          <t>4m, 1등용, 원2단형</t>
        </is>
      </c>
    </row>
    <row r="227">
      <c r="A227" s="0" t="inlineStr">
        <is>
          <t>MTPS-201-5</t>
        </is>
      </c>
      <c r="B227" s="0" t="inlineStr">
        <is>
          <t>스테인리스가로등주</t>
        </is>
      </c>
      <c r="C227" s="0">
        <f>CONCATENATE(B227,", ",A227,", ",E227)</f>
        <v/>
      </c>
      <c r="E227" s="0" t="inlineStr">
        <is>
          <t>5m, 1등용, 원2단형</t>
        </is>
      </c>
    </row>
    <row r="228">
      <c r="A228" s="0" t="inlineStr">
        <is>
          <t>MTPS-201-6</t>
        </is>
      </c>
      <c r="B228" s="0" t="inlineStr">
        <is>
          <t>스테인리스가로등주</t>
        </is>
      </c>
      <c r="C228" s="0">
        <f>CONCATENATE(B228,", ",A228,", ",E228)</f>
        <v/>
      </c>
      <c r="E228" s="0" t="inlineStr">
        <is>
          <t>6m, 1등용, 원2단형</t>
        </is>
      </c>
    </row>
    <row r="229">
      <c r="A229" s="0" t="inlineStr">
        <is>
          <t>MTPS-202-4</t>
        </is>
      </c>
      <c r="B229" s="0" t="inlineStr">
        <is>
          <t>스테인리스가로등주</t>
        </is>
      </c>
      <c r="C229" s="0">
        <f>CONCATENATE(B229,", ",A229,", ",E229)</f>
        <v/>
      </c>
      <c r="E229" s="0" t="inlineStr">
        <is>
          <t>4m, 1등용, 원2단형</t>
        </is>
      </c>
    </row>
    <row r="230">
      <c r="A230" s="0" t="inlineStr">
        <is>
          <t>MTPS-202-5</t>
        </is>
      </c>
      <c r="B230" s="0" t="inlineStr">
        <is>
          <t>스테인리스가로등주</t>
        </is>
      </c>
      <c r="C230" s="0">
        <f>CONCATENATE(B230,", ",A230,", ",E230)</f>
        <v/>
      </c>
      <c r="E230" s="0" t="inlineStr">
        <is>
          <t>5m, 1등용, 원2단형</t>
        </is>
      </c>
    </row>
    <row r="231">
      <c r="A231" s="0" t="inlineStr">
        <is>
          <t>MTPS-202-6</t>
        </is>
      </c>
      <c r="B231" s="0" t="inlineStr">
        <is>
          <t>스테인리스가로등주</t>
        </is>
      </c>
      <c r="C231" s="0">
        <f>CONCATENATE(B231,", ",A231,", ",E231)</f>
        <v/>
      </c>
      <c r="E231" s="0" t="inlineStr">
        <is>
          <t>6m, 1등용, 원2단형</t>
        </is>
      </c>
    </row>
    <row r="232">
      <c r="A232" s="0" t="inlineStr">
        <is>
          <t>MTPS-203-4</t>
        </is>
      </c>
      <c r="B232" s="0" t="inlineStr">
        <is>
          <t>스테인리스가로등주</t>
        </is>
      </c>
      <c r="C232" s="0">
        <f>CONCATENATE(B232,", ",A232,", ",E232)</f>
        <v/>
      </c>
      <c r="E232" s="0" t="inlineStr">
        <is>
          <t>4m, 1등용, 원1단형</t>
        </is>
      </c>
    </row>
    <row r="233">
      <c r="A233" s="0" t="inlineStr">
        <is>
          <t>MTPS-203-5-2</t>
        </is>
      </c>
      <c r="B233" s="0" t="inlineStr">
        <is>
          <t>스테인리스가로등주</t>
        </is>
      </c>
      <c r="C233" s="0">
        <f>CONCATENATE(B233,", ",A233,", ",E233)</f>
        <v/>
      </c>
      <c r="E233" s="0" t="inlineStr">
        <is>
          <t>5m, 2등용, 원2단형</t>
        </is>
      </c>
    </row>
    <row r="234">
      <c r="A234" s="0" t="inlineStr">
        <is>
          <t>MTPS-203-5</t>
        </is>
      </c>
      <c r="B234" s="0" t="inlineStr">
        <is>
          <t>스테인리스가로등주</t>
        </is>
      </c>
      <c r="C234" s="0">
        <f>CONCATENATE(B234,", ",A234,", ",E234)</f>
        <v/>
      </c>
      <c r="E234" s="0" t="inlineStr">
        <is>
          <t>5m, 1등용, 원1단형</t>
        </is>
      </c>
    </row>
    <row r="235">
      <c r="A235" s="0" t="inlineStr">
        <is>
          <t>MTPS-203-6</t>
        </is>
      </c>
      <c r="B235" s="0" t="inlineStr">
        <is>
          <t>스테인리스가로등주</t>
        </is>
      </c>
      <c r="C235" s="0">
        <f>CONCATENATE(B235,", ",A235,", ",E235)</f>
        <v/>
      </c>
      <c r="E235" s="0" t="inlineStr">
        <is>
          <t>6m, 1등용, 원1단형</t>
        </is>
      </c>
    </row>
    <row r="236">
      <c r="A236" s="0" t="inlineStr">
        <is>
          <t>MTPS-204-4-2</t>
        </is>
      </c>
      <c r="B236" s="0" t="inlineStr">
        <is>
          <t>스테인리스가로등주</t>
        </is>
      </c>
      <c r="C236" s="0">
        <f>CONCATENATE(B236,", ",A236,", ",E236)</f>
        <v/>
      </c>
      <c r="E236" s="0" t="inlineStr">
        <is>
          <t>4m, 2등용, 원2단형</t>
        </is>
      </c>
    </row>
    <row r="237">
      <c r="A237" s="0" t="inlineStr">
        <is>
          <t>MTPS-204-4</t>
        </is>
      </c>
      <c r="B237" s="0" t="inlineStr">
        <is>
          <t>스테인리스가로등주</t>
        </is>
      </c>
      <c r="C237" s="0">
        <f>CONCATENATE(B237,", ",A237,", ",E237)</f>
        <v/>
      </c>
      <c r="E237" s="0" t="inlineStr">
        <is>
          <t>4m, 1등용, 원2단형</t>
        </is>
      </c>
    </row>
    <row r="238">
      <c r="A238" s="0" t="inlineStr">
        <is>
          <t>MTPS-204-5-2</t>
        </is>
      </c>
      <c r="B238" s="0" t="inlineStr">
        <is>
          <t>스테인리스가로등주</t>
        </is>
      </c>
      <c r="C238" s="0">
        <f>CONCATENATE(B238,", ",A238,", ",E238)</f>
        <v/>
      </c>
      <c r="E238" s="0" t="inlineStr">
        <is>
          <t>5m, 2등용, 원2단형</t>
        </is>
      </c>
    </row>
    <row r="239">
      <c r="A239" s="0" t="inlineStr">
        <is>
          <t>MTPS-204-5</t>
        </is>
      </c>
      <c r="B239" s="0" t="inlineStr">
        <is>
          <t>스테인리스가로등주</t>
        </is>
      </c>
      <c r="C239" s="0">
        <f>CONCATENATE(B239,", ",A239,", ",E239)</f>
        <v/>
      </c>
      <c r="E239" s="0" t="inlineStr">
        <is>
          <t>5m, 1등용, 원2단형</t>
        </is>
      </c>
    </row>
    <row r="240">
      <c r="A240" s="0" t="inlineStr">
        <is>
          <t>MTPS-204-6-2</t>
        </is>
      </c>
      <c r="B240" s="0" t="inlineStr">
        <is>
          <t>스테인리스가로등주</t>
        </is>
      </c>
      <c r="C240" s="0">
        <f>CONCATENATE(B240,", ",A240,", ",E240)</f>
        <v/>
      </c>
      <c r="E240" s="0" t="inlineStr">
        <is>
          <t>6m, 2등용, 원2단형</t>
        </is>
      </c>
    </row>
    <row r="241">
      <c r="A241" s="0" t="inlineStr">
        <is>
          <t>MTPS-204-6</t>
        </is>
      </c>
      <c r="B241" s="0" t="inlineStr">
        <is>
          <t>스테인리스가로등주</t>
        </is>
      </c>
      <c r="C241" s="0">
        <f>CONCATENATE(B241,", ",A241,", ",E241)</f>
        <v/>
      </c>
      <c r="E241" s="0" t="inlineStr">
        <is>
          <t>6m, 1등용, 원2단형</t>
        </is>
      </c>
    </row>
    <row r="242">
      <c r="A242" s="0" t="inlineStr">
        <is>
          <t>MTPS-205-65</t>
        </is>
      </c>
      <c r="B242" s="0" t="inlineStr">
        <is>
          <t>스테인리스가로등주</t>
        </is>
      </c>
      <c r="C242" s="0">
        <f>CONCATENATE(B242,", ",A242,", ",E242)</f>
        <v/>
      </c>
      <c r="E242" s="0" t="inlineStr">
        <is>
          <t>6.5m, 1등용, 원2단형</t>
        </is>
      </c>
    </row>
    <row r="243">
      <c r="A243" s="0" t="inlineStr">
        <is>
          <t>MTPS-701</t>
        </is>
      </c>
      <c r="B243" s="0" t="inlineStr">
        <is>
          <t>가로등주부속자재</t>
        </is>
      </c>
      <c r="C243" s="0">
        <f>CONCATENATE(B243,", ",A243,", ",E243)</f>
        <v/>
      </c>
      <c r="E243" s="0" t="inlineStr">
        <is>
          <t>베이스커버</t>
        </is>
      </c>
    </row>
    <row r="244">
      <c r="A244" s="0" t="inlineStr">
        <is>
          <t>MTPS-702</t>
        </is>
      </c>
      <c r="B244" s="0" t="inlineStr">
        <is>
          <t>가로등주부속자재</t>
        </is>
      </c>
      <c r="C244" s="0">
        <f>CONCATENATE(B244,", ",A244,", ",E244)</f>
        <v/>
      </c>
      <c r="E244" s="0" t="inlineStr">
        <is>
          <t>배너걸이</t>
        </is>
      </c>
    </row>
    <row r="245">
      <c r="A245" s="0" t="inlineStr">
        <is>
          <t>MTPS-703</t>
        </is>
      </c>
      <c r="B245" s="0" t="inlineStr">
        <is>
          <t>가로등주부속자재</t>
        </is>
      </c>
      <c r="C245" s="0">
        <f>CONCATENATE(B245,", ",A245,", ",E245)</f>
        <v/>
      </c>
      <c r="E245" s="0" t="inlineStr">
        <is>
          <t>로고판</t>
        </is>
      </c>
    </row>
    <row r="246">
      <c r="A246" s="0" t="inlineStr">
        <is>
          <t>MTPS-704</t>
        </is>
      </c>
      <c r="B246" s="0" t="inlineStr">
        <is>
          <t>가로등주부속자재</t>
        </is>
      </c>
      <c r="C246" s="0">
        <f>CONCATENATE(B246,", ",A246,", ",E246)</f>
        <v/>
      </c>
      <c r="E246" s="0" t="inlineStr">
        <is>
          <t>암대</t>
        </is>
      </c>
    </row>
    <row r="247">
      <c r="A247" s="0" t="inlineStr">
        <is>
          <t>MTPS-705</t>
        </is>
      </c>
      <c r="B247" s="0" t="inlineStr">
        <is>
          <t>가로등주부속자재</t>
        </is>
      </c>
      <c r="C247" s="0">
        <f>CONCATENATE(B247,", ",A247,", ",E247)</f>
        <v/>
      </c>
      <c r="E247" s="0" t="inlineStr">
        <is>
          <t>암대</t>
        </is>
      </c>
    </row>
    <row r="248">
      <c r="A248" s="0" t="inlineStr">
        <is>
          <t>MTPS-706</t>
        </is>
      </c>
      <c r="B248" s="0" t="inlineStr">
        <is>
          <t>가로등주부속자재</t>
        </is>
      </c>
      <c r="C248" s="0">
        <f>CONCATENATE(B248,", ",A248,", ",E248)</f>
        <v/>
      </c>
      <c r="E248" s="0" t="inlineStr">
        <is>
          <t>암대</t>
        </is>
      </c>
    </row>
    <row r="249">
      <c r="A249" s="0" t="inlineStr">
        <is>
          <t>MTPS-707</t>
        </is>
      </c>
      <c r="B249" s="0" t="inlineStr">
        <is>
          <t>가로등주부속자재</t>
        </is>
      </c>
      <c r="C249" s="0">
        <f>CONCATENATE(B249,", ",A249,", ",E249)</f>
        <v/>
      </c>
      <c r="E249" s="0" t="inlineStr">
        <is>
          <t>암대</t>
        </is>
      </c>
    </row>
    <row r="250">
      <c r="A250" s="0" t="inlineStr">
        <is>
          <t>MTPS-708</t>
        </is>
      </c>
      <c r="B250" s="0" t="inlineStr">
        <is>
          <t>가로등주부속자재</t>
        </is>
      </c>
      <c r="C250" s="0">
        <f>CONCATENATE(B250,", ",A250,", ",E250)</f>
        <v/>
      </c>
      <c r="E250" s="0" t="inlineStr">
        <is>
          <t>암대</t>
        </is>
      </c>
    </row>
    <row r="251">
      <c r="A251" s="0" t="inlineStr">
        <is>
          <t>MT-RS138-BW</t>
        </is>
      </c>
      <c r="B251" s="0" t="inlineStr">
        <is>
          <t>도로표지병</t>
        </is>
      </c>
      <c r="C251" s="0">
        <f>CONCATENATE(B251,", ",A251,", ",E251)</f>
        <v/>
      </c>
      <c r="E251" s="0" t="inlineStr">
        <is>
          <t>Φ138×68mm, 백색, LED/전지, 점등형</t>
        </is>
      </c>
    </row>
    <row r="252">
      <c r="A252" s="0" t="inlineStr">
        <is>
          <t>MT-RS138-BY</t>
        </is>
      </c>
      <c r="B252" s="0" t="inlineStr">
        <is>
          <t>도로표지병</t>
        </is>
      </c>
      <c r="C252" s="0">
        <f>CONCATENATE(B252,", ",A252,", ",E252)</f>
        <v/>
      </c>
      <c r="E252" s="0" t="inlineStr">
        <is>
          <t>Φ138×68mm, 황색, LED/전지, 점등형</t>
        </is>
      </c>
    </row>
    <row r="253">
      <c r="A253" s="0" t="inlineStr">
        <is>
          <t>MT-RS138-HW</t>
        </is>
      </c>
      <c r="B253" s="0" t="inlineStr">
        <is>
          <t>도로표지병</t>
        </is>
      </c>
      <c r="C253" s="0">
        <f>CONCATENATE(B253,", ",A253,", ",E253)</f>
        <v/>
      </c>
      <c r="E253" s="0" t="inlineStr">
        <is>
          <t>Φ138×68mm, 백색, 태양광/LED/전지, 점등형</t>
        </is>
      </c>
    </row>
    <row r="254">
      <c r="A254" s="0" t="inlineStr">
        <is>
          <t>MT-RS138-HY</t>
        </is>
      </c>
      <c r="B254" s="0" t="inlineStr">
        <is>
          <t>도로표지병</t>
        </is>
      </c>
      <c r="C254" s="0">
        <f>CONCATENATE(B254,", ",A254,", ",E254)</f>
        <v/>
      </c>
      <c r="E254" s="0" t="inlineStr">
        <is>
          <t>Φ138×68mm, 황색, 태양광/LED/전지, 점등형</t>
        </is>
      </c>
    </row>
    <row r="255">
      <c r="A255" s="0" t="inlineStr">
        <is>
          <t>MT-RS138-SW</t>
        </is>
      </c>
      <c r="B255" s="0" t="inlineStr">
        <is>
          <t>도로표지병</t>
        </is>
      </c>
      <c r="C255" s="0">
        <f>CONCATENATE(B255,", ",A255,", ",E255)</f>
        <v/>
      </c>
      <c r="E255" s="0" t="inlineStr">
        <is>
          <t>Φ138×47mm, 백색, 태양광/LED, 점등형</t>
        </is>
      </c>
    </row>
    <row r="256">
      <c r="A256" s="0" t="inlineStr">
        <is>
          <t>MT-RS138-SY</t>
        </is>
      </c>
      <c r="B256" s="0" t="inlineStr">
        <is>
          <t>도로표지병</t>
        </is>
      </c>
      <c r="C256" s="0">
        <f>CONCATENATE(B256,", ",A256,", ",E256)</f>
        <v/>
      </c>
      <c r="E256" s="0" t="inlineStr">
        <is>
          <t>Φ138×47mm, 황색, 태양광/LED, 점등형</t>
        </is>
      </c>
    </row>
    <row r="257">
      <c r="A257" s="0" t="inlineStr">
        <is>
          <t>MTSOLAR-50A</t>
        </is>
      </c>
      <c r="B257" s="0" t="inlineStr">
        <is>
          <t>태양광가로등</t>
        </is>
      </c>
      <c r="C257" s="0">
        <f>CONCATENATE(B257,", ",A257,", ",E257)</f>
        <v/>
      </c>
      <c r="E257" s="0" t="inlineStr">
        <is>
          <t>50W, 5m</t>
        </is>
      </c>
    </row>
    <row r="258">
      <c r="A258" s="0" t="inlineStr">
        <is>
          <t>MTSOLAR-50B</t>
        </is>
      </c>
      <c r="B258" s="0" t="inlineStr">
        <is>
          <t>태양광가로등</t>
        </is>
      </c>
      <c r="C258" s="0">
        <f>CONCATENATE(B258,", ",A258,", ",E258)</f>
        <v/>
      </c>
      <c r="E258" s="0" t="inlineStr">
        <is>
          <t>50W, 5m</t>
        </is>
      </c>
    </row>
    <row r="259">
      <c r="A259" s="0" t="inlineStr">
        <is>
          <t>MTT12B</t>
        </is>
      </c>
      <c r="B259" s="0" t="inlineStr">
        <is>
          <t>조명타워</t>
        </is>
      </c>
      <c r="C259" s="0">
        <f>CONCATENATE(B259,", ",A259,", ",E259)</f>
        <v/>
      </c>
      <c r="E259" s="0" t="inlineStr">
        <is>
          <t>12m, 12등용</t>
        </is>
      </c>
    </row>
    <row r="260">
      <c r="A260" s="0" t="inlineStr">
        <is>
          <t>MTT15A</t>
        </is>
      </c>
      <c r="B260" s="0" t="inlineStr">
        <is>
          <t>조명타워</t>
        </is>
      </c>
      <c r="C260" s="0">
        <f>CONCATENATE(B260,", ",A260,", ",E260)</f>
        <v/>
      </c>
      <c r="E260" s="0" t="inlineStr">
        <is>
          <t>15m, 6등용</t>
        </is>
      </c>
    </row>
    <row r="261">
      <c r="A261" s="0" t="inlineStr">
        <is>
          <t>MTT15B</t>
        </is>
      </c>
      <c r="B261" s="0" t="inlineStr">
        <is>
          <t>조명타워</t>
        </is>
      </c>
      <c r="C261" s="0">
        <f>CONCATENATE(B261,", ",A261,", ",E261)</f>
        <v/>
      </c>
      <c r="E261" s="0" t="inlineStr">
        <is>
          <t>15m, 12등용</t>
        </is>
      </c>
    </row>
    <row r="262">
      <c r="A262" s="0" t="inlineStr">
        <is>
          <t>MTT18A</t>
        </is>
      </c>
      <c r="B262" s="0" t="inlineStr">
        <is>
          <t>조명타워</t>
        </is>
      </c>
      <c r="C262" s="0">
        <f>CONCATENATE(B262,", ",A262,", ",E262)</f>
        <v/>
      </c>
      <c r="E262" s="0" t="inlineStr">
        <is>
          <t>18m, 6등용</t>
        </is>
      </c>
    </row>
    <row r="263">
      <c r="A263" s="0" t="inlineStr">
        <is>
          <t>MTT18B</t>
        </is>
      </c>
      <c r="B263" s="0" t="inlineStr">
        <is>
          <t>조명타워</t>
        </is>
      </c>
      <c r="C263" s="0">
        <f>CONCATENATE(B263,", ",A263,", ",E263)</f>
        <v/>
      </c>
      <c r="E263" s="0" t="inlineStr">
        <is>
          <t>18m, 12등용</t>
        </is>
      </c>
    </row>
    <row r="264">
      <c r="A264" s="0" t="inlineStr">
        <is>
          <t>MTT20A</t>
        </is>
      </c>
      <c r="B264" s="0" t="inlineStr">
        <is>
          <t>조명타워</t>
        </is>
      </c>
      <c r="C264" s="0">
        <f>CONCATENATE(B264,", ",A264,", ",E264)</f>
        <v/>
      </c>
      <c r="E264" s="0" t="inlineStr">
        <is>
          <t>20m, 10등용</t>
        </is>
      </c>
    </row>
    <row r="265">
      <c r="A265" s="0" t="inlineStr">
        <is>
          <t>MTT20B</t>
        </is>
      </c>
      <c r="B265" s="0" t="inlineStr">
        <is>
          <t>조명타워</t>
        </is>
      </c>
      <c r="C265" s="0">
        <f>CONCATENATE(B265,", ",A265,", ",E265)</f>
        <v/>
      </c>
      <c r="E265" s="0" t="inlineStr">
        <is>
          <t>20m, 18등용</t>
        </is>
      </c>
    </row>
    <row r="266">
      <c r="A266" s="0" t="inlineStr">
        <is>
          <t>MTT24A</t>
        </is>
      </c>
      <c r="B266" s="0" t="inlineStr">
        <is>
          <t>조명타워</t>
        </is>
      </c>
      <c r="C266" s="0">
        <f>CONCATENATE(B266,", ",A266,", ",E266)</f>
        <v/>
      </c>
      <c r="E266" s="0" t="inlineStr">
        <is>
          <t>24m, 10등용</t>
        </is>
      </c>
    </row>
    <row r="267">
      <c r="A267" s="0" t="inlineStr">
        <is>
          <t>MTT24B</t>
        </is>
      </c>
      <c r="B267" s="0" t="inlineStr">
        <is>
          <t>조명타워</t>
        </is>
      </c>
      <c r="C267" s="0">
        <f>CONCATENATE(B267,", ",A267,", ",E267)</f>
        <v/>
      </c>
      <c r="E267" s="0" t="inlineStr">
        <is>
          <t>24m, 18등용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</dc:creator>
  <dcterms:created xsi:type="dcterms:W3CDTF">2012-06-24T10:12:13Z</dcterms:created>
  <dcterms:modified xsi:type="dcterms:W3CDTF">2026-04-02T10:09:46Z</dcterms:modified>
  <cp:lastModifiedBy>npa</cp:lastModifiedBy>
  <cp:lastPrinted>2026-03-26T02:25:08Z</cp:lastPrinted>
</cp:coreProperties>
</file>