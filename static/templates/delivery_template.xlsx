
<file path=[Content_Types].xml><?xml version="1.0" encoding="utf-8"?>
<Types xmlns="http://schemas.openxmlformats.org/package/2006/content-types">
  <Default Extension="xml" ContentType="application/xml"/>
  <Default Extension="jpg" ContentType="image/jpeg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4.xml" ContentType="application/vnd.openxmlformats-officedocument.spreadsheetml.worksheet+xml"/>
  <Override PartName="/xl/richData/rdRichValueTypes.xml" ContentType="application/vnd.ms-excel.rdrichvaluetyp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3.xml" ContentType="application/vnd.openxmlformats-officedocument.drawing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richData/rdrichvalue.xml" ContentType="application/vnd.ms-excel.rdrichvalu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데이터" sheetId="1" state="visible" r:id="rId6"/>
    <sheet name="기초 자료 입력" sheetId="2" state="visible" r:id="rId7"/>
    <sheet name="공문" sheetId="3" state="visible" r:id="rId8"/>
    <sheet name="납품계" sheetId="4" state="visible" r:id="rId9"/>
    <sheet name="물납영수증" sheetId="5" state="visible" r:id="rId10"/>
    <sheet name="검수내역서" sheetId="6" state="visible" r:id="rId11"/>
    <sheet name="물납확인서" sheetId="7" state="visible" r:id="rId12"/>
    <sheet name="사진대지" sheetId="8" state="visible" r:id="rId13"/>
  </sheets>
  <externalReferences>
    <externalReference r:id="rId1"/>
  </externalReferences>
  <definedNames>
    <definedName name="_xlnm.Print_Area" localSheetId="2">공문!$A$1:$K$34</definedName>
    <definedName name="_Key1" localSheetId="3" hidden="1">#REF!</definedName>
    <definedName name="_xlnm.Print_Area" localSheetId="3">납품계!$A$1:$F$33</definedName>
    <definedName name="_xlnm.Print_Area" localSheetId="5">검수내역서!$A$2:$H$24</definedName>
    <definedName name="_xlnm.Print_Area" localSheetId="6">물납확인서!$A$1:$J$31</definedName>
    <definedName name="_xlnm.Print_Area" localSheetId="7">사진대지!$A$1:$G$32</definedName>
    <definedName name="Print_Titles" localSheetId="7">사진대지!$9:$12</definedName>
    <definedName name="_Key1" hidden="1">#REF!</definedName>
    <definedName name="_Order1" hidden="1">255</definedName>
  </definedNames>
  <calcPr/>
  <extLst>
    <ext xmlns:x15="http://schemas.microsoft.com/office/spreadsheetml/2010/11/main" uri="{D0CA8CA8-9F24-4464-BF8E-62219DCF47F9}"/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<sst xmlns="http://schemas.openxmlformats.org/spreadsheetml/2006/main" count="422" uniqueCount="422">
  <si>
    <t xml:space="preserve">기준정보 입력</t>
  </si>
  <si>
    <t xml:space="preserve">회사명 : ㈜매그나텍</t>
  </si>
  <si>
    <t>모델명</t>
  </si>
  <si>
    <t>규격</t>
  </si>
  <si>
    <t>단가</t>
  </si>
  <si>
    <t>분류번호</t>
  </si>
  <si>
    <t>카테고리</t>
  </si>
  <si>
    <t>분류1</t>
  </si>
  <si>
    <t>분류2</t>
  </si>
  <si>
    <t xml:space="preserve">분류3 (모델명)</t>
  </si>
  <si>
    <t xml:space="preserve">분류4 (와트수)</t>
  </si>
  <si>
    <t>본/개</t>
  </si>
  <si>
    <t xml:space="preserve">분류5 (기타)</t>
  </si>
  <si>
    <t xml:space="preserve">분류6 (기타)</t>
  </si>
  <si>
    <t>MT-SLC-075</t>
  </si>
  <si>
    <t>도로조명설비</t>
  </si>
  <si>
    <t>LED가로등기구</t>
  </si>
  <si>
    <t>75W</t>
  </si>
  <si>
    <t>개</t>
  </si>
  <si>
    <t/>
  </si>
  <si>
    <t>MT-SLC-100</t>
  </si>
  <si>
    <t>39111603</t>
  </si>
  <si>
    <t>100W</t>
  </si>
  <si>
    <t>MT-SLC-125</t>
  </si>
  <si>
    <t>125W</t>
  </si>
  <si>
    <t>MT-SLC-025-35</t>
  </si>
  <si>
    <t>39111608</t>
  </si>
  <si>
    <t>거주로조명설비</t>
  </si>
  <si>
    <t>LED보안등기구</t>
  </si>
  <si>
    <t>25W</t>
  </si>
  <si>
    <t>MT-SLA-100</t>
  </si>
  <si>
    <t>100W</t>
  </si>
  <si>
    <t>MT-SLA-150</t>
  </si>
  <si>
    <t>150W</t>
  </si>
  <si>
    <t>MT-SLC-150</t>
  </si>
  <si>
    <t>150W</t>
  </si>
  <si>
    <t>MT-SLA(D)-125</t>
  </si>
  <si>
    <t>MT-SLA(D)-150</t>
  </si>
  <si>
    <t>MT-SLA(D)-100</t>
  </si>
  <si>
    <t>MT-SLC-030</t>
  </si>
  <si>
    <t>30W</t>
  </si>
  <si>
    <t>MT-SLC-040</t>
  </si>
  <si>
    <t>40W</t>
  </si>
  <si>
    <t>MT-SLC-050</t>
  </si>
  <si>
    <t>50W</t>
  </si>
  <si>
    <t>MT-SLC-060</t>
  </si>
  <si>
    <t>60W</t>
  </si>
  <si>
    <t>MT-SLA-050</t>
  </si>
  <si>
    <t>50W</t>
  </si>
  <si>
    <t>MT-SLA(D)-050</t>
  </si>
  <si>
    <t>MT-SLC-050-35</t>
  </si>
  <si>
    <t>MT-TL-050</t>
  </si>
  <si>
    <t>LED터널용등기구</t>
  </si>
  <si>
    <t>MT-TL-075</t>
  </si>
  <si>
    <t>MT-TL-100</t>
  </si>
  <si>
    <t>MT-TL-150</t>
  </si>
  <si>
    <t>MT-TLC-150</t>
  </si>
  <si>
    <t>MTSOLAR-50A</t>
  </si>
  <si>
    <t>39111697</t>
  </si>
  <si>
    <t>신재생에너지가로등</t>
  </si>
  <si>
    <t>태양광가로등</t>
  </si>
  <si>
    <t>MTSOLAR-50B</t>
  </si>
  <si>
    <t>MT-VB</t>
  </si>
  <si>
    <t>39111611</t>
  </si>
  <si>
    <t>투광조명</t>
  </si>
  <si>
    <t>LED투광등기구</t>
  </si>
  <si>
    <t>(부품)매그나텍</t>
  </si>
  <si>
    <t>눈부심방지장치</t>
  </si>
  <si>
    <t>MT-VM</t>
  </si>
  <si>
    <t>ARENA-200S</t>
  </si>
  <si>
    <t>200W</t>
  </si>
  <si>
    <t>ARENA(M)-200S</t>
  </si>
  <si>
    <t>ARENA-300S</t>
  </si>
  <si>
    <t>300W</t>
  </si>
  <si>
    <t>ARENA(X)-600</t>
  </si>
  <si>
    <t>600W</t>
  </si>
  <si>
    <t>ARENA-400(3000K)</t>
  </si>
  <si>
    <t>400W</t>
  </si>
  <si>
    <t>ARENA-400</t>
  </si>
  <si>
    <t>ARENA-400S</t>
  </si>
  <si>
    <t>ARENA(M)-300S</t>
  </si>
  <si>
    <t>300W</t>
  </si>
  <si>
    <t>ARENA(M)-400S</t>
  </si>
  <si>
    <t>ARENA(M)-400S</t>
  </si>
  <si>
    <t>ARENA(M)-400</t>
  </si>
  <si>
    <t>ARENA-500(3000K)</t>
  </si>
  <si>
    <t>500W</t>
  </si>
  <si>
    <t>ARENA(M)-500,</t>
  </si>
  <si>
    <t>ARENA-500</t>
  </si>
  <si>
    <t>ARENA-600(3000K)</t>
  </si>
  <si>
    <t>600W</t>
  </si>
  <si>
    <t>ARENA-600</t>
  </si>
  <si>
    <t>ARENA(M)-600</t>
  </si>
  <si>
    <t>ARENA-800(3000K)</t>
  </si>
  <si>
    <t>800W</t>
  </si>
  <si>
    <t>ARENA(X)-800</t>
  </si>
  <si>
    <t>800W</t>
  </si>
  <si>
    <t>ARENA-800</t>
  </si>
  <si>
    <t>BATOO-1000</t>
  </si>
  <si>
    <t>1000W</t>
  </si>
  <si>
    <t>BATOO-1200</t>
  </si>
  <si>
    <t>1200W</t>
  </si>
  <si>
    <t>BATOO-200</t>
  </si>
  <si>
    <t>BATOO-300</t>
  </si>
  <si>
    <t>BATOO-400</t>
  </si>
  <si>
    <t>BATOO-600</t>
  </si>
  <si>
    <t>BATOO-800</t>
  </si>
  <si>
    <t>MT-FL-1200A</t>
  </si>
  <si>
    <t>MT-FL-1000A</t>
  </si>
  <si>
    <t>1000W</t>
  </si>
  <si>
    <t>MT-FL-300A</t>
  </si>
  <si>
    <t>MT-FL-400S</t>
  </si>
  <si>
    <t>MT-FL-600A</t>
  </si>
  <si>
    <t>MT-FL-800A</t>
  </si>
  <si>
    <t>STA(M)-1000</t>
  </si>
  <si>
    <t>STA(M)-1200</t>
  </si>
  <si>
    <t>STA(M)-1500</t>
  </si>
  <si>
    <t>1500W</t>
  </si>
  <si>
    <t>STA-400</t>
  </si>
  <si>
    <t>STA-600</t>
  </si>
  <si>
    <t>STA-800</t>
  </si>
  <si>
    <t>STA-1000</t>
  </si>
  <si>
    <t>STA-1200</t>
  </si>
  <si>
    <t>STA-1500</t>
  </si>
  <si>
    <t>STA(X)-1200</t>
  </si>
  <si>
    <t>24514580</t>
  </si>
  <si>
    <t>MTPS-701</t>
  </si>
  <si>
    <t>39111526</t>
  </si>
  <si>
    <t>가로등주및부속자재</t>
  </si>
  <si>
    <t>가로등주부속자재</t>
  </si>
  <si>
    <t>베이스커버</t>
  </si>
  <si>
    <t>MTPS-702</t>
  </si>
  <si>
    <t>배너걸이</t>
  </si>
  <si>
    <t>MTPS-703</t>
  </si>
  <si>
    <t>심볼판</t>
  </si>
  <si>
    <t>MTPS-704</t>
  </si>
  <si>
    <t>보행자암</t>
  </si>
  <si>
    <t>MTPS-705</t>
  </si>
  <si>
    <t>MTPS-706</t>
  </si>
  <si>
    <t>스테인리스보행자암</t>
  </si>
  <si>
    <t>MTPS-707</t>
  </si>
  <si>
    <t>MTPS-708</t>
  </si>
  <si>
    <t>암</t>
  </si>
  <si>
    <t>MTPS-101-10</t>
  </si>
  <si>
    <t>스테인리스가로등주</t>
  </si>
  <si>
    <t>10m</t>
  </si>
  <si>
    <t>본</t>
  </si>
  <si>
    <t>1등용</t>
  </si>
  <si>
    <t>MTPS-101-8</t>
  </si>
  <si>
    <t>8m</t>
  </si>
  <si>
    <t>MTPS-101-9</t>
  </si>
  <si>
    <t>9m</t>
  </si>
  <si>
    <t>MTPS-102-10</t>
  </si>
  <si>
    <t>MTPS-102-8</t>
  </si>
  <si>
    <t>MTPS-102-9</t>
  </si>
  <si>
    <t>MTPS-103-10</t>
  </si>
  <si>
    <t>MTPS-103-10-2</t>
  </si>
  <si>
    <t>2등용</t>
  </si>
  <si>
    <t>MTPS-103-8</t>
  </si>
  <si>
    <t>MTPS-103-9</t>
  </si>
  <si>
    <t>MTPS-104-10</t>
  </si>
  <si>
    <t>MTPS-104-8</t>
  </si>
  <si>
    <t>MTPS-104-9</t>
  </si>
  <si>
    <t>MTPS-105-10</t>
  </si>
  <si>
    <t>MTPS-105-10-2</t>
  </si>
  <si>
    <t>MTPS-105-8</t>
  </si>
  <si>
    <t>MTPS-105-9</t>
  </si>
  <si>
    <t>MTPS-105-9-2</t>
  </si>
  <si>
    <t>MTPS-201-4</t>
  </si>
  <si>
    <t>4m</t>
  </si>
  <si>
    <t>MTPS-201-5</t>
  </si>
  <si>
    <t>5m</t>
  </si>
  <si>
    <t>원2단형</t>
  </si>
  <si>
    <t>MTPS-201-6</t>
  </si>
  <si>
    <t>6m</t>
  </si>
  <si>
    <t>MTPS-202-4</t>
  </si>
  <si>
    <t>MTPS-202-5</t>
  </si>
  <si>
    <t>MTPS-202-6</t>
  </si>
  <si>
    <t>MTPS-203-4</t>
  </si>
  <si>
    <t>MTPS-203-5</t>
  </si>
  <si>
    <t>MTPS-203-5-2</t>
  </si>
  <si>
    <t>MTPS-203-6</t>
  </si>
  <si>
    <t>MTPS-204-4</t>
  </si>
  <si>
    <t>MTPS-204-4-2</t>
  </si>
  <si>
    <t>MTPS-204-5</t>
  </si>
  <si>
    <t>MTPS-204-5-2</t>
  </si>
  <si>
    <t>MTPS-204-6</t>
  </si>
  <si>
    <t>MTPS-204-6-2</t>
  </si>
  <si>
    <t>MTPS-205-65</t>
  </si>
  <si>
    <t>6.5m</t>
  </si>
  <si>
    <t>MTT12B</t>
  </si>
  <si>
    <t>39112001</t>
  </si>
  <si>
    <t>조명타워</t>
  </si>
  <si>
    <t>12m</t>
  </si>
  <si>
    <t>12등용</t>
  </si>
  <si>
    <t>MTT15A</t>
  </si>
  <si>
    <t>15m</t>
  </si>
  <si>
    <t>6등용</t>
  </si>
  <si>
    <t>MTT15B</t>
  </si>
  <si>
    <t>MTT18A</t>
  </si>
  <si>
    <t>18m</t>
  </si>
  <si>
    <t>MTT18B</t>
  </si>
  <si>
    <t>MTT20A</t>
  </si>
  <si>
    <t>20m</t>
  </si>
  <si>
    <t>10등용</t>
  </si>
  <si>
    <t>MTT20B</t>
  </si>
  <si>
    <t>18등용</t>
  </si>
  <si>
    <t>MTT24A</t>
  </si>
  <si>
    <t>24m</t>
  </si>
  <si>
    <t>MTT24B</t>
  </si>
  <si>
    <t>MTPF-101-10</t>
  </si>
  <si>
    <t>철제가로등주</t>
  </si>
  <si>
    <t>MTPF-101-10-2</t>
  </si>
  <si>
    <t>MTPF-101-12</t>
  </si>
  <si>
    <t>MTPF-101-12-2</t>
  </si>
  <si>
    <t>MTPF-101-8</t>
  </si>
  <si>
    <t>MTPF-101-8-2</t>
  </si>
  <si>
    <t>MTPF-101-9</t>
  </si>
  <si>
    <t>MTPF-101-9-2</t>
  </si>
  <si>
    <t>MTPF-201-4</t>
  </si>
  <si>
    <t>MTPF-201-4-2</t>
  </si>
  <si>
    <t>MTPF-201-5</t>
  </si>
  <si>
    <t>MTPF-201-5</t>
  </si>
  <si>
    <t>MTPF-201-5-2</t>
  </si>
  <si>
    <t>MT-RS138-SW</t>
  </si>
  <si>
    <t>46161585</t>
  </si>
  <si>
    <t>도로표지병</t>
  </si>
  <si>
    <t>Φ138×47mm</t>
  </si>
  <si>
    <t xml:space="preserve">백색, 태양광/LED,점등형</t>
  </si>
  <si>
    <t>END</t>
  </si>
  <si>
    <t xml:space="preserve">[ 기초 DATA 입력 ]</t>
  </si>
  <si>
    <t xml:space="preserve">회사명 : ㈜매그나텍</t>
  </si>
  <si>
    <t xml:space="preserve">1. 계약정보</t>
  </si>
  <si>
    <t>계약건명</t>
  </si>
  <si>
    <t>수기</t>
  </si>
  <si>
    <t xml:space="preserve">울산공항 계류장조명등 개선공사 관급자재 구매</t>
  </si>
  <si>
    <t>계약번호</t>
  </si>
  <si>
    <t>R25TA00498993-00</t>
  </si>
  <si>
    <t>계약일자</t>
  </si>
  <si>
    <t xml:space="preserve">2. 납품정보</t>
  </si>
  <si>
    <t>납품요구번호</t>
  </si>
  <si>
    <t>R26TB01782064-00</t>
  </si>
  <si>
    <t>납품기한</t>
  </si>
  <si>
    <t xml:space="preserve">3. 공문관련</t>
  </si>
  <si>
    <t>제출(납품)일자</t>
  </si>
  <si>
    <t>공문마지막번호</t>
  </si>
  <si>
    <t>공문번호</t>
  </si>
  <si>
    <t>자동</t>
  </si>
  <si>
    <t xml:space="preserve">4. 발주사항</t>
  </si>
  <si>
    <t>발주처</t>
  </si>
  <si>
    <t xml:space="preserve">한국공항공사 울산공항</t>
  </si>
  <si>
    <t xml:space="preserve">수요기관 번호</t>
  </si>
  <si>
    <t xml:space="preserve">관청 구분</t>
  </si>
  <si>
    <t>선택</t>
  </si>
  <si>
    <t>기관</t>
  </si>
  <si>
    <t>감리유무</t>
  </si>
  <si>
    <t>무</t>
  </si>
  <si>
    <t xml:space="preserve">5. 물품 수</t>
  </si>
  <si>
    <t xml:space="preserve">1 ~ 10 中 선택</t>
  </si>
  <si>
    <t xml:space="preserve">[ 자동작성 ]</t>
  </si>
  <si>
    <t xml:space="preserve">6. 제품정보</t>
  </si>
  <si>
    <t xml:space="preserve">계약액(원) </t>
  </si>
  <si>
    <t>No.</t>
  </si>
  <si>
    <t xml:space="preserve">단가 (원, VAT포함)</t>
  </si>
  <si>
    <t>단위</t>
  </si>
  <si>
    <t>수량</t>
  </si>
  <si>
    <t>총액(VAT포함)</t>
  </si>
  <si>
    <t>정부물품분류번호</t>
  </si>
  <si>
    <t xml:space="preserve">품명 및 규격</t>
  </si>
  <si>
    <t>물품명</t>
  </si>
  <si>
    <t>원산지</t>
  </si>
  <si>
    <t xml:space="preserve">[ 수기 입력 ]</t>
  </si>
  <si>
    <t>대한민국</t>
  </si>
  <si>
    <t xml:space="preserve">판매액 합계</t>
  </si>
  <si>
    <t xml:space="preserve">7. 수수료</t>
  </si>
  <si>
    <t>(원)</t>
  </si>
  <si>
    <t xml:space="preserve">수수료(원) - A</t>
  </si>
  <si>
    <t xml:space="preserve">건강한 에너지  건강한 빛  건강한 공기</t>
  </si>
  <si>
    <t xml:space="preserve">주식회사 매그나텍</t>
  </si>
  <si>
    <t>수신</t>
  </si>
  <si>
    <t>(경유)</t>
  </si>
  <si>
    <t>제목</t>
  </si>
  <si>
    <t xml:space="preserve">   납품계를 제출하오니 처리하여 주시기 바랍니다.</t>
  </si>
  <si>
    <t xml:space="preserve">   나.  계약금액 : </t>
  </si>
  <si>
    <t xml:space="preserve">   다.  계약일자 : </t>
  </si>
  <si>
    <t xml:space="preserve">   라.  납품기한 : </t>
  </si>
  <si>
    <t xml:space="preserve">붙임  납품계 1부.   끝.</t>
  </si>
  <si>
    <t xml:space="preserve">주식회사 매그나텍 대표이사 박 선 후</t>
  </si>
  <si>
    <t xml:space="preserve"> 담당    최한진          부장    이지훈          전무    채현병          대표    박선후</t>
  </si>
  <si>
    <t xml:space="preserve"> 협조자</t>
  </si>
  <si>
    <t xml:space="preserve"> 시행   매그나텍 </t>
  </si>
  <si>
    <t>접수</t>
  </si>
  <si>
    <t xml:space="preserve"> 우   57241</t>
  </si>
  <si>
    <t xml:space="preserve">전라남도 장성군 동화면 전자농공단지2길 55</t>
  </si>
  <si>
    <t xml:space="preserve">/ www.magnatech.co.kr</t>
  </si>
  <si>
    <t xml:space="preserve"> 전화번호   061-392-5508</t>
  </si>
  <si>
    <t xml:space="preserve">      팩스번호   061-392-5508</t>
  </si>
  <si>
    <t xml:space="preserve">/ sales@mgnt.kr</t>
  </si>
  <si>
    <t xml:space="preserve">납 품 계</t>
  </si>
  <si>
    <t xml:space="preserve">감독관 확인 :                             (인)</t>
  </si>
  <si>
    <t xml:space="preserve">1. 납품요구번호 :</t>
  </si>
  <si>
    <t xml:space="preserve">2. 계  약  건  명 :</t>
  </si>
  <si>
    <t xml:space="preserve">3. 계  약  금  액 :</t>
  </si>
  <si>
    <t xml:space="preserve">4. 계  약  일  자 :</t>
  </si>
  <si>
    <t xml:space="preserve">5. 납  품  기  한 :</t>
  </si>
  <si>
    <t xml:space="preserve">6. 납  품  일  자 :</t>
  </si>
  <si>
    <t xml:space="preserve">상기 계약건에 대해 납품을 완료하였기에 납품계를 제출합니다.</t>
  </si>
  <si>
    <t xml:space="preserve"> 붙임 : 1. 분할납품요구서 1부.</t>
  </si>
  <si>
    <r>
      <rPr>
        <sz val="11"/>
        <color theme="0"/>
        <rFont val="Aptos Narrow"/>
        <scheme val="minor"/>
      </rPr>
      <t xml:space="preserve"> 붙임 : </t>
    </r>
    <r>
      <rPr>
        <sz val="11"/>
        <rFont val="Aptos Narrow"/>
        <scheme val="minor"/>
      </rPr>
      <t xml:space="preserve">2. 물품검사(수)내역서 1부.</t>
    </r>
  </si>
  <si>
    <r>
      <rPr>
        <sz val="11"/>
        <color theme="0"/>
        <rFont val="Aptos Narrow"/>
        <scheme val="minor"/>
      </rPr>
      <t xml:space="preserve"> 붙임 : </t>
    </r>
    <r>
      <rPr>
        <sz val="11"/>
        <rFont val="Aptos Narrow"/>
        <scheme val="minor"/>
      </rPr>
      <t xml:space="preserve">3. 물품납품확인서 1부.</t>
    </r>
  </si>
  <si>
    <r>
      <rPr>
        <sz val="11"/>
        <color theme="0"/>
        <rFont val="Aptos Narrow"/>
        <scheme val="minor"/>
      </rPr>
      <t xml:space="preserve"> 붙임 :</t>
    </r>
    <r>
      <rPr>
        <sz val="11"/>
        <rFont val="Aptos Narrow"/>
        <scheme val="minor"/>
      </rPr>
      <t xml:space="preserve"> 4. 사진대지 1부.   끝.</t>
    </r>
  </si>
  <si>
    <t xml:space="preserve">                                             계약자</t>
  </si>
  <si>
    <t>납품자</t>
  </si>
  <si>
    <t xml:space="preserve">                                                주   소 : 전남 장성군 동화면 전자농공단지2길 55</t>
  </si>
  <si>
    <t xml:space="preserve">주   소 :</t>
  </si>
  <si>
    <t xml:space="preserve">  전남 장성군 동화면 전자농공단지2길 55</t>
  </si>
  <si>
    <t xml:space="preserve">                                                업체명 : 주식회사 매그나텍</t>
  </si>
  <si>
    <t xml:space="preserve">업체명 :</t>
  </si>
  <si>
    <t xml:space="preserve">  주식회사 매그나텍</t>
  </si>
  <si>
    <t xml:space="preserve">                                                대표자 : 박 선 후         (인)</t>
  </si>
  <si>
    <t xml:space="preserve">대표자 :</t>
  </si>
  <si>
    <t xml:space="preserve">  박  선  후</t>
  </si>
  <si>
    <t>(인)</t>
  </si>
  <si>
    <r>
      <t>물</t>
    </r>
    <r>
      <rPr>
        <b/>
        <u val="single"/>
        <sz val="20"/>
        <rFont val="함초롬바탕"/>
      </rPr>
      <t xml:space="preserve"> 품 납 품   및   영 수 증</t>
    </r>
  </si>
  <si>
    <t xml:space="preserve">증  빙  번  호</t>
  </si>
  <si>
    <t xml:space="preserve">계  약  번  호</t>
  </si>
  <si>
    <t>납품지시번호</t>
  </si>
  <si>
    <t xml:space="preserve">납  품  기  한</t>
  </si>
  <si>
    <t xml:space="preserve">계  약  일  자</t>
  </si>
  <si>
    <t>납품지시일자</t>
  </si>
  <si>
    <t>검사요청기한</t>
  </si>
  <si>
    <t xml:space="preserve">수  요  기  관</t>
  </si>
  <si>
    <t>수요기관번호</t>
  </si>
  <si>
    <t xml:space="preserve">회     계     명</t>
  </si>
  <si>
    <t>계약(납품요구)금액</t>
  </si>
  <si>
    <t xml:space="preserve">지  체  상  금</t>
  </si>
  <si>
    <t xml:space="preserve">지  체  일  수</t>
  </si>
  <si>
    <t xml:space="preserve">감    가    액</t>
  </si>
  <si>
    <t xml:space="preserve">선            금</t>
  </si>
  <si>
    <t xml:space="preserve">지     급     액</t>
  </si>
  <si>
    <t xml:space="preserve">물    품    대</t>
  </si>
  <si>
    <t xml:space="preserve">수    수    료</t>
  </si>
  <si>
    <t xml:space="preserve">징 수 결 정 액</t>
  </si>
  <si>
    <t>조달청등록번호</t>
  </si>
  <si>
    <r>
      <t xml:space="preserve">계약 상대자
</t>
    </r>
    <r>
      <rPr>
        <sz val="12.5"/>
        <rFont val="함초롬바탕"/>
      </rPr>
      <t>신청검사장소</t>
    </r>
  </si>
  <si>
    <t xml:space="preserve">아래물품을 납품하고자 하오니 인수하여 주시기 </t>
  </si>
  <si>
    <t xml:space="preserve">아래물품은 검사결과 합격판정이 되었음을 증명함</t>
  </si>
  <si>
    <t>바랍니다.</t>
  </si>
  <si>
    <t>검사요청일</t>
  </si>
  <si>
    <t xml:space="preserve"> 주  소 : 전남 장성군 동화면 전자농공단지2길 55</t>
  </si>
  <si>
    <t xml:space="preserve"> 상  호 : (주)매그나텍</t>
  </si>
  <si>
    <t>검사보완일</t>
  </si>
  <si>
    <t xml:space="preserve">        년        월        일</t>
  </si>
  <si>
    <r>
      <t xml:space="preserve">(검사불합격시 기재)</t>
    </r>
    <r>
      <rPr>
        <b/>
        <sz val="13"/>
        <rFont val="함초롬바탕"/>
      </rPr>
      <t> </t>
    </r>
  </si>
  <si>
    <r>
      <t xml:space="preserve"> 대표자 :  박  선  후     󰄫  </t>
    </r>
    <r>
      <rPr>
        <sz val="14"/>
        <rFont val="함초롬바탕"/>
      </rPr>
      <t xml:space="preserve"> </t>
    </r>
    <r>
      <rPr>
        <sz val="14"/>
        <rFont val="함초롬바탕"/>
      </rPr>
      <t xml:space="preserve">(전화 : 061-392-5508)</t>
    </r>
  </si>
  <si>
    <t>검사합격일</t>
  </si>
  <si>
    <t xml:space="preserve">※ 단체수의계약 물품의 경우</t>
  </si>
  <si>
    <t>검사완료일</t>
  </si>
  <si>
    <t xml:space="preserve">       년        월       일</t>
  </si>
  <si>
    <t xml:space="preserve"> 납품업체명 :</t>
  </si>
  <si>
    <r>
      <t xml:space="preserve"> 대   표   자 :                                                 </t>
    </r>
    <r>
      <rPr>
        <sz val="14"/>
        <rFont val="함초롬바탕"/>
      </rPr>
      <t>󰄫 </t>
    </r>
    <r>
      <rPr>
        <sz val="14"/>
        <rFont val="함초롬바탕"/>
      </rPr>
      <t xml:space="preserve">       </t>
    </r>
  </si>
  <si>
    <t>소속검사관</t>
  </si>
  <si>
    <t>󰄫 </t>
  </si>
  <si>
    <t xml:space="preserve">수요기관 물품출납 공무원 영수인에 의하여 아래</t>
  </si>
  <si>
    <r>
      <t xml:space="preserve">아래물품을 정히 영수함.</t>
    </r>
    <r>
      <rPr>
        <sz val="13.5"/>
        <rFont val="함초롬바탕"/>
      </rPr>
      <t> </t>
    </r>
  </si>
  <si>
    <t xml:space="preserve">물품이 납품되었음을 확인함. </t>
  </si>
  <si>
    <r>
      <t xml:space="preserve">수요기관 전화번호 :</t>
    </r>
    <r>
      <rPr>
        <sz val="14"/>
        <rFont val="함초롬바탕"/>
      </rPr>
      <t> </t>
    </r>
  </si>
  <si>
    <t xml:space="preserve">        년       월      일</t>
  </si>
  <si>
    <t>검수요청일</t>
  </si>
  <si>
    <t xml:space="preserve">       년       월       일</t>
  </si>
  <si>
    <t>검수완료일</t>
  </si>
  <si>
    <t xml:space="preserve">       년       월      일</t>
  </si>
  <si>
    <t>조달청확인자</t>
  </si>
  <si>
    <t>󰄫 </t>
  </si>
  <si>
    <t xml:space="preserve">소         속</t>
  </si>
  <si>
    <t>출납공무원</t>
  </si>
  <si>
    <t>순번</t>
  </si>
  <si>
    <t>정부물품분류번호</t>
  </si>
  <si>
    <t xml:space="preserve">품명 및</t>
  </si>
  <si>
    <t>단위</t>
  </si>
  <si>
    <t>수량</t>
  </si>
  <si>
    <t xml:space="preserve">단     가</t>
  </si>
  <si>
    <t xml:space="preserve">금     액</t>
  </si>
  <si>
    <t xml:space="preserve">원 산 지</t>
  </si>
  <si>
    <t xml:space="preserve">규   격</t>
  </si>
  <si>
    <t xml:space="preserve">물    품    대</t>
  </si>
  <si>
    <t xml:space="preserve">부    가    세</t>
  </si>
  <si>
    <t xml:space="preserve">합           계</t>
  </si>
  <si>
    <t xml:space="preserve">하자보수보증금 수납필</t>
  </si>
  <si>
    <r>
      <t>󰄫</t>
    </r>
    <r>
      <rPr>
        <sz val="13"/>
        <rFont val="함초롬바탕"/>
      </rPr>
      <t> </t>
    </r>
  </si>
  <si>
    <t xml:space="preserve">세금계산서 접수필</t>
  </si>
  <si>
    <t xml:space="preserve">물 품 검 사 (수) 내 역 서</t>
  </si>
  <si>
    <t xml:space="preserve">금회 검수 금액</t>
  </si>
  <si>
    <t>품목번호</t>
  </si>
  <si>
    <t>물품명</t>
  </si>
  <si>
    <t xml:space="preserve">단가
(원)</t>
  </si>
  <si>
    <t xml:space="preserve">계약상의
수      량</t>
  </si>
  <si>
    <t xml:space="preserve">전회까지의
검사(수)량</t>
  </si>
  <si>
    <t xml:space="preserve">금        회
검사(수)량</t>
  </si>
  <si>
    <t>비고</t>
  </si>
  <si>
    <t>규격명</t>
  </si>
  <si>
    <t>-</t>
  </si>
  <si>
    <t xml:space="preserve">물 품 납 품 확 인 서</t>
  </si>
  <si>
    <t xml:space="preserve">계  약  건  명 :</t>
  </si>
  <si>
    <t xml:space="preserve">계  약  일  자 :</t>
  </si>
  <si>
    <t xml:space="preserve">납  품  기  한 :</t>
  </si>
  <si>
    <t>*납품내역</t>
  </si>
  <si>
    <t>품명</t>
  </si>
  <si>
    <t xml:space="preserve">주소 :</t>
  </si>
  <si>
    <t xml:space="preserve"> 전남 장성군 동화면 전자농공단지2길 55</t>
  </si>
  <si>
    <t xml:space="preserve"> 주식회사 매그나텍</t>
  </si>
  <si>
    <t xml:space="preserve"> 박 선 후</t>
  </si>
  <si>
    <t>인수자</t>
  </si>
  <si>
    <t xml:space="preserve">사  진  대  지</t>
  </si>
  <si>
    <t xml:space="preserve">그림작업 완료</t>
  </si>
  <si>
    <t xml:space="preserve">
</t>
  </si>
  <si>
    <t xml:space="preserve">납 품 사 진</t>
  </si>
  <si>
    <t>사업명</t>
  </si>
  <si>
    <t>납품기한</t>
  </si>
  <si>
    <t xml:space="preserve">장    소</t>
  </si>
  <si>
    <t xml:space="preserve">수요기관 지정장소</t>
  </si>
  <si>
    <t xml:space="preserve">제품 사진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</si>
</sst>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2">
    <numFmt numFmtId="164" formatCode="_-* #,##0_-;\-* #,##0_-;_-* &quot;-&quot;_-;_-@_-"/>
    <numFmt numFmtId="165" formatCode="_-&quot;₩&quot;* #,##0_-;\-&quot;₩&quot;* #,##0_-;_-&quot;₩&quot;* &quot;-&quot;_-;_-@_-"/>
    <numFmt numFmtId="166" formatCode="#,##0_ ;[Red]\-#,##0\ "/>
    <numFmt numFmtId="167" formatCode="yyyy&quot;/&quot;mm&quot;/&quot;dd;@"/>
    <numFmt numFmtId="168" formatCode="yyyy&quot;년&quot;\ mm&quot;월&quot;\ dd&quot;일&quot;;@"/>
    <numFmt numFmtId="169" formatCode="#,##0_);[Red]\(#,##0\)"/>
    <numFmt numFmtId="170" formatCode="yyyy\ &quot;년&quot;\ \ \ mm\ &quot;월&quot;\ \ \ dd\ &quot;일&quot;;@"/>
    <numFmt numFmtId="171" formatCode="yyyy&quot;년&quot;\ \ \ mm&quot;월&quot;\ \ \ dd&quot;일&quot;;@"/>
    <numFmt numFmtId="172" formatCode="_-* #,##0.0_-;\-* #,##0.0_-;_-* &quot;-&quot;_-;_-@_-"/>
    <numFmt numFmtId="173" formatCode="yyyy&quot;년&quot;\ \ mm&quot;월&quot;\ \ dd&quot;일&quot;;@"/>
    <numFmt numFmtId="174" formatCode="yyyy&quot;년&quot;\ \ \ \ \ mm&quot;월&quot;\ \ \ \ \ dd&quot;일&quot;;@"/>
    <numFmt numFmtId="175" formatCode="yyyy-mm-dd"/>
  </numFmts>
  <fonts count="45">
    <font>
      <sz val="11.000000"/>
      <color theme="1"/>
      <name val="Aptos Narrow"/>
      <scheme val="minor"/>
    </font>
    <font>
      <sz val="11.000000"/>
      <name val="돋움"/>
    </font>
    <font>
      <b/>
      <sz val="26.000000"/>
      <color theme="1"/>
      <name val="Aptos Narrow"/>
      <scheme val="minor"/>
    </font>
    <font>
      <b/>
      <sz val="11.000000"/>
      <color theme="1"/>
      <name val="Aptos Narrow"/>
      <scheme val="minor"/>
    </font>
    <font>
      <sz val="11.000000"/>
      <color theme="1"/>
      <name val="맑은 고딕"/>
    </font>
    <font>
      <b/>
      <sz val="24.000000"/>
      <color theme="1"/>
      <name val="맑은 고딕"/>
    </font>
    <font>
      <sz val="11.000000"/>
      <name val="맑은 고딕"/>
    </font>
    <font>
      <b/>
      <sz val="11.000000"/>
      <color theme="1"/>
      <name val="맑은 고딕"/>
    </font>
    <font>
      <b/>
      <sz val="11.000000"/>
      <name val="맑은 고딕"/>
    </font>
    <font>
      <b/>
      <sz val="12.000000"/>
      <color theme="9" tint="-0.249977111117893"/>
      <name val="맑은 고딕"/>
    </font>
    <font>
      <b/>
      <sz val="22.000000"/>
      <color theme="1"/>
      <name val="맑은 고딕"/>
    </font>
    <font>
      <sz val="22.000000"/>
      <color theme="1"/>
      <name val="맑은 고딕"/>
    </font>
    <font>
      <sz val="16.000000"/>
      <color theme="1"/>
      <name val="맑은 고딕"/>
    </font>
    <font>
      <sz val="14.000000"/>
      <color theme="1"/>
      <name val="맑은 고딕"/>
    </font>
    <font>
      <sz val="10.000000"/>
      <color theme="1"/>
      <name val="맑은 고딕"/>
    </font>
    <font>
      <b/>
      <u/>
      <sz val="22.000000"/>
      <name val="맑은 고딕"/>
    </font>
    <font>
      <b/>
      <sz val="18.000000"/>
      <name val="맑은 고딕"/>
    </font>
    <font>
      <sz val="11.000000"/>
      <color theme="1"/>
      <name val="함초롬바탕"/>
    </font>
    <font>
      <b/>
      <u/>
      <sz val="20.000000"/>
      <name val="함초롬바탕"/>
    </font>
    <font>
      <u/>
      <sz val="20.000000"/>
      <color theme="1"/>
      <name val="함초롬바탕"/>
    </font>
    <font>
      <sz val="10.000000"/>
      <name val="함초롬바탕"/>
    </font>
    <font>
      <sz val="13.500000"/>
      <name val="함초롬바탕"/>
    </font>
    <font>
      <sz val="13.000000"/>
      <name val="함초롬바탕"/>
    </font>
    <font>
      <sz val="12.500000"/>
      <name val="함초롬바탕"/>
    </font>
    <font>
      <sz val="11.000000"/>
      <name val="함초롬바탕"/>
    </font>
    <font>
      <sz val="14.000000"/>
      <name val="함초롬바탕"/>
    </font>
    <font>
      <b/>
      <sz val="15.000000"/>
      <name val="함초롬바탕"/>
    </font>
    <font>
      <sz val="15.000000"/>
      <name val="함초롬바탕"/>
    </font>
    <font>
      <b/>
      <sz val="13.000000"/>
      <name val="함초롬바탕"/>
    </font>
    <font>
      <sz val="14.000000"/>
      <color theme="1"/>
      <name val="함초롬바탕"/>
    </font>
    <font>
      <b/>
      <sz val="11.500000"/>
      <name val="함초롬바탕"/>
    </font>
    <font>
      <sz val="11.500000"/>
      <name val="함초롬바탕"/>
    </font>
    <font>
      <b/>
      <sz val="14.000000"/>
      <name val="함초롬바탕"/>
    </font>
    <font>
      <sz val="13.000000"/>
      <color theme="1"/>
      <name val="함초롬바탕"/>
    </font>
    <font>
      <b/>
      <u/>
      <sz val="22.000000"/>
      <name val="HY헤드라인M"/>
    </font>
    <font>
      <sz val="16.000000"/>
      <color theme="1"/>
      <name val="HY헤드라인M"/>
    </font>
    <font>
      <b/>
      <u/>
      <sz val="40.000000"/>
      <name val="함초롬바탕"/>
    </font>
    <font>
      <sz val="12.000000"/>
      <name val="함초롬바탕"/>
    </font>
    <font>
      <b/>
      <u/>
      <sz val="12.000000"/>
      <name val="함초롬바탕"/>
    </font>
    <font>
      <b/>
      <sz val="16.000000"/>
      <name val="함초롬바탕"/>
    </font>
    <font>
      <sz val="18.000000"/>
      <name val="함초롬바탕"/>
    </font>
    <font>
      <b/>
      <sz val="26.000000"/>
      <name val="함초롬바탕"/>
    </font>
    <font>
      <sz val="26.000000"/>
      <name val="함초롬바탕"/>
    </font>
    <font>
      <b/>
      <u/>
      <sz val="18.000000"/>
      <name val="함초롬바탕"/>
    </font>
    <font>
      <b/>
      <sz val="18.000000"/>
      <name val="함초롬바탕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</patternFill>
    </fill>
    <fill>
      <patternFill patternType="solid">
        <fgColor theme="9" tint="0.79998168889431442"/>
      </patternFill>
    </fill>
    <fill>
      <patternFill patternType="solid">
        <fgColor theme="8" tint="0.79998168889431442"/>
      </patternFill>
    </fill>
    <fill>
      <patternFill patternType="solid">
        <fgColor theme="0"/>
      </patternFill>
    </fill>
    <fill>
      <patternFill patternType="solid">
        <fgColor indexed="5"/>
      </patternFill>
    </fill>
    <fill>
      <patternFill patternType="solid">
        <fgColor theme="2" tint="-0.099978637043366805"/>
      </patternFill>
    </fill>
    <fill>
      <patternFill patternType="solid">
        <fgColor indexed="65"/>
      </patternFill>
    </fill>
  </fills>
  <borders count="6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medium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none"/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theme="1"/>
      </left>
      <right style="none"/>
      <top style="thin">
        <color theme="1"/>
      </top>
      <bottom style="thin">
        <color theme="1"/>
      </bottom>
      <diagonal style="none"/>
    </border>
  </borders>
  <cellStyleXfs count="7">
    <xf fontId="0" fillId="0" borderId="0" numFmtId="0" applyNumberFormat="1" applyFont="1" applyFill="1" applyBorder="1">
      <alignment vertical="center"/>
    </xf>
    <xf fontId="0" fillId="0" borderId="0" numFmtId="164" applyNumberFormat="1" applyFont="0" applyFill="0" applyBorder="0" applyProtection="0">
      <alignment vertical="center"/>
    </xf>
    <xf fontId="1" fillId="0" borderId="0" numFmtId="165" applyNumberFormat="1" applyFont="0" applyFill="0" applyBorder="0" applyProtection="0">
      <alignment vertical="center"/>
    </xf>
    <xf fontId="1" fillId="0" borderId="0" numFmtId="0" applyNumberFormat="1" applyFont="1" applyFill="1" applyBorder="1">
      <alignment vertical="center"/>
    </xf>
    <xf fontId="0" fillId="0" borderId="0" numFmtId="0" applyNumberFormat="1" applyFont="1" applyFill="1" applyBorder="1">
      <alignment vertical="center"/>
    </xf>
    <xf fontId="0" fillId="0" borderId="0" numFmtId="0" applyNumberFormat="1" applyFont="1" applyFill="1" applyBorder="1">
      <alignment vertical="center"/>
    </xf>
    <xf fontId="1" fillId="0" borderId="0" numFmtId="0" applyNumberFormat="1" applyFont="1" applyFill="1" applyBorder="1"/>
  </cellStyleXfs>
  <cellXfs count="369">
    <xf fontId="0" fillId="0" borderId="0" numFmtId="0" xfId="0" applyAlignment="1">
      <alignment vertical="center"/>
    </xf>
    <xf fontId="0" fillId="0" borderId="0" numFmtId="0" xfId="0" applyAlignment="1">
      <alignment horizontal="center" vertical="center"/>
    </xf>
    <xf fontId="0" fillId="0" borderId="0" numFmtId="0" xfId="0" applyAlignment="1">
      <alignment horizontal="left" indent="1" vertical="center"/>
    </xf>
    <xf fontId="0" fillId="0" borderId="0" numFmtId="166" xfId="0" applyNumberFormat="1" applyAlignment="1">
      <alignment horizontal="right" vertical="center"/>
    </xf>
    <xf fontId="0" fillId="0" borderId="0" numFmtId="49" xfId="0" applyNumberFormat="1" applyAlignment="1">
      <alignment horizontal="center" vertical="center"/>
    </xf>
    <xf fontId="2" fillId="0" borderId="0" numFmtId="0" xfId="0" applyFont="1" applyAlignment="1">
      <alignment horizontal="centerContinuous" vertical="center"/>
    </xf>
    <xf fontId="0" fillId="0" borderId="0" numFmtId="0" xfId="0" applyAlignment="1">
      <alignment horizontal="centerContinuous" vertical="center"/>
    </xf>
    <xf fontId="0" fillId="0" borderId="0" numFmtId="166" xfId="0" applyNumberFormat="1" applyAlignment="1">
      <alignment horizontal="centerContinuous" vertical="center"/>
    </xf>
    <xf fontId="0" fillId="0" borderId="0" numFmtId="49" xfId="0" applyNumberFormat="1" applyAlignment="1">
      <alignment horizontal="centerContinuous" vertical="center"/>
    </xf>
    <xf fontId="0" fillId="0" borderId="0" numFmtId="0" xfId="0" applyAlignment="1">
      <alignment horizontal="left" vertical="center"/>
    </xf>
    <xf fontId="3" fillId="2" borderId="1" numFmtId="0" xfId="0" applyFont="1" applyFill="1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2" borderId="1" numFmtId="0" xfId="0" applyFill="1" applyBorder="1" applyAlignment="1">
      <alignment horizontal="left" indent="1" vertical="center"/>
    </xf>
    <xf fontId="0" fillId="0" borderId="1" numFmtId="166" xfId="0" applyNumberFormat="1" applyBorder="1" applyAlignment="1">
      <alignment horizontal="right" vertical="center"/>
    </xf>
    <xf fontId="0" fillId="0" borderId="1" numFmtId="49" xfId="0" applyNumberFormat="1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0" borderId="1" numFmtId="49" xfId="0" applyNumberFormat="1" applyBorder="1" applyAlignment="1">
      <alignment horizontal="center" vertical="center"/>
    </xf>
    <xf fontId="4" fillId="0" borderId="0" numFmtId="0" xfId="0" applyFont="1" applyAlignment="1">
      <alignment vertical="center"/>
    </xf>
    <xf fontId="4" fillId="0" borderId="0" numFmtId="0" xfId="0" applyFont="1" applyAlignment="1">
      <alignment horizontal="left" vertical="center"/>
    </xf>
    <xf fontId="4" fillId="0" borderId="0" numFmtId="0" xfId="0" applyFont="1" applyAlignment="1">
      <alignment horizontal="center" vertical="center"/>
    </xf>
    <xf fontId="5" fillId="0" borderId="0" numFmtId="0" xfId="0" applyFont="1" applyAlignment="1">
      <alignment horizontal="centerContinuous" vertical="center"/>
    </xf>
    <xf fontId="4" fillId="0" borderId="2" numFmtId="0" xfId="0" applyFont="1" applyBorder="1" applyAlignment="1">
      <alignment horizontal="left" vertical="center"/>
    </xf>
    <xf fontId="4" fillId="2" borderId="1" numFmtId="0" xfId="0" applyFont="1" applyFill="1" applyBorder="1" applyAlignment="1">
      <alignment horizontal="center" vertical="center"/>
    </xf>
    <xf fontId="4" fillId="2" borderId="3" numFmtId="0" xfId="0" applyFont="1" applyFill="1" applyBorder="1" applyAlignment="1">
      <alignment horizontal="center" vertical="center"/>
    </xf>
    <xf fontId="4" fillId="0" borderId="3" numFmtId="0" xfId="0" applyFont="1" applyBorder="1" applyAlignment="1">
      <alignment horizontal="left" vertical="center"/>
    </xf>
    <xf fontId="4" fillId="0" borderId="4" numFmtId="0" xfId="0" applyFont="1" applyBorder="1" applyAlignment="1">
      <alignment horizontal="left" vertical="center"/>
    </xf>
    <xf fontId="4" fillId="0" borderId="5" numFmtId="0" xfId="0" applyFont="1" applyBorder="1" applyAlignment="1">
      <alignment horizontal="left" vertical="center"/>
    </xf>
    <xf fontId="4" fillId="0" borderId="6" numFmtId="0" xfId="0" applyFont="1" applyBorder="1" applyAlignment="1">
      <alignment horizontal="left" vertical="center"/>
    </xf>
    <xf fontId="4" fillId="2" borderId="7" numFmtId="0" xfId="0" applyFont="1" applyFill="1" applyBorder="1" applyAlignment="1">
      <alignment horizontal="center" vertical="center"/>
    </xf>
    <xf fontId="4" fillId="0" borderId="7" numFmtId="0" xfId="0" applyFont="1" applyBorder="1" applyAlignment="1">
      <alignment horizontal="center" vertical="center"/>
    </xf>
    <xf fontId="4" fillId="0" borderId="7" numFmtId="0" xfId="0" applyFont="1" applyBorder="1" applyAlignment="1">
      <alignment horizontal="left" vertical="center"/>
    </xf>
    <xf fontId="4" fillId="0" borderId="1" numFmtId="14" xfId="0" applyNumberFormat="1" applyFont="1" applyBorder="1" applyAlignment="1">
      <alignment horizontal="center" vertical="center"/>
    </xf>
    <xf fontId="4" fillId="0" borderId="1" numFmtId="0" xfId="0" applyFont="1" applyBorder="1" applyAlignment="1">
      <alignment horizontal="center" vertical="center"/>
    </xf>
    <xf fontId="6" fillId="3" borderId="1" numFmtId="0" xfId="0" applyFont="1" applyFill="1" applyBorder="1" applyAlignment="1">
      <alignment horizontal="center" vertical="center"/>
    </xf>
    <xf fontId="4" fillId="3" borderId="1" numFmtId="0" xfId="0" applyFont="1" applyFill="1" applyBorder="1" applyAlignment="1">
      <alignment horizontal="center" vertical="center"/>
    </xf>
    <xf fontId="4" fillId="4" borderId="1" numFmtId="0" xfId="0" applyFont="1" applyFill="1" applyBorder="1" applyAlignment="1">
      <alignment horizontal="center" vertical="center"/>
    </xf>
    <xf fontId="4" fillId="0" borderId="1" numFmtId="0" xfId="0" applyFont="1" applyBorder="1" applyAlignment="1">
      <alignment horizontal="left" vertical="center"/>
    </xf>
    <xf fontId="7" fillId="3" borderId="3" numFmtId="0" xfId="0" applyFont="1" applyFill="1" applyBorder="1" applyAlignment="1">
      <alignment horizontal="center" vertical="center"/>
    </xf>
    <xf fontId="7" fillId="3" borderId="4" numFmtId="0" xfId="0" applyFont="1" applyFill="1" applyBorder="1" applyAlignment="1">
      <alignment horizontal="center" vertical="center"/>
    </xf>
    <xf fontId="7" fillId="3" borderId="5" numFmtId="0" xfId="0" applyFont="1" applyFill="1" applyBorder="1" applyAlignment="1">
      <alignment horizontal="center" vertical="center"/>
    </xf>
    <xf fontId="7" fillId="2" borderId="5" numFmtId="0" xfId="0" applyFont="1" applyFill="1" applyBorder="1" applyAlignment="1">
      <alignment horizontal="center" vertical="center"/>
    </xf>
    <xf fontId="7" fillId="2" borderId="8" numFmtId="0" xfId="0" applyFont="1" applyFill="1" applyBorder="1" applyAlignment="1">
      <alignment horizontal="center" vertical="center"/>
    </xf>
    <xf fontId="7" fillId="3" borderId="1" numFmtId="0" xfId="0" applyFont="1" applyFill="1" applyBorder="1" applyAlignment="1">
      <alignment horizontal="center" vertical="center"/>
    </xf>
    <xf fontId="7" fillId="2" borderId="1" numFmtId="0" xfId="0" applyFont="1" applyFill="1" applyBorder="1" applyAlignment="1">
      <alignment horizontal="center" vertical="center"/>
    </xf>
    <xf fontId="8" fillId="2" borderId="1" numFmtId="0" xfId="0" applyFont="1" applyFill="1" applyBorder="1" applyAlignment="1">
      <alignment horizontal="center" vertical="center"/>
    </xf>
    <xf fontId="6" fillId="5" borderId="1" numFmtId="166" xfId="0" applyNumberFormat="1" applyFont="1" applyFill="1" applyBorder="1" applyAlignment="1">
      <alignment horizontal="right" vertical="center"/>
    </xf>
    <xf fontId="6" fillId="5" borderId="1" numFmtId="166" xfId="0" applyNumberFormat="1" applyFont="1" applyFill="1" applyBorder="1" applyAlignment="1">
      <alignment horizontal="center" vertical="center"/>
    </xf>
    <xf fontId="4" fillId="0" borderId="3" numFmtId="166" xfId="0" applyNumberFormat="1" applyFont="1" applyBorder="1" applyAlignment="1">
      <alignment horizontal="center" vertical="center"/>
    </xf>
    <xf fontId="7" fillId="0" borderId="9" numFmtId="166" xfId="0" applyNumberFormat="1" applyFont="1" applyBorder="1" applyAlignment="1">
      <alignment horizontal="right" vertical="center"/>
    </xf>
    <xf fontId="4" fillId="5" borderId="1" numFmtId="0" xfId="0" applyFont="1" applyFill="1" applyBorder="1" applyAlignment="1">
      <alignment horizontal="center" vertical="center"/>
    </xf>
    <xf fontId="4" fillId="0" borderId="10" numFmtId="166" xfId="0" applyNumberFormat="1" applyFont="1" applyBorder="1" applyAlignment="1">
      <alignment horizontal="center" vertical="center"/>
    </xf>
    <xf fontId="4" fillId="0" borderId="1" numFmtId="166" xfId="0" applyNumberFormat="1" applyFont="1" applyBorder="1" applyAlignment="1">
      <alignment horizontal="right" vertical="center"/>
    </xf>
    <xf fontId="4" fillId="0" borderId="3" numFmtId="166" xfId="0" applyNumberFormat="1" applyFont="1" applyBorder="1" applyAlignment="1">
      <alignment horizontal="right" vertical="center"/>
    </xf>
    <xf fontId="6" fillId="0" borderId="3" numFmtId="166" xfId="0" applyNumberFormat="1" applyFont="1" applyBorder="1" applyAlignment="1">
      <alignment horizontal="right" vertical="center"/>
    </xf>
    <xf fontId="7" fillId="6" borderId="1" numFmtId="0" xfId="0" applyFont="1" applyFill="1" applyBorder="1" applyAlignment="1">
      <alignment horizontal="centerContinuous" vertical="center"/>
    </xf>
    <xf fontId="7" fillId="6" borderId="1" numFmtId="166" xfId="0" applyNumberFormat="1" applyFont="1" applyFill="1" applyBorder="1" applyAlignment="1">
      <alignment horizontal="right" vertical="center"/>
    </xf>
    <xf fontId="7" fillId="6" borderId="3" numFmtId="166" xfId="0" applyNumberFormat="1" applyFont="1" applyFill="1" applyBorder="1" applyAlignment="1">
      <alignment horizontal="center" vertical="center"/>
    </xf>
    <xf fontId="7" fillId="6" borderId="3" numFmtId="166" xfId="0" applyNumberFormat="1" applyFont="1" applyFill="1" applyBorder="1" applyAlignment="1">
      <alignment horizontal="right" vertical="center"/>
    </xf>
    <xf fontId="7" fillId="6" borderId="11" numFmtId="166" xfId="0" applyNumberFormat="1" applyFont="1" applyFill="1" applyBorder="1" applyAlignment="1">
      <alignment horizontal="right" vertical="center"/>
    </xf>
    <xf fontId="7" fillId="6" borderId="1" numFmtId="0" xfId="0" applyFont="1" applyFill="1" applyBorder="1" applyAlignment="1">
      <alignment horizontal="center" vertical="center"/>
    </xf>
    <xf fontId="9" fillId="0" borderId="0" numFmtId="0" xfId="0" applyFont="1" applyAlignment="1">
      <alignment horizontal="center" vertical="center"/>
    </xf>
    <xf fontId="10" fillId="0" borderId="0" numFmtId="0" xfId="0" applyFont="1" applyAlignment="1">
      <alignment horizontal="center" vertical="center"/>
    </xf>
    <xf fontId="11" fillId="0" borderId="0" numFmtId="0" xfId="0" applyFont="1" applyAlignment="1">
      <alignment horizontal="center" vertical="center"/>
    </xf>
    <xf fontId="4" fillId="0" borderId="12" numFmtId="0" xfId="0" applyFont="1" applyBorder="1" applyAlignment="1">
      <alignment horizontal="left" vertical="center"/>
    </xf>
    <xf fontId="4" fillId="0" borderId="12" numFmtId="0" xfId="0" applyFont="1" applyBorder="1" applyAlignment="1">
      <alignment horizontal="center" vertical="center"/>
    </xf>
    <xf fontId="4" fillId="5" borderId="0" numFmtId="0" xfId="0" applyFont="1" applyFill="1" applyAlignment="1">
      <alignment horizontal="left" vertical="center"/>
    </xf>
    <xf fontId="4" fillId="0" borderId="0" numFmtId="0" xfId="0" applyFont="1" applyAlignment="1">
      <alignment horizontal="left" indent="1" vertical="center"/>
    </xf>
    <xf fontId="4" fillId="5" borderId="0" numFmtId="0" xfId="0" applyFont="1" applyFill="1" applyAlignment="1">
      <alignment vertical="center"/>
    </xf>
    <xf fontId="4" fillId="0" borderId="0" numFmtId="167" xfId="0" applyNumberFormat="1" applyFont="1" applyAlignment="1">
      <alignment horizontal="left" vertical="center"/>
    </xf>
    <xf fontId="12" fillId="0" borderId="0" numFmtId="0" xfId="0" applyFont="1" applyAlignment="1">
      <alignment horizontal="center" vertical="center"/>
    </xf>
    <xf fontId="13" fillId="0" borderId="0" numFmtId="0" xfId="0" applyFont="1" applyAlignment="1">
      <alignment horizontal="center" vertical="center"/>
    </xf>
    <xf fontId="4" fillId="7" borderId="0" numFmtId="0" xfId="0" applyFont="1" applyFill="1" applyAlignment="1">
      <alignment horizontal="center" vertical="center"/>
    </xf>
    <xf fontId="4" fillId="5" borderId="0" numFmtId="0" xfId="0" applyFont="1" applyFill="1" applyAlignment="1">
      <alignment horizontal="center" vertical="center"/>
    </xf>
    <xf fontId="14" fillId="0" borderId="0" numFmtId="0" xfId="0" applyFont="1" applyAlignment="1">
      <alignment horizontal="left" vertical="center"/>
    </xf>
    <xf fontId="14" fillId="0" borderId="0" numFmtId="0" xfId="0" applyFont="1" applyAlignment="1">
      <alignment vertical="center"/>
    </xf>
    <xf fontId="6" fillId="0" borderId="0" numFmtId="0" xfId="3" applyFont="1" applyAlignment="1">
      <alignment vertical="center"/>
    </xf>
    <xf fontId="15" fillId="0" borderId="0" numFmtId="0" xfId="3" applyFont="1" applyAlignment="1">
      <alignment horizontal="center"/>
    </xf>
    <xf fontId="8" fillId="0" borderId="0" numFmtId="0" xfId="3" applyFont="1" applyAlignment="1">
      <alignment horizontal="center" vertical="center" wrapText="1"/>
    </xf>
    <xf fontId="8" fillId="0" borderId="0" numFmtId="0" xfId="3" applyFont="1" applyAlignment="1">
      <alignment horizontal="center" vertical="center"/>
    </xf>
    <xf fontId="6" fillId="0" borderId="0" numFmtId="0" xfId="3" applyFont="1" applyAlignment="1">
      <alignment horizontal="left" vertical="center"/>
    </xf>
    <xf fontId="6" fillId="0" borderId="0" numFmtId="0" xfId="3" applyFont="1" applyAlignment="1">
      <alignment horizontal="center" vertical="center"/>
    </xf>
    <xf fontId="6" fillId="0" borderId="0" numFmtId="0" xfId="3" applyFont="1" applyAlignment="1">
      <alignment horizontal="left" shrinkToFit="1" vertical="center"/>
    </xf>
    <xf fontId="6" fillId="0" borderId="0" numFmtId="167" xfId="3" applyNumberFormat="1" applyFont="1" applyAlignment="1">
      <alignment horizontal="left" vertical="center"/>
    </xf>
    <xf fontId="6" fillId="0" borderId="0" numFmtId="168" xfId="3" applyNumberFormat="1" applyFont="1" applyAlignment="1">
      <alignment horizontal="center" vertical="center"/>
    </xf>
    <xf fontId="6" fillId="0" borderId="0" numFmtId="0" xfId="3" applyFont="1" applyAlignment="1">
      <alignment horizontal="right" vertical="center"/>
    </xf>
    <xf fontId="16" fillId="0" borderId="0" numFmtId="0" xfId="3" applyFont="1" applyAlignment="1">
      <alignment horizontal="left" vertical="center"/>
    </xf>
    <xf fontId="17" fillId="0" borderId="0" numFmtId="0" xfId="0" applyFont="1" applyAlignment="1">
      <alignment vertical="center"/>
    </xf>
    <xf fontId="18" fillId="0" borderId="0" numFmtId="0" xfId="5" applyFont="1" applyAlignment="1">
      <alignment horizontal="center" vertical="center" wrapText="1"/>
    </xf>
    <xf fontId="19" fillId="0" borderId="0" numFmtId="0" xfId="5" applyFont="1" applyAlignment="1">
      <alignment horizontal="center" vertical="center"/>
    </xf>
    <xf fontId="20" fillId="0" borderId="0" numFmtId="0" xfId="5" applyFont="1" applyAlignment="1">
      <alignment vertical="center"/>
    </xf>
    <xf fontId="17" fillId="0" borderId="0" numFmtId="0" xfId="5" applyFont="1" applyAlignment="1">
      <alignment vertical="center"/>
    </xf>
    <xf fontId="21" fillId="0" borderId="13" numFmtId="0" xfId="5" applyFont="1" applyBorder="1" applyAlignment="1">
      <alignment horizontal="center" vertical="center" wrapText="1"/>
    </xf>
    <xf fontId="21" fillId="0" borderId="14" numFmtId="0" xfId="5" applyFont="1" applyBorder="1" applyAlignment="1">
      <alignment horizontal="center" vertical="center" wrapText="1"/>
    </xf>
    <xf fontId="21" fillId="0" borderId="15" numFmtId="0" xfId="5" applyFont="1" applyBorder="1" applyAlignment="1">
      <alignment horizontal="center" vertical="center" wrapText="1"/>
    </xf>
    <xf fontId="21" fillId="0" borderId="16" numFmtId="0" xfId="5" applyFont="1" applyBorder="1" applyAlignment="1">
      <alignment horizontal="center" vertical="center" wrapText="1"/>
    </xf>
    <xf fontId="21" fillId="0" borderId="17" numFmtId="0" xfId="5" applyFont="1" applyBorder="1" applyAlignment="1">
      <alignment horizontal="center" vertical="center" wrapText="1"/>
    </xf>
    <xf fontId="21" fillId="0" borderId="18" numFmtId="0" xfId="5" applyFont="1" applyBorder="1" applyAlignment="1">
      <alignment horizontal="center" vertical="center" wrapText="1"/>
    </xf>
    <xf fontId="21" fillId="0" borderId="19" numFmtId="0" xfId="5" applyFont="1" applyBorder="1" applyAlignment="1">
      <alignment horizontal="center" vertical="center" wrapText="1"/>
    </xf>
    <xf fontId="21" fillId="0" borderId="5" numFmtId="0" xfId="5" applyFont="1" applyBorder="1" applyAlignment="1">
      <alignment horizontal="center" vertical="center" wrapText="1"/>
    </xf>
    <xf fontId="22" fillId="0" borderId="3" numFmtId="0" xfId="5" applyFont="1" applyBorder="1" applyAlignment="1">
      <alignment horizontal="center" shrinkToFit="1" vertical="center"/>
    </xf>
    <xf fontId="22" fillId="0" borderId="5" numFmtId="0" xfId="5" applyFont="1" applyBorder="1" applyAlignment="1">
      <alignment horizontal="center" shrinkToFit="1" vertical="center"/>
    </xf>
    <xf fontId="21" fillId="0" borderId="20" numFmtId="0" xfId="5" applyFont="1" applyBorder="1" applyAlignment="1">
      <alignment horizontal="center" vertical="center" wrapText="1"/>
    </xf>
    <xf fontId="22" fillId="0" borderId="21" numFmtId="0" xfId="5" applyFont="1" applyBorder="1" applyAlignment="1">
      <alignment horizontal="center" shrinkToFit="1" vertical="center"/>
    </xf>
    <xf fontId="22" fillId="0" borderId="15" numFmtId="14" xfId="5" applyNumberFormat="1" applyFont="1" applyBorder="1" applyAlignment="1">
      <alignment horizontal="center" vertical="center" wrapText="1"/>
    </xf>
    <xf fontId="22" fillId="0" borderId="20" numFmtId="14" xfId="5" applyNumberFormat="1" applyFont="1" applyBorder="1" applyAlignment="1">
      <alignment horizontal="center" vertical="center" wrapText="1"/>
    </xf>
    <xf fontId="22" fillId="0" borderId="16" numFmtId="14" xfId="5" applyNumberFormat="1" applyFont="1" applyBorder="1" applyAlignment="1">
      <alignment horizontal="center" vertical="center" wrapText="1"/>
    </xf>
    <xf fontId="22" fillId="0" borderId="3" numFmtId="14" xfId="5" applyNumberFormat="1" applyFont="1" applyBorder="1" applyAlignment="1">
      <alignment horizontal="center" vertical="center" wrapText="1"/>
    </xf>
    <xf fontId="22" fillId="0" borderId="5" numFmtId="0" xfId="5" applyFont="1" applyBorder="1" applyAlignment="1">
      <alignment horizontal="center" vertical="center" wrapText="1"/>
    </xf>
    <xf fontId="21" fillId="0" borderId="3" numFmtId="0" xfId="5" applyFont="1" applyBorder="1" applyAlignment="1">
      <alignment horizontal="center" vertical="center" wrapText="1"/>
    </xf>
    <xf fontId="21" fillId="0" borderId="4" numFmtId="0" xfId="5" applyFont="1" applyBorder="1" applyAlignment="1">
      <alignment horizontal="center" vertical="center" wrapText="1"/>
    </xf>
    <xf fontId="22" fillId="0" borderId="1" numFmtId="14" xfId="5" applyNumberFormat="1" applyFont="1" applyBorder="1" applyAlignment="1">
      <alignment horizontal="center" vertical="center" wrapText="1"/>
    </xf>
    <xf fontId="22" fillId="0" borderId="3" numFmtId="0" xfId="5" applyFont="1" applyBorder="1" applyAlignment="1">
      <alignment horizontal="center" vertical="center" wrapText="1"/>
    </xf>
    <xf fontId="22" fillId="0" borderId="4" numFmtId="0" xfId="5" applyFont="1" applyBorder="1" applyAlignment="1">
      <alignment horizontal="center" vertical="center" wrapText="1"/>
    </xf>
    <xf fontId="22" fillId="0" borderId="22" numFmtId="0" xfId="5" applyFont="1" applyBorder="1" applyAlignment="1">
      <alignment horizontal="center" vertical="center" wrapText="1"/>
    </xf>
    <xf fontId="22" fillId="0" borderId="3" numFmtId="0" xfId="5" applyFont="1" applyBorder="1" applyAlignment="1">
      <alignment horizontal="center" shrinkToFit="1" vertical="center" wrapText="1"/>
    </xf>
    <xf fontId="22" fillId="0" borderId="1" numFmtId="0" xfId="5" applyFont="1" applyBorder="1" applyAlignment="1">
      <alignment horizontal="center" vertical="center" wrapText="1"/>
    </xf>
    <xf fontId="21" fillId="0" borderId="19" numFmtId="0" xfId="5" applyFont="1" applyBorder="1" applyAlignment="1">
      <alignment horizontal="center" shrinkToFit="1" vertical="center"/>
    </xf>
    <xf fontId="21" fillId="0" borderId="5" numFmtId="0" xfId="5" applyFont="1" applyBorder="1" applyAlignment="1">
      <alignment horizontal="center" shrinkToFit="1" vertical="center"/>
    </xf>
    <xf fontId="22" fillId="0" borderId="3" numFmtId="3" xfId="5" applyNumberFormat="1" applyFont="1" applyBorder="1" applyAlignment="1">
      <alignment horizontal="center" vertical="center" wrapText="1"/>
    </xf>
    <xf fontId="21" fillId="0" borderId="23" numFmtId="0" xfId="5" applyFont="1" applyBorder="1" applyAlignment="1">
      <alignment horizontal="center" vertical="center" wrapText="1"/>
    </xf>
    <xf fontId="21" fillId="0" borderId="24" numFmtId="0" xfId="5" applyFont="1" applyBorder="1" applyAlignment="1">
      <alignment horizontal="center" vertical="center" wrapText="1"/>
    </xf>
    <xf fontId="22" fillId="0" borderId="25" numFmtId="3" xfId="5" applyNumberFormat="1" applyFont="1" applyBorder="1" applyAlignment="1">
      <alignment horizontal="center" vertical="center" wrapText="1"/>
    </xf>
    <xf fontId="22" fillId="0" borderId="24" numFmtId="0" xfId="5" applyFont="1" applyBorder="1" applyAlignment="1">
      <alignment horizontal="center" vertical="center" wrapText="1"/>
    </xf>
    <xf fontId="21" fillId="0" borderId="25" numFmtId="0" xfId="5" applyFont="1" applyBorder="1" applyAlignment="1">
      <alignment horizontal="center" vertical="center" wrapText="1"/>
    </xf>
    <xf fontId="21" fillId="0" borderId="12" numFmtId="0" xfId="5" applyFont="1" applyBorder="1" applyAlignment="1">
      <alignment horizontal="center" vertical="center" wrapText="1"/>
    </xf>
    <xf fontId="22" fillId="0" borderId="2" numFmtId="169" xfId="1" applyNumberFormat="1" applyFont="1" applyBorder="1" applyAlignment="1">
      <alignment horizontal="center" vertical="center" wrapText="1"/>
    </xf>
    <xf fontId="22" fillId="0" borderId="12" numFmtId="0" xfId="5" applyFont="1" applyBorder="1" applyAlignment="1">
      <alignment horizontal="center" vertical="center" wrapText="1"/>
    </xf>
    <xf fontId="22" fillId="0" borderId="26" numFmtId="0" xfId="5" applyFont="1" applyBorder="1" applyAlignment="1">
      <alignment horizontal="center" vertical="center" wrapText="1"/>
    </xf>
    <xf fontId="22" fillId="0" borderId="19" numFmtId="0" xfId="5" applyFont="1" applyBorder="1" applyAlignment="1">
      <alignment horizontal="center" vertical="center" wrapText="1"/>
    </xf>
    <xf fontId="22" fillId="0" borderId="25" numFmtId="0" xfId="5" applyFont="1" applyBorder="1" applyAlignment="1">
      <alignment horizontal="center" vertical="center" wrapText="1"/>
    </xf>
    <xf fontId="23" fillId="0" borderId="2" numFmtId="0" xfId="5" applyFont="1" applyBorder="1" applyAlignment="1">
      <alignment horizontal="center" vertical="center" wrapText="1"/>
    </xf>
    <xf fontId="22" fillId="0" borderId="27" numFmtId="0" xfId="5" applyFont="1" applyBorder="1" applyAlignment="1">
      <alignment horizontal="center" vertical="center" wrapText="1"/>
    </xf>
    <xf fontId="22" fillId="0" borderId="23" numFmtId="0" xfId="5" applyFont="1" applyBorder="1" applyAlignment="1">
      <alignment horizontal="center" vertical="center" wrapText="1"/>
    </xf>
    <xf fontId="22" fillId="0" borderId="0" numFmtId="0" xfId="5" applyFont="1" applyAlignment="1">
      <alignment horizontal="center" vertical="center" wrapText="1"/>
    </xf>
    <xf fontId="22" fillId="0" borderId="28" numFmtId="0" xfId="5" applyFont="1" applyBorder="1" applyAlignment="1">
      <alignment horizontal="center" vertical="center" wrapText="1"/>
    </xf>
    <xf fontId="23" fillId="0" borderId="7" numFmtId="0" xfId="5" applyFont="1" applyBorder="1" applyAlignment="1">
      <alignment horizontal="center" vertical="center" wrapText="1"/>
    </xf>
    <xf fontId="22" fillId="0" borderId="29" numFmtId="0" xfId="5" applyFont="1" applyBorder="1" applyAlignment="1">
      <alignment horizontal="center" vertical="center" wrapText="1"/>
    </xf>
    <xf fontId="22" fillId="0" borderId="30" numFmtId="0" xfId="5" applyFont="1" applyBorder="1" applyAlignment="1">
      <alignment horizontal="center" vertical="center" wrapText="1"/>
    </xf>
    <xf fontId="22" fillId="0" borderId="31" numFmtId="0" xfId="5" applyFont="1" applyBorder="1" applyAlignment="1">
      <alignment horizontal="center" vertical="center" wrapText="1"/>
    </xf>
    <xf fontId="22" fillId="0" borderId="32" numFmtId="0" xfId="5" applyFont="1" applyBorder="1" applyAlignment="1">
      <alignment horizontal="center" vertical="center" wrapText="1"/>
    </xf>
    <xf fontId="22" fillId="0" borderId="33" numFmtId="0" xfId="5" applyFont="1" applyBorder="1" applyAlignment="1">
      <alignment horizontal="center" vertical="center" wrapText="1"/>
    </xf>
    <xf fontId="22" fillId="0" borderId="34" numFmtId="0" xfId="5" applyFont="1" applyBorder="1" applyAlignment="1">
      <alignment horizontal="center" vertical="center" wrapText="1"/>
    </xf>
    <xf fontId="21" fillId="0" borderId="33" numFmtId="0" xfId="5" applyFont="1" applyBorder="1" applyAlignment="1">
      <alignment horizontal="left" indent="1" vertical="top" wrapText="1"/>
    </xf>
    <xf fontId="21" fillId="0" borderId="0" numFmtId="0" xfId="5" applyFont="1" applyAlignment="1">
      <alignment horizontal="left" indent="1" vertical="top" wrapText="1"/>
    </xf>
    <xf fontId="21" fillId="0" borderId="28" numFmtId="0" xfId="5" applyFont="1" applyBorder="1" applyAlignment="1">
      <alignment horizontal="left" indent="1" vertical="top" wrapText="1"/>
    </xf>
    <xf fontId="21" fillId="0" borderId="35" numFmtId="0" xfId="5" applyFont="1" applyBorder="1" applyAlignment="1">
      <alignment horizontal="left" indent="1" vertical="top" wrapText="1"/>
    </xf>
    <xf fontId="21" fillId="0" borderId="34" numFmtId="0" xfId="5" applyFont="1" applyBorder="1" applyAlignment="1">
      <alignment horizontal="left" indent="1" vertical="top" wrapText="1"/>
    </xf>
    <xf fontId="24" fillId="0" borderId="35" numFmtId="0" xfId="5" applyFont="1" applyBorder="1" applyAlignment="1">
      <alignment vertical="top" wrapText="1"/>
    </xf>
    <xf fontId="24" fillId="0" borderId="0" numFmtId="0" xfId="5" applyFont="1" applyAlignment="1">
      <alignment vertical="top" wrapText="1"/>
    </xf>
    <xf fontId="24" fillId="0" borderId="34" numFmtId="0" xfId="5" applyFont="1" applyBorder="1" applyAlignment="1">
      <alignment vertical="top" wrapText="1"/>
    </xf>
    <xf fontId="25" fillId="0" borderId="33" numFmtId="0" xfId="5" applyFont="1" applyBorder="1" applyAlignment="1">
      <alignment vertical="top" wrapText="1"/>
    </xf>
    <xf fontId="25" fillId="0" borderId="0" numFmtId="0" xfId="5" applyFont="1" applyAlignment="1">
      <alignment vertical="top" wrapText="1"/>
    </xf>
    <xf fontId="25" fillId="0" borderId="0" numFmtId="170" xfId="5" applyNumberFormat="1" applyFont="1" applyAlignment="1">
      <alignment horizontal="right" indent="2" vertical="top" wrapText="1"/>
    </xf>
    <xf fontId="25" fillId="0" borderId="28" numFmtId="170" xfId="5" applyNumberFormat="1" applyFont="1" applyBorder="1" applyAlignment="1">
      <alignment horizontal="right" indent="2" vertical="top" wrapText="1"/>
    </xf>
    <xf fontId="26" fillId="0" borderId="35" numFmtId="0" xfId="5" applyFont="1" applyBorder="1" applyAlignment="1">
      <alignment horizontal="left" indent="1" vertical="top" wrapText="1"/>
    </xf>
    <xf fontId="26" fillId="0" borderId="0" numFmtId="171" xfId="5" applyNumberFormat="1" applyFont="1" applyAlignment="1">
      <alignment horizontal="center" vertical="top" wrapText="1"/>
    </xf>
    <xf fontId="27" fillId="0" borderId="34" numFmtId="0" xfId="5" applyFont="1" applyBorder="1" applyAlignment="1">
      <alignment vertical="top" wrapText="1"/>
    </xf>
    <xf fontId="25" fillId="0" borderId="33" numFmtId="0" xfId="5" applyFont="1" applyBorder="1" applyAlignment="1">
      <alignment horizontal="left" indent="1" wrapText="1"/>
    </xf>
    <xf fontId="25" fillId="0" borderId="0" numFmtId="0" xfId="5" applyFont="1" applyAlignment="1">
      <alignment horizontal="left" indent="1" wrapText="1"/>
    </xf>
    <xf fontId="25" fillId="0" borderId="28" numFmtId="0" xfId="5" applyFont="1" applyBorder="1" applyAlignment="1">
      <alignment horizontal="left" indent="1" wrapText="1"/>
    </xf>
    <xf fontId="26" fillId="0" borderId="0" numFmtId="0" xfId="5" applyFont="1" applyAlignment="1">
      <alignment vertical="top" wrapText="1"/>
    </xf>
    <xf fontId="26" fillId="0" borderId="0" numFmtId="171" xfId="5" applyNumberFormat="1" applyFont="1" applyAlignment="1">
      <alignment horizontal="right" vertical="top" wrapText="1"/>
    </xf>
    <xf fontId="26" fillId="0" borderId="0" numFmtId="0" xfId="5" applyFont="1" applyAlignment="1">
      <alignment horizontal="right" vertical="top" wrapText="1"/>
    </xf>
    <xf fontId="25" fillId="0" borderId="33" numFmtId="0" xfId="5" applyFont="1" applyBorder="1" applyAlignment="1">
      <alignment horizontal="left" indent="1" vertical="top" wrapText="1"/>
    </xf>
    <xf fontId="25" fillId="0" borderId="0" numFmtId="0" xfId="5" applyFont="1" applyAlignment="1">
      <alignment horizontal="left" indent="1" vertical="top" wrapText="1"/>
    </xf>
    <xf fontId="25" fillId="0" borderId="28" numFmtId="0" xfId="5" applyFont="1" applyBorder="1" applyAlignment="1">
      <alignment horizontal="left" indent="1" vertical="top" wrapText="1"/>
    </xf>
    <xf fontId="28" fillId="0" borderId="35" numFmtId="0" xfId="5" applyFont="1" applyBorder="1" applyAlignment="1">
      <alignment horizontal="left" indent="1" vertical="top" wrapText="1"/>
    </xf>
    <xf fontId="28" fillId="0" borderId="0" numFmtId="0" xfId="5" applyFont="1" applyAlignment="1">
      <alignment horizontal="center" vertical="top" wrapText="1"/>
    </xf>
    <xf fontId="28" fillId="0" borderId="34" numFmtId="0" xfId="5" applyFont="1" applyBorder="1" applyAlignment="1">
      <alignment vertical="top" wrapText="1"/>
    </xf>
    <xf fontId="28" fillId="0" borderId="0" numFmtId="0" xfId="5" applyFont="1" applyAlignment="1">
      <alignment horizontal="left" indent="1" vertical="top" wrapText="1"/>
    </xf>
    <xf fontId="28" fillId="0" borderId="34" numFmtId="0" xfId="5" applyFont="1" applyBorder="1" applyAlignment="1">
      <alignment horizontal="left" indent="1" vertical="top" wrapText="1"/>
    </xf>
    <xf fontId="28" fillId="0" borderId="0" numFmtId="0" xfId="5" applyFont="1" applyAlignment="1">
      <alignment vertical="top" wrapText="1"/>
    </xf>
    <xf fontId="28" fillId="0" borderId="0" numFmtId="0" xfId="5" applyFont="1" applyAlignment="1">
      <alignment horizontal="right" vertical="top" wrapText="1"/>
    </xf>
    <xf fontId="26" fillId="0" borderId="0" numFmtId="0" xfId="5" applyFont="1" applyAlignment="1">
      <alignment horizontal="center" vertical="top" wrapText="1"/>
    </xf>
    <xf fontId="22" fillId="0" borderId="34" numFmtId="0" xfId="5" applyFont="1" applyBorder="1" applyAlignment="1">
      <alignment vertical="top" wrapText="1"/>
    </xf>
    <xf fontId="29" fillId="0" borderId="36" numFmtId="0" xfId="5" applyFont="1" applyBorder="1" applyAlignment="1">
      <alignment vertical="top" wrapText="1"/>
    </xf>
    <xf fontId="29" fillId="0" borderId="30" numFmtId="0" xfId="5" applyFont="1" applyBorder="1" applyAlignment="1">
      <alignment vertical="top" wrapText="1"/>
    </xf>
    <xf fontId="29" fillId="0" borderId="31" numFmtId="0" xfId="5" applyFont="1" applyBorder="1" applyAlignment="1">
      <alignment vertical="top" wrapText="1"/>
    </xf>
    <xf fontId="30" fillId="0" borderId="29" numFmtId="0" xfId="5" applyFont="1" applyBorder="1" applyAlignment="1">
      <alignment horizontal="left" indent="1" vertical="top" wrapText="1"/>
    </xf>
    <xf fontId="30" fillId="0" borderId="30" numFmtId="0" xfId="5" applyFont="1" applyBorder="1" applyAlignment="1">
      <alignment vertical="top" wrapText="1"/>
    </xf>
    <xf fontId="30" fillId="0" borderId="30" numFmtId="0" xfId="5" applyFont="1" applyBorder="1" applyAlignment="1">
      <alignment horizontal="right" vertical="top" wrapText="1"/>
    </xf>
    <xf fontId="31" fillId="0" borderId="37" numFmtId="0" xfId="5" applyFont="1" applyBorder="1" applyAlignment="1">
      <alignment vertical="top" wrapText="1"/>
    </xf>
    <xf fontId="21" fillId="0" borderId="23" numFmtId="0" xfId="5" applyFont="1" applyBorder="1" applyAlignment="1">
      <alignment horizontal="left" indent="1" wrapText="1"/>
    </xf>
    <xf fontId="21" fillId="0" borderId="12" numFmtId="0" xfId="5" applyFont="1" applyBorder="1" applyAlignment="1">
      <alignment horizontal="left" indent="1" wrapText="1"/>
    </xf>
    <xf fontId="21" fillId="0" borderId="24" numFmtId="0" xfId="5" applyFont="1" applyBorder="1" applyAlignment="1">
      <alignment horizontal="left" indent="1" wrapText="1"/>
    </xf>
    <xf fontId="21" fillId="0" borderId="25" numFmtId="0" xfId="5" applyFont="1" applyBorder="1" applyAlignment="1">
      <alignment horizontal="left" indent="1" wrapText="1"/>
    </xf>
    <xf fontId="21" fillId="0" borderId="26" numFmtId="0" xfId="5" applyFont="1" applyBorder="1" applyAlignment="1">
      <alignment horizontal="left" indent="1" wrapText="1"/>
    </xf>
    <xf fontId="32" fillId="0" borderId="35" numFmtId="0" xfId="5" applyFont="1" applyBorder="1" applyAlignment="1">
      <alignment horizontal="left" indent="1" vertical="top" wrapText="1"/>
    </xf>
    <xf fontId="32" fillId="0" borderId="0" numFmtId="0" xfId="5" applyFont="1" applyAlignment="1">
      <alignment horizontal="left" indent="1" vertical="top" wrapText="1"/>
    </xf>
    <xf fontId="32" fillId="0" borderId="34" numFmtId="0" xfId="5" applyFont="1" applyBorder="1" applyAlignment="1">
      <alignment horizontal="left" indent="1" vertical="top" wrapText="1"/>
    </xf>
    <xf fontId="25" fillId="0" borderId="28" numFmtId="0" xfId="5" applyFont="1" applyBorder="1" applyAlignment="1">
      <alignment vertical="top" wrapText="1"/>
    </xf>
    <xf fontId="22" fillId="0" borderId="35" numFmtId="0" xfId="5" applyFont="1" applyBorder="1" applyAlignment="1">
      <alignment vertical="top" wrapText="1"/>
    </xf>
    <xf fontId="22" fillId="0" borderId="0" numFmtId="0" xfId="5" applyFont="1" applyAlignment="1">
      <alignment vertical="top" wrapText="1"/>
    </xf>
    <xf fontId="25" fillId="0" borderId="0" numFmtId="0" xfId="5" applyFont="1" applyAlignment="1">
      <alignment horizontal="right" vertical="top" wrapText="1"/>
    </xf>
    <xf fontId="26" fillId="0" borderId="34" numFmtId="0" xfId="5" applyFont="1" applyBorder="1" applyAlignment="1">
      <alignment horizontal="center" vertical="top" wrapText="1"/>
    </xf>
    <xf fontId="26" fillId="0" borderId="35" numFmtId="0" xfId="5" applyFont="1" applyBorder="1" applyAlignment="1">
      <alignment horizontal="left" indent="1" vertical="center" wrapText="1"/>
    </xf>
    <xf fontId="26" fillId="0" borderId="0" numFmtId="0" xfId="5" applyFont="1" applyAlignment="1">
      <alignment horizontal="center" vertical="center" wrapText="1"/>
    </xf>
    <xf fontId="26" fillId="0" borderId="34" numFmtId="0" xfId="5" applyFont="1" applyBorder="1" applyAlignment="1">
      <alignment horizontal="center" vertical="center" wrapText="1"/>
    </xf>
    <xf fontId="25" fillId="0" borderId="0" numFmtId="0" xfId="5" applyFont="1" applyAlignment="1">
      <alignment horizontal="center" vertical="top" wrapText="1"/>
    </xf>
    <xf fontId="29" fillId="0" borderId="33" numFmtId="0" xfId="5" applyFont="1" applyBorder="1" applyAlignment="1">
      <alignment vertical="top" wrapText="1"/>
    </xf>
    <xf fontId="29" fillId="0" borderId="0" numFmtId="0" xfId="5" applyFont="1" applyAlignment="1">
      <alignment vertical="top" wrapText="1"/>
    </xf>
    <xf fontId="29" fillId="0" borderId="28" numFmtId="0" xfId="5" applyFont="1" applyBorder="1" applyAlignment="1">
      <alignment vertical="top" wrapText="1"/>
    </xf>
    <xf fontId="33" fillId="0" borderId="36" numFmtId="0" xfId="5" applyFont="1" applyBorder="1" applyAlignment="1">
      <alignment vertical="top" wrapText="1"/>
    </xf>
    <xf fontId="33" fillId="0" borderId="30" numFmtId="0" xfId="5" applyFont="1" applyBorder="1" applyAlignment="1">
      <alignment vertical="top" wrapText="1"/>
    </xf>
    <xf fontId="33" fillId="0" borderId="31" numFmtId="0" xfId="5" applyFont="1" applyBorder="1" applyAlignment="1">
      <alignment vertical="top" wrapText="1"/>
    </xf>
    <xf fontId="22" fillId="0" borderId="29" numFmtId="0" xfId="5" applyFont="1" applyBorder="1" applyAlignment="1">
      <alignment vertical="top" wrapText="1"/>
    </xf>
    <xf fontId="22" fillId="0" borderId="30" numFmtId="0" xfId="5" applyFont="1" applyBorder="1" applyAlignment="1">
      <alignment vertical="top" wrapText="1"/>
    </xf>
    <xf fontId="22" fillId="0" borderId="37" numFmtId="0" xfId="5" applyFont="1" applyBorder="1" applyAlignment="1">
      <alignment vertical="top" wrapText="1"/>
    </xf>
    <xf fontId="25" fillId="0" borderId="38" numFmtId="0" xfId="5" applyFont="1" applyBorder="1" applyAlignment="1">
      <alignment horizontal="center" vertical="center" wrapText="1"/>
    </xf>
    <xf fontId="25" fillId="0" borderId="25" numFmtId="0" xfId="5" applyFont="1" applyBorder="1" applyAlignment="1">
      <alignment horizontal="center" vertical="center" wrapText="1"/>
    </xf>
    <xf fontId="25" fillId="0" borderId="24" numFmtId="0" xfId="5" applyFont="1" applyBorder="1" applyAlignment="1">
      <alignment horizontal="center" vertical="center" wrapText="1"/>
    </xf>
    <xf fontId="25" fillId="0" borderId="2" numFmtId="0" xfId="5" applyFont="1" applyBorder="1" applyAlignment="1">
      <alignment horizontal="center" vertical="center" wrapText="1"/>
    </xf>
    <xf fontId="25" fillId="0" borderId="12" numFmtId="0" xfId="5" applyFont="1" applyBorder="1" applyAlignment="1">
      <alignment horizontal="center" vertical="center" wrapText="1"/>
    </xf>
    <xf fontId="25" fillId="0" borderId="26" numFmtId="0" xfId="5" applyFont="1" applyBorder="1" applyAlignment="1">
      <alignment horizontal="center" vertical="center" wrapText="1"/>
    </xf>
    <xf fontId="25" fillId="0" borderId="39" numFmtId="0" xfId="5" applyFont="1" applyBorder="1" applyAlignment="1">
      <alignment horizontal="center" vertical="center" wrapText="1"/>
    </xf>
    <xf fontId="25" fillId="0" borderId="29" numFmtId="0" xfId="5" applyFont="1" applyBorder="1" applyAlignment="1">
      <alignment horizontal="center" vertical="center" wrapText="1"/>
    </xf>
    <xf fontId="25" fillId="0" borderId="31" numFmtId="0" xfId="5" applyFont="1" applyBorder="1" applyAlignment="1">
      <alignment horizontal="center" vertical="center" wrapText="1"/>
    </xf>
    <xf fontId="25" fillId="0" borderId="7" numFmtId="0" xfId="5" applyFont="1" applyBorder="1" applyAlignment="1">
      <alignment horizontal="center" vertical="center" wrapText="1"/>
    </xf>
    <xf fontId="25" fillId="0" borderId="30" numFmtId="0" xfId="5" applyFont="1" applyBorder="1" applyAlignment="1">
      <alignment horizontal="center" vertical="center" wrapText="1"/>
    </xf>
    <xf fontId="25" fillId="0" borderId="37" numFmtId="0" xfId="5" applyFont="1" applyBorder="1" applyAlignment="1">
      <alignment horizontal="center" vertical="center" wrapText="1"/>
    </xf>
    <xf fontId="25" fillId="0" borderId="25" numFmtId="3" xfId="5" applyNumberFormat="1" applyFont="1" applyBorder="1" applyAlignment="1">
      <alignment horizontal="center" vertical="center" wrapText="1"/>
    </xf>
    <xf fontId="25" fillId="0" borderId="2" numFmtId="0" xfId="1" applyFont="1" applyBorder="1" applyAlignment="1">
      <alignment horizontal="center" vertical="center" wrapText="1"/>
    </xf>
    <xf fontId="25" fillId="0" borderId="2" numFmtId="164" xfId="1" applyNumberFormat="1" applyFont="1" applyBorder="1" applyAlignment="1">
      <alignment horizontal="center" vertical="center" wrapText="1"/>
    </xf>
    <xf fontId="25" fillId="0" borderId="25" numFmtId="164" xfId="1" applyNumberFormat="1" applyFont="1" applyBorder="1" applyAlignment="1">
      <alignment horizontal="center" vertical="center" wrapText="1"/>
    </xf>
    <xf fontId="25" fillId="0" borderId="12" numFmtId="164" xfId="1" applyNumberFormat="1" applyFont="1" applyBorder="1" applyAlignment="1">
      <alignment horizontal="center" vertical="center" wrapText="1"/>
    </xf>
    <xf fontId="25" fillId="0" borderId="24" numFmtId="164" xfId="1" applyNumberFormat="1" applyFont="1" applyBorder="1" applyAlignment="1">
      <alignment horizontal="center" vertical="center" wrapText="1"/>
    </xf>
    <xf fontId="25" fillId="0" borderId="24" numFmtId="3" xfId="5" applyNumberFormat="1" applyFont="1" applyBorder="1" applyAlignment="1">
      <alignment horizontal="center" vertical="center" wrapText="1"/>
    </xf>
    <xf fontId="22" fillId="0" borderId="38" numFmtId="0" xfId="5" applyFont="1" applyBorder="1" applyAlignment="1">
      <alignment vertical="center" wrapText="1"/>
    </xf>
    <xf fontId="22" fillId="0" borderId="25" numFmtId="0" xfId="5" applyFont="1" applyBorder="1" applyAlignment="1">
      <alignment vertical="center" wrapText="1"/>
    </xf>
    <xf fontId="22" fillId="0" borderId="24" numFmtId="0" xfId="5" applyFont="1" applyBorder="1" applyAlignment="1">
      <alignment vertical="center" wrapText="1"/>
    </xf>
    <xf fontId="22" fillId="0" borderId="2" numFmtId="0" xfId="5" applyFont="1" applyBorder="1" applyAlignment="1">
      <alignment vertical="center" wrapText="1"/>
    </xf>
    <xf fontId="25" fillId="0" borderId="1" numFmtId="0" xfId="5" applyFont="1" applyBorder="1" applyAlignment="1">
      <alignment horizontal="center" vertical="center" wrapText="1"/>
    </xf>
    <xf fontId="25" fillId="0" borderId="3" numFmtId="164" xfId="1" applyNumberFormat="1" applyFont="1" applyBorder="1" applyAlignment="1">
      <alignment vertical="center" wrapText="1"/>
    </xf>
    <xf fontId="25" fillId="0" borderId="4" numFmtId="164" xfId="1" applyNumberFormat="1" applyFont="1" applyBorder="1" applyAlignment="1">
      <alignment vertical="center" wrapText="1"/>
    </xf>
    <xf fontId="25" fillId="0" borderId="22" numFmtId="164" xfId="1" applyNumberFormat="1" applyFont="1" applyBorder="1" applyAlignment="1">
      <alignment vertical="center" wrapText="1"/>
    </xf>
    <xf fontId="22" fillId="0" borderId="40" numFmtId="0" xfId="5" applyFont="1" applyBorder="1" applyAlignment="1">
      <alignment vertical="center" wrapText="1"/>
    </xf>
    <xf fontId="22" fillId="0" borderId="35" numFmtId="0" xfId="5" applyFont="1" applyBorder="1" applyAlignment="1">
      <alignment vertical="center" wrapText="1"/>
    </xf>
    <xf fontId="22" fillId="0" borderId="28" numFmtId="0" xfId="5" applyFont="1" applyBorder="1" applyAlignment="1">
      <alignment vertical="center" wrapText="1"/>
    </xf>
    <xf fontId="22" fillId="0" borderId="6" numFmtId="0" xfId="5" applyFont="1" applyBorder="1" applyAlignment="1">
      <alignment vertical="center" wrapText="1"/>
    </xf>
    <xf fontId="22" fillId="0" borderId="39" numFmtId="0" xfId="5" applyFont="1" applyBorder="1" applyAlignment="1">
      <alignment vertical="center" wrapText="1"/>
    </xf>
    <xf fontId="22" fillId="0" borderId="29" numFmtId="0" xfId="5" applyFont="1" applyBorder="1" applyAlignment="1">
      <alignment vertical="center" wrapText="1"/>
    </xf>
    <xf fontId="22" fillId="0" borderId="31" numFmtId="0" xfId="5" applyFont="1" applyBorder="1" applyAlignment="1">
      <alignment vertical="center" wrapText="1"/>
    </xf>
    <xf fontId="22" fillId="0" borderId="7" numFmtId="0" xfId="5" applyFont="1" applyBorder="1" applyAlignment="1">
      <alignment vertical="center" wrapText="1"/>
    </xf>
    <xf fontId="25" fillId="0" borderId="3" numFmtId="164" xfId="5" applyNumberFormat="1" applyFont="1" applyBorder="1" applyAlignment="1">
      <alignment vertical="center" wrapText="1"/>
    </xf>
    <xf fontId="25" fillId="0" borderId="4" numFmtId="0" xfId="5" applyFont="1" applyBorder="1" applyAlignment="1">
      <alignment vertical="center" wrapText="1"/>
    </xf>
    <xf fontId="25" fillId="0" borderId="22" numFmtId="0" xfId="5" applyFont="1" applyBorder="1" applyAlignment="1">
      <alignment vertical="center" wrapText="1"/>
    </xf>
    <xf fontId="28" fillId="0" borderId="41" numFmtId="0" xfId="5" applyFont="1" applyBorder="1" applyAlignment="1">
      <alignment horizontal="center" vertical="center" wrapText="1"/>
    </xf>
    <xf fontId="28" fillId="0" borderId="42" numFmtId="0" xfId="5" applyFont="1" applyBorder="1" applyAlignment="1">
      <alignment horizontal="center" vertical="center" wrapText="1"/>
    </xf>
    <xf fontId="28" fillId="0" borderId="43" numFmtId="0" xfId="5" applyFont="1" applyBorder="1" applyAlignment="1">
      <alignment horizontal="center" vertical="center" wrapText="1"/>
    </xf>
    <xf fontId="28" fillId="0" borderId="44" numFmtId="0" xfId="5" applyFont="1" applyBorder="1" applyAlignment="1">
      <alignment horizontal="right" indent="1" vertical="center" wrapText="1"/>
    </xf>
    <xf fontId="28" fillId="0" borderId="42" numFmtId="0" xfId="5" applyFont="1" applyBorder="1" applyAlignment="1">
      <alignment horizontal="right" indent="1" vertical="center" wrapText="1"/>
    </xf>
    <xf fontId="28" fillId="0" borderId="43" numFmtId="0" xfId="5" applyFont="1" applyBorder="1" applyAlignment="1">
      <alignment horizontal="right" indent="1" vertical="center" wrapText="1"/>
    </xf>
    <xf fontId="28" fillId="0" borderId="44" numFmtId="0" xfId="5" applyFont="1" applyBorder="1" applyAlignment="1">
      <alignment horizontal="center" vertical="center" wrapText="1"/>
    </xf>
    <xf fontId="28" fillId="0" borderId="45" numFmtId="0" xfId="5" applyFont="1" applyBorder="1" applyAlignment="1">
      <alignment horizontal="right" indent="1" vertical="center" wrapText="1"/>
    </xf>
    <xf fontId="29" fillId="0" borderId="46" numFmtId="0" xfId="0" applyFont="1" applyBorder="1" applyAlignment="1">
      <alignment horizontal="left" shrinkToFit="1" vertical="center"/>
    </xf>
    <xf fontId="0" fillId="0" borderId="0" numFmtId="0" xfId="4" applyAlignment="1">
      <alignment vertical="center"/>
    </xf>
    <xf fontId="34" fillId="0" borderId="47" numFmtId="0" xfId="4" applyFont="1" applyBorder="1" applyAlignment="1">
      <alignment horizontal="center" vertical="center" wrapText="1"/>
    </xf>
    <xf fontId="34" fillId="0" borderId="46" numFmtId="0" xfId="4" applyFont="1" applyBorder="1" applyAlignment="1">
      <alignment horizontal="center" vertical="center" wrapText="1"/>
    </xf>
    <xf fontId="34" fillId="0" borderId="48" numFmtId="0" xfId="4" applyFont="1" applyBorder="1" applyAlignment="1">
      <alignment horizontal="center" vertical="center" wrapText="1"/>
    </xf>
    <xf fontId="8" fillId="0" borderId="36" numFmtId="0" xfId="4" applyFont="1" applyBorder="1" applyAlignment="1">
      <alignment horizontal="left" vertical="center" wrapText="1"/>
    </xf>
    <xf fontId="8" fillId="0" borderId="30" numFmtId="0" xfId="4" applyFont="1" applyBorder="1" applyAlignment="1">
      <alignment horizontal="left" shrinkToFit="1" vertical="center"/>
    </xf>
    <xf fontId="8" fillId="0" borderId="37" numFmtId="0" xfId="4" applyFont="1" applyBorder="1" applyAlignment="1">
      <alignment horizontal="left" shrinkToFit="1" vertical="center"/>
    </xf>
    <xf fontId="7" fillId="0" borderId="49" numFmtId="0" xfId="4" applyFont="1" applyBorder="1" applyAlignment="1">
      <alignment horizontal="center" vertical="center"/>
    </xf>
    <xf fontId="7" fillId="0" borderId="1" numFmtId="0" xfId="4" applyFont="1" applyBorder="1" applyAlignment="1">
      <alignment horizontal="center" vertical="center"/>
    </xf>
    <xf fontId="7" fillId="0" borderId="3" numFmtId="0" xfId="4" applyFont="1" applyBorder="1" applyAlignment="1">
      <alignment horizontal="center" vertical="center" wrapText="1"/>
    </xf>
    <xf fontId="7" fillId="0" borderId="4" numFmtId="0" xfId="4" applyFont="1" applyBorder="1" applyAlignment="1">
      <alignment horizontal="center" vertical="center" wrapText="1"/>
    </xf>
    <xf fontId="7" fillId="0" borderId="22" numFmtId="0" xfId="4" applyFont="1" applyBorder="1" applyAlignment="1">
      <alignment horizontal="center" vertical="center" wrapText="1"/>
    </xf>
    <xf fontId="7" fillId="0" borderId="49" numFmtId="0" xfId="4" applyFont="1" applyBorder="1" applyAlignment="1">
      <alignment horizontal="center" vertical="center" wrapText="1"/>
    </xf>
    <xf fontId="7" fillId="0" borderId="1" numFmtId="0" xfId="4" applyFont="1" applyBorder="1" applyAlignment="1">
      <alignment horizontal="center" vertical="center" wrapText="1"/>
    </xf>
    <xf fontId="7" fillId="0" borderId="10" numFmtId="0" xfId="4" applyFont="1" applyBorder="1" applyAlignment="1">
      <alignment horizontal="center" vertical="center"/>
    </xf>
    <xf fontId="4" fillId="0" borderId="49" numFmtId="0" xfId="4" applyFont="1" applyBorder="1" applyAlignment="1">
      <alignment horizontal="center" vertical="center"/>
    </xf>
    <xf fontId="4" fillId="0" borderId="1" numFmtId="0" xfId="4" applyFont="1" applyBorder="1" applyAlignment="1">
      <alignment horizontal="center" vertical="center" wrapText="1"/>
    </xf>
    <xf fontId="4" fillId="0" borderId="2" numFmtId="3" xfId="4" applyNumberFormat="1" applyFont="1" applyBorder="1" applyAlignment="1">
      <alignment horizontal="center" vertical="center"/>
    </xf>
    <xf fontId="4" fillId="0" borderId="2" numFmtId="164" xfId="4" applyNumberFormat="1" applyFont="1" applyBorder="1" applyAlignment="1">
      <alignment horizontal="center" vertical="center"/>
    </xf>
    <xf fontId="4" fillId="0" borderId="1" numFmtId="0" xfId="4" applyFont="1" applyBorder="1" applyAlignment="1">
      <alignment horizontal="center" vertical="center"/>
    </xf>
    <xf fontId="4" fillId="0" borderId="1" numFmtId="172" xfId="1" applyNumberFormat="1" applyFont="1" applyBorder="1" applyAlignment="1">
      <alignment horizontal="center" vertical="center"/>
    </xf>
    <xf fontId="4" fillId="0" borderId="2" numFmtId="0" xfId="4" applyFont="1" applyBorder="1" applyAlignment="1">
      <alignment horizontal="center" vertical="center"/>
    </xf>
    <xf fontId="4" fillId="0" borderId="10" numFmtId="0" xfId="4" applyFont="1" applyBorder="1" applyAlignment="1">
      <alignment horizontal="center" vertical="center"/>
    </xf>
    <xf fontId="4" fillId="0" borderId="7" numFmtId="3" xfId="4" applyNumberFormat="1" applyFont="1" applyBorder="1" applyAlignment="1">
      <alignment horizontal="center" vertical="center"/>
    </xf>
    <xf fontId="4" fillId="0" borderId="7" numFmtId="164" xfId="4" applyNumberFormat="1" applyFont="1" applyBorder="1" applyAlignment="1">
      <alignment horizontal="center" vertical="center"/>
    </xf>
    <xf fontId="4" fillId="0" borderId="7" numFmtId="0" xfId="4" applyFont="1" applyBorder="1" applyAlignment="1">
      <alignment horizontal="center" vertical="center"/>
    </xf>
    <xf fontId="4" fillId="0" borderId="38" numFmtId="0" xfId="4" applyFont="1" applyBorder="1" applyAlignment="1">
      <alignment horizontal="center" vertical="center"/>
    </xf>
    <xf fontId="4" fillId="0" borderId="2" numFmtId="172" xfId="1" applyNumberFormat="1" applyFont="1" applyBorder="1" applyAlignment="1">
      <alignment horizontal="center" vertical="center"/>
    </xf>
    <xf fontId="4" fillId="0" borderId="27" numFmtId="0" xfId="4" applyFont="1" applyBorder="1" applyAlignment="1">
      <alignment horizontal="center" vertical="center"/>
    </xf>
    <xf fontId="0" fillId="5" borderId="0" numFmtId="0" xfId="4" applyFill="1" applyAlignment="1">
      <alignment vertical="center"/>
    </xf>
    <xf fontId="17" fillId="0" borderId="0" numFmtId="0" xfId="4" applyFont="1" applyAlignment="1">
      <alignment vertical="center"/>
    </xf>
    <xf fontId="34" fillId="0" borderId="0" numFmtId="0" xfId="4" applyFont="1" applyAlignment="1">
      <alignment horizontal="center" vertical="center" wrapText="1"/>
    </xf>
    <xf fontId="17" fillId="0" borderId="0" numFmtId="0" xfId="4" applyFont="1" applyAlignment="1">
      <alignment vertical="center" wrapText="1"/>
    </xf>
    <xf fontId="4" fillId="0" borderId="0" numFmtId="0" xfId="4" applyFont="1" applyAlignment="1">
      <alignment vertical="center"/>
    </xf>
    <xf fontId="4" fillId="0" borderId="0" numFmtId="0" xfId="4" applyFont="1" applyAlignment="1">
      <alignment horizontal="left" vertical="center"/>
    </xf>
    <xf fontId="4" fillId="0" borderId="0" numFmtId="173" xfId="4" applyNumberFormat="1" applyFont="1" applyAlignment="1">
      <alignment horizontal="left" shrinkToFit="1" vertical="center"/>
    </xf>
    <xf fontId="4" fillId="0" borderId="0" numFmtId="173" xfId="4" applyNumberFormat="1" applyFont="1" applyAlignment="1">
      <alignment vertical="center"/>
    </xf>
    <xf fontId="4" fillId="0" borderId="0" numFmtId="167" xfId="4" applyNumberFormat="1" applyFont="1" applyAlignment="1">
      <alignment horizontal="left" vertical="center"/>
    </xf>
    <xf fontId="4" fillId="0" borderId="0" numFmtId="167" xfId="4" applyNumberFormat="1" applyFont="1" applyAlignment="1">
      <alignment vertical="center"/>
    </xf>
    <xf fontId="7" fillId="0" borderId="0" numFmtId="0" xfId="4" applyFont="1" applyAlignment="1">
      <alignment horizontal="center" vertical="center"/>
    </xf>
    <xf fontId="4" fillId="0" borderId="0" numFmtId="0" xfId="4" applyFont="1" applyAlignment="1">
      <alignment horizontal="center" vertical="center"/>
    </xf>
    <xf fontId="4" fillId="0" borderId="50" numFmtId="0" xfId="4" applyFont="1" applyBorder="1" applyAlignment="1">
      <alignment horizontal="center" vertical="center"/>
    </xf>
    <xf fontId="4" fillId="0" borderId="51" numFmtId="0" xfId="4" applyFont="1" applyBorder="1" applyAlignment="1">
      <alignment horizontal="center" vertical="center"/>
    </xf>
    <xf fontId="4" fillId="0" borderId="52" numFmtId="0" xfId="4" applyFont="1" applyBorder="1" applyAlignment="1">
      <alignment horizontal="center" vertical="center"/>
    </xf>
    <xf fontId="4" fillId="0" borderId="53" numFmtId="0" xfId="4" applyFont="1" applyBorder="1" applyAlignment="1">
      <alignment horizontal="center" vertical="center"/>
    </xf>
    <xf fontId="4" fillId="0" borderId="54" numFmtId="0" xfId="4" applyFont="1" applyBorder="1" applyAlignment="1">
      <alignment horizontal="center" vertical="center"/>
    </xf>
    <xf fontId="4" fillId="0" borderId="54" numFmtId="166" xfId="4" applyNumberFormat="1" applyFont="1" applyBorder="1" applyAlignment="1">
      <alignment horizontal="center" vertical="center"/>
    </xf>
    <xf fontId="4" fillId="0" borderId="55" numFmtId="0" xfId="4" applyFont="1" applyBorder="1" applyAlignment="1">
      <alignment horizontal="center" vertical="center" wrapText="1"/>
    </xf>
    <xf fontId="4" fillId="0" borderId="56" numFmtId="0" xfId="4" applyFont="1" applyBorder="1" applyAlignment="1">
      <alignment horizontal="center" vertical="center"/>
    </xf>
    <xf fontId="4" fillId="0" borderId="57" numFmtId="0" xfId="4" applyFont="1" applyBorder="1" applyAlignment="1">
      <alignment horizontal="center" vertical="center"/>
    </xf>
    <xf fontId="4" fillId="0" borderId="58" numFmtId="0" xfId="4" applyFont="1" applyBorder="1" applyAlignment="1">
      <alignment horizontal="center" vertical="center"/>
    </xf>
    <xf fontId="4" fillId="0" borderId="59" numFmtId="0" xfId="4" applyFont="1" applyBorder="1" applyAlignment="1">
      <alignment horizontal="center" vertical="center"/>
    </xf>
    <xf fontId="4" fillId="0" borderId="60" numFmtId="0" xfId="4" applyFont="1" applyBorder="1" applyAlignment="1">
      <alignment horizontal="center" vertical="center"/>
    </xf>
    <xf fontId="4" fillId="0" borderId="57" numFmtId="166" xfId="4" applyNumberFormat="1" applyFont="1" applyBorder="1" applyAlignment="1">
      <alignment horizontal="center" vertical="center"/>
    </xf>
    <xf fontId="4" fillId="0" borderId="61" numFmtId="0" xfId="4" applyFont="1" applyBorder="1" applyAlignment="1">
      <alignment horizontal="center" vertical="center" wrapText="1"/>
    </xf>
    <xf fontId="4" fillId="0" borderId="62" numFmtId="0" xfId="4" applyFont="1" applyBorder="1" applyAlignment="1">
      <alignment horizontal="center" vertical="center"/>
    </xf>
    <xf fontId="4" fillId="0" borderId="0" numFmtId="174" xfId="4" applyNumberFormat="1" applyFont="1" applyAlignment="1">
      <alignment horizontal="center" vertical="center"/>
    </xf>
    <xf fontId="13" fillId="0" borderId="0" numFmtId="168" xfId="4" applyNumberFormat="1" applyFont="1" applyAlignment="1">
      <alignment horizontal="center" vertical="center"/>
    </xf>
    <xf fontId="4" fillId="0" borderId="0" numFmtId="168" xfId="4" applyNumberFormat="1" applyFont="1" applyAlignment="1">
      <alignment vertical="center"/>
    </xf>
    <xf fontId="4" fillId="0" borderId="0" numFmtId="0" xfId="4" applyFont="1" applyAlignment="1">
      <alignment horizontal="center" vertical="top" wrapText="1"/>
    </xf>
    <xf fontId="4" fillId="0" borderId="0" numFmtId="0" xfId="4" applyFont="1" applyAlignment="1">
      <alignment vertical="top" wrapText="1"/>
    </xf>
    <xf fontId="4" fillId="0" borderId="0" numFmtId="0" xfId="4" applyFont="1" applyAlignment="1">
      <alignment horizontal="right" vertical="center"/>
    </xf>
    <xf fontId="4" fillId="0" borderId="0" numFmtId="0" xfId="4" applyFont="1" applyAlignment="1">
      <alignment vertical="center" wrapText="1"/>
    </xf>
    <xf fontId="35" fillId="0" borderId="0" numFmtId="0" xfId="4" applyFont="1" applyAlignment="1">
      <alignment horizontal="left" vertical="center"/>
    </xf>
    <xf fontId="24" fillId="0" borderId="0" numFmtId="0" xfId="6" applyFont="1"/>
    <xf fontId="24" fillId="0" borderId="0" numFmtId="0" xfId="6" applyFont="1" applyAlignment="1">
      <alignment horizontal="center" vertical="center"/>
    </xf>
    <xf fontId="36" fillId="0" borderId="0" numFmtId="0" xfId="6" applyFont="1" applyAlignment="1">
      <alignment horizontal="center" shrinkToFit="1" vertical="center"/>
    </xf>
    <xf fontId="24" fillId="8" borderId="0" numFmtId="0" xfId="6" applyFont="1" applyFill="1" applyAlignment="1">
      <alignment horizontal="center" vertical="center"/>
    </xf>
    <xf fontId="37" fillId="0" borderId="0" numFmtId="0" xfId="6" applyFont="1" applyAlignment="1">
      <alignment horizontal="center" vertical="center"/>
    </xf>
    <xf fontId="37" fillId="8" borderId="0" numFmtId="0" xfId="6" applyFont="1" applyFill="1" applyAlignment="1">
      <alignment horizontal="center" vertical="center"/>
    </xf>
    <xf fontId="38" fillId="0" borderId="0" numFmtId="0" xfId="6" applyFont="1" applyAlignment="1">
      <alignment horizontal="center" shrinkToFit="1" vertical="center"/>
    </xf>
    <xf fontId="37" fillId="0" borderId="0" numFmtId="0" xfId="6" applyFont="1" applyAlignment="1">
      <alignment horizontal="center" shrinkToFit="1" vertical="center"/>
    </xf>
    <xf fontId="37" fillId="0" borderId="0" numFmtId="173" xfId="6" applyNumberFormat="1" applyFont="1" applyAlignment="1">
      <alignment horizontal="center" shrinkToFit="1" vertical="center"/>
    </xf>
    <xf fontId="39" fillId="0" borderId="0" numFmtId="0" xfId="6" applyFont="1" applyAlignment="1">
      <alignment horizontal="center" shrinkToFit="1" vertical="center"/>
    </xf>
    <xf fontId="40" fillId="0" borderId="0" numFmtId="175" xfId="6" applyNumberFormat="1" applyFont="1" applyAlignment="1">
      <alignment horizontal="center" vertical="top" wrapText="1"/>
    </xf>
    <xf fontId="40" fillId="0" borderId="0" numFmtId="0" xfId="6" applyFont="1" applyAlignment="1">
      <alignment horizontal="center" vertical="top" wrapText="1"/>
    </xf>
    <xf fontId="41" fillId="0" borderId="0" numFmtId="0" xfId="6" applyFont="1" applyAlignment="1">
      <alignment vertical="center"/>
    </xf>
    <xf fontId="42" fillId="0" borderId="0" numFmtId="0" xfId="6" applyFont="1" applyAlignment="1">
      <alignment horizontal="center"/>
    </xf>
    <xf fontId="43" fillId="0" borderId="0" numFmtId="0" xfId="6" applyFont="1" applyAlignment="1">
      <alignment horizontal="center" shrinkToFit="1" vertical="center"/>
    </xf>
    <xf fontId="37" fillId="0" borderId="13" numFmtId="0" xfId="6" applyFont="1" applyBorder="1" applyAlignment="1">
      <alignment horizontal="center" shrinkToFit="1" vertical="center"/>
    </xf>
    <xf fontId="37" fillId="0" borderId="14" numFmtId="0" xfId="6" applyFont="1" applyBorder="1" applyAlignment="1">
      <alignment horizontal="center" shrinkToFit="1" vertical="center"/>
    </xf>
    <xf fontId="37" fillId="0" borderId="15" numFmtId="0" xfId="6" applyFont="1" applyBorder="1" applyAlignment="1">
      <alignment horizontal="center" shrinkToFit="1" vertical="center"/>
    </xf>
    <xf fontId="37" fillId="0" borderId="20" numFmtId="0" xfId="6" applyFont="1" applyBorder="1" applyAlignment="1">
      <alignment horizontal="center" shrinkToFit="1" vertical="center"/>
    </xf>
    <xf fontId="37" fillId="0" borderId="16" numFmtId="0" xfId="6" applyFont="1" applyBorder="1" applyAlignment="1">
      <alignment horizontal="center" shrinkToFit="1" vertical="center"/>
    </xf>
    <xf fontId="37" fillId="0" borderId="19" numFmtId="0" xfId="6" applyFont="1" applyBorder="1" applyAlignment="1">
      <alignment horizontal="center" shrinkToFit="1" vertical="center"/>
    </xf>
    <xf fontId="37" fillId="0" borderId="5" numFmtId="0" xfId="6" applyFont="1" applyBorder="1" applyAlignment="1">
      <alignment horizontal="center" shrinkToFit="1" vertical="center"/>
    </xf>
    <xf fontId="37" fillId="0" borderId="3" numFmtId="173" xfId="6" applyNumberFormat="1" applyFont="1" applyBorder="1" applyAlignment="1">
      <alignment horizontal="center" shrinkToFit="1" vertical="center"/>
    </xf>
    <xf fontId="37" fillId="0" borderId="4" numFmtId="173" xfId="6" applyNumberFormat="1" applyFont="1" applyBorder="1" applyAlignment="1">
      <alignment horizontal="center" shrinkToFit="1" vertical="center"/>
    </xf>
    <xf fontId="37" fillId="0" borderId="22" numFmtId="173" xfId="6" applyNumberFormat="1" applyFont="1" applyBorder="1" applyAlignment="1">
      <alignment horizontal="center" shrinkToFit="1" vertical="center"/>
    </xf>
    <xf fontId="37" fillId="0" borderId="41" numFmtId="0" xfId="6" applyFont="1" applyBorder="1" applyAlignment="1">
      <alignment horizontal="center" shrinkToFit="1" vertical="center"/>
    </xf>
    <xf fontId="37" fillId="0" borderId="43" numFmtId="0" xfId="6" applyFont="1" applyBorder="1" applyAlignment="1">
      <alignment horizontal="center" shrinkToFit="1" vertical="center"/>
    </xf>
    <xf fontId="37" fillId="0" borderId="44" numFmtId="0" xfId="6" applyFont="1" applyBorder="1" applyAlignment="1">
      <alignment horizontal="center" shrinkToFit="1" vertical="center"/>
    </xf>
    <xf fontId="37" fillId="0" borderId="42" numFmtId="0" xfId="6" applyFont="1" applyBorder="1" applyAlignment="1">
      <alignment horizontal="center" shrinkToFit="1" vertical="center"/>
    </xf>
    <xf fontId="37" fillId="0" borderId="45" numFmtId="0" xfId="6" applyFont="1" applyBorder="1" applyAlignment="1">
      <alignment horizontal="center" shrinkToFit="1" vertical="center"/>
    </xf>
    <xf fontId="44" fillId="0" borderId="0" numFmtId="0" xfId="6" applyFont="1" applyAlignment="1">
      <alignment horizontal="center" vertical="center"/>
    </xf>
    <xf fontId="44" fillId="0" borderId="47" numFmtId="0" xfId="6" applyFont="1" applyBorder="1" applyAlignment="1">
      <alignment horizontal="center" vertical="center"/>
    </xf>
    <xf fontId="44" fillId="0" borderId="46" numFmtId="0" xfId="6" applyFont="1" applyBorder="1" applyAlignment="1">
      <alignment horizontal="center" vertical="center"/>
    </xf>
    <xf fontId="44" fillId="0" borderId="48" numFmtId="0" xfId="6" applyFont="1" applyBorder="1" applyAlignment="1">
      <alignment horizontal="center" vertical="center"/>
    </xf>
    <xf fontId="24" fillId="0" borderId="23" numFmtId="0" xfId="6" applyFont="1" applyBorder="1" applyAlignment="1">
      <alignment horizontal="center" vertical="center"/>
    </xf>
    <xf fontId="24" fillId="0" borderId="12" numFmtId="0" xfId="6" applyFont="1" applyBorder="1" applyAlignment="1">
      <alignment horizontal="center" vertical="center"/>
    </xf>
    <xf fontId="24" fillId="0" borderId="26" numFmtId="0" xfId="6" applyFont="1" applyBorder="1" applyAlignment="1">
      <alignment horizontal="center" vertical="center"/>
    </xf>
    <xf fontId="24" fillId="0" borderId="33" numFmtId="0" xfId="6" applyFont="1" applyBorder="1" applyAlignment="1">
      <alignment horizontal="center" vertical="center"/>
    </xf>
    <xf fontId="24" fillId="0" borderId="34" numFmtId="0" xfId="6" applyFont="1" applyBorder="1" applyAlignment="1">
      <alignment horizontal="center" vertical="center"/>
    </xf>
    <xf fontId="24" fillId="0" borderId="36" numFmtId="0" xfId="6" applyFont="1" applyBorder="1" applyAlignment="1">
      <alignment horizontal="center" vertical="center"/>
    </xf>
    <xf fontId="24" fillId="0" borderId="30" numFmtId="0" xfId="6" applyFont="1" applyBorder="1" applyAlignment="1">
      <alignment horizontal="center" vertical="center"/>
    </xf>
    <xf fontId="24" fillId="0" borderId="37" numFmtId="0" xfId="6" applyFont="1" applyBorder="1" applyAlignment="1">
      <alignment horizontal="center" vertical="center"/>
    </xf>
    <xf fontId="25" fillId="0" borderId="19" numFmtId="0" xfId="6" applyFont="1" applyBorder="1" applyAlignment="1">
      <alignment horizontal="center" vertical="center"/>
    </xf>
    <xf fontId="25" fillId="0" borderId="4" numFmtId="0" xfId="6" applyFont="1" applyBorder="1" applyAlignment="1">
      <alignment horizontal="center" vertical="center"/>
    </xf>
    <xf fontId="25" fillId="0" borderId="22" numFmtId="0" xfId="6" applyFont="1" applyBorder="1" applyAlignment="1">
      <alignment horizontal="center" vertical="center"/>
    </xf>
    <xf fontId="44" fillId="0" borderId="33" numFmtId="0" xfId="6" applyFont="1" applyBorder="1" applyAlignment="1">
      <alignment horizontal="center" vertical="center"/>
    </xf>
    <xf fontId="44" fillId="0" borderId="34" numFmtId="0" xfId="6" applyFont="1" applyBorder="1" applyAlignment="1">
      <alignment horizontal="center" vertical="center"/>
    </xf>
    <xf fontId="25" fillId="0" borderId="41" numFmtId="0" xfId="6" applyFont="1" applyBorder="1" applyAlignment="1">
      <alignment horizontal="center" vertical="center"/>
    </xf>
    <xf fontId="25" fillId="0" borderId="42" numFmtId="0" xfId="6" applyFont="1" applyBorder="1" applyAlignment="1">
      <alignment horizontal="center" vertical="center"/>
    </xf>
    <xf fontId="25" fillId="0" borderId="45" numFmtId="0" xfId="6" applyFont="1" applyBorder="1" applyAlignment="1">
      <alignment horizontal="center" vertical="center"/>
    </xf>
  </cellXfs>
  <cellStyles count="7">
    <cellStyle name="쉼표 [0]" xfId="1" builtinId="6"/>
    <cellStyle name="통화 [0] 2" xfId="2"/>
    <cellStyle name="표준" xfId="0" builtinId="0"/>
    <cellStyle name="표준 2" xfId="3"/>
    <cellStyle name="표준 3" xfId="4"/>
    <cellStyle name="표준 4" xfId="5"/>
    <cellStyle name="표준 5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10" Type="http://schemas.openxmlformats.org/officeDocument/2006/relationships/worksheet" Target="worksheets/sheet5.xml"/><Relationship  Id="rId11" Type="http://schemas.openxmlformats.org/officeDocument/2006/relationships/worksheet" Target="worksheets/sheet6.xml"/><Relationship  Id="rId12" Type="http://schemas.openxmlformats.org/officeDocument/2006/relationships/worksheet" Target="worksheets/sheet7.xml"/><Relationship  Id="rId13" Type="http://schemas.openxmlformats.org/officeDocument/2006/relationships/worksheet" Target="worksheets/sheet8.xml"/><Relationship  Id="rId14" Type="http://schemas.openxmlformats.org/officeDocument/2006/relationships/theme" Target="theme/theme1.xml"/><Relationship  Id="rId15" Type="http://schemas.openxmlformats.org/officeDocument/2006/relationships/sharedStrings" Target="sharedStrings.xml"/><Relationship  Id="rId16" Type="http://schemas.openxmlformats.org/officeDocument/2006/relationships/styles" Target="styles.xml"/><Relationship  Id="rId2" Type="http://schemas.openxmlformats.org/officeDocument/2006/relationships/sheetMetadata" Target="metadata.xml"/><Relationship  Id="rId3" Type="http://schemas.microsoft.com/office/2017/06/relationships/rdRichValue" Target="richData/rdrichvalue.xml"/><Relationship  Id="rId4" Type="http://schemas.microsoft.com/office/2017/06/relationships/rdRichValueStructure" Target="richData/rdrichvaluestructure.xml"/><Relationship  Id="rId5" Type="http://schemas.microsoft.com/office/2017/06/relationships/rdRichValueTypes" Target="richData/rdRichValueTypes.xml"/><Relationship  Id="rId6" Type="http://schemas.openxmlformats.org/officeDocument/2006/relationships/worksheet" Target="worksheets/sheet1.xml"/><Relationship  Id="rId7" Type="http://schemas.openxmlformats.org/officeDocument/2006/relationships/worksheet" Target="worksheets/sheet2.xml"/><Relationship  Id="rId8" Type="http://schemas.openxmlformats.org/officeDocument/2006/relationships/worksheet" Target="worksheets/sheet3.xml"/><Relationship  Id="rId9" Type="http://schemas.openxmlformats.org/officeDocument/2006/relationships/worksheet" Target="worksheets/sheet4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19049</xdr:colOff>
      <xdr:row>1</xdr:row>
      <xdr:rowOff>133350</xdr:rowOff>
    </xdr:from>
    <xdr:to>
      <xdr:col>2</xdr:col>
      <xdr:colOff>66675</xdr:colOff>
      <xdr:row>1</xdr:row>
      <xdr:rowOff>541528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9049" y="704850"/>
          <a:ext cx="1171576" cy="408178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19049</xdr:colOff>
      <xdr:row>1</xdr:row>
      <xdr:rowOff>285749</xdr:rowOff>
    </xdr:from>
    <xdr:to>
      <xdr:col>0</xdr:col>
      <xdr:colOff>1190623</xdr:colOff>
      <xdr:row>1</xdr:row>
      <xdr:rowOff>693926</xdr:rowOff>
    </xdr:to>
    <xdr:pic>
      <xdr:nvPicPr>
        <xdr:cNvPr id="3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9050" y="695325"/>
          <a:ext cx="1171576" cy="408178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3</xdr:col>
      <xdr:colOff>1507750</xdr:colOff>
      <xdr:row>7</xdr:row>
      <xdr:rowOff>2400860</xdr:rowOff>
    </xdr:from>
    <xdr:to>
      <xdr:col>4</xdr:col>
      <xdr:colOff>120462</xdr:colOff>
      <xdr:row>7</xdr:row>
      <xdr:rowOff>2809038</xdr:rowOff>
    </xdr:to>
    <xdr:pic>
      <xdr:nvPicPr>
        <xdr:cNvPr id="9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3127000" y="8992160"/>
          <a:ext cx="1174937" cy="408178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/Users/&#52572;&#54620;&#51652;/Desktop/&#50629;&#47924;/&#45225;&#54408;&#44228;/&#44396;&#54805;/&#45225;&#54408;&#44228;_&#46321;&#44592;&#443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환경설정"/>
      <sheetName val="공문양식"/>
      <sheetName val="분할납품요구서"/>
      <sheetName val="납품완료계"/>
      <sheetName val="물납영수증"/>
      <sheetName val="물품검수조서"/>
      <sheetName val="검수내역서"/>
      <sheetName val="물납확인서"/>
      <sheetName val="사진대지"/>
      <sheetName val="사진대지 (2)"/>
      <sheetName val="DATA"/>
    </sheetNames>
    <sheetDataSet>
      <sheetData sheetId="0">
        <row r="8">
          <cell r="F8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모델명</v>
          </cell>
          <cell r="B1" t="str">
            <v>규격</v>
          </cell>
          <cell r="C1" t="str">
            <v>단가</v>
          </cell>
          <cell r="D1" t="str">
            <v>분류번호</v>
          </cell>
        </row>
        <row r="2">
          <cell r="A2" t="str">
            <v>MT-SLC-075</v>
          </cell>
          <cell r="B2" t="str">
            <v xml:space="preserve">도로조명설비, 
LED가로등기구, 
MT-SLC-075, 75W</v>
          </cell>
          <cell r="C2">
            <v>340000</v>
          </cell>
          <cell r="D2" t="str">
            <v>39111603</v>
          </cell>
        </row>
        <row r="3">
          <cell r="A3" t="str">
            <v>MT-SLC-100</v>
          </cell>
          <cell r="B3" t="str">
            <v xml:space="preserve">도로조명설비, 
LED가로등기구, 
MT-SLC-100, 100W</v>
          </cell>
          <cell r="C3">
            <v>414000</v>
          </cell>
          <cell r="D3" t="str">
            <v>39111603</v>
          </cell>
        </row>
        <row r="4">
          <cell r="A4" t="str">
            <v>MT-SLC-125</v>
          </cell>
          <cell r="B4" t="str">
            <v xml:space="preserve">도로조명설비, 
LED가로등기구, 
MT-SLC-125, 125W</v>
          </cell>
          <cell r="C4">
            <v>440000</v>
          </cell>
          <cell r="D4" t="str">
            <v>39111603</v>
          </cell>
        </row>
        <row r="5">
          <cell r="A5" t="str">
            <v>MT-SLC-150</v>
          </cell>
          <cell r="B5" t="str">
            <v xml:space="preserve">도로조명설비, 
LED가로등기구, 
MT-SLC-150, 150W</v>
          </cell>
          <cell r="C5">
            <v>475000</v>
          </cell>
          <cell r="D5" t="str">
            <v>39111603</v>
          </cell>
        </row>
        <row r="6">
          <cell r="A6" t="str">
            <v>MT-SLC-030</v>
          </cell>
          <cell r="B6" t="str">
            <v xml:space="preserve">거주로조명설비, 
LED보안등기구, 
MT-SLC-030, 30W</v>
          </cell>
          <cell r="C6">
            <v>220000</v>
          </cell>
          <cell r="D6" t="str">
            <v>39111608</v>
          </cell>
        </row>
        <row r="7">
          <cell r="A7" t="str">
            <v>MT-SLC-040</v>
          </cell>
          <cell r="B7" t="str">
            <v xml:space="preserve">거주로조명설비, 
LED보안등기구, 
MT-SLC-040, 40W</v>
          </cell>
          <cell r="C7">
            <v>265000</v>
          </cell>
          <cell r="D7" t="str">
            <v>39111608</v>
          </cell>
        </row>
        <row r="8">
          <cell r="A8" t="str">
            <v>MT-SLC-050</v>
          </cell>
          <cell r="B8" t="str">
            <v xml:space="preserve">거주로조명설비, 
LED보안등기구, 
MT-SLC-050, 50W</v>
          </cell>
          <cell r="C8">
            <v>270000</v>
          </cell>
          <cell r="D8" t="str">
            <v>39111608</v>
          </cell>
        </row>
        <row r="9">
          <cell r="A9" t="str">
            <v>MT-SLC-060</v>
          </cell>
          <cell r="B9" t="str">
            <v xml:space="preserve">거주로조명설비, 
LED보안등기구, 
MT-SLC-060, 60W</v>
          </cell>
          <cell r="C9">
            <v>280000</v>
          </cell>
          <cell r="D9" t="str">
            <v>39111608</v>
          </cell>
        </row>
        <row r="10">
          <cell r="A10" t="str">
            <v>MT-TL-050</v>
          </cell>
          <cell r="B10" t="str">
            <v xml:space="preserve">도로조명설비, 
LED터널용등기구, 
MT-TL-050, 50W</v>
          </cell>
          <cell r="C10">
            <v>336000</v>
          </cell>
          <cell r="D10" t="str">
            <v>39111603</v>
          </cell>
        </row>
        <row r="11">
          <cell r="A11" t="str">
            <v>MT-TL-075</v>
          </cell>
          <cell r="B11" t="str">
            <v xml:space="preserve">도로조명설비, 
LED터널용등기구, 
MT-TL-075, 75W</v>
          </cell>
          <cell r="C11">
            <v>374000</v>
          </cell>
          <cell r="D11" t="str">
            <v>39111603</v>
          </cell>
        </row>
        <row r="12">
          <cell r="A12" t="str">
            <v>MT-TL-100</v>
          </cell>
          <cell r="B12" t="str">
            <v xml:space="preserve">도로조명설비, 
LED터널용등기구, 
MT-TL-100, 100W</v>
          </cell>
          <cell r="C12">
            <v>446000</v>
          </cell>
          <cell r="D12" t="str">
            <v>39111603</v>
          </cell>
        </row>
        <row r="13">
          <cell r="A13" t="str">
            <v>MT-TL-150</v>
          </cell>
          <cell r="B13" t="str">
            <v xml:space="preserve">도로조명설비, 
LED터널용등기구, 
MT-TL-150, 150W</v>
          </cell>
          <cell r="C13">
            <v>503000</v>
          </cell>
          <cell r="D13" t="str">
            <v>39111603</v>
          </cell>
        </row>
        <row r="14">
          <cell r="A14" t="str">
            <v>MT-TLC-150</v>
          </cell>
          <cell r="B14" t="str">
            <v xml:space="preserve">도로조명설비, 
LED터널용등기구, 
MT-TLC-150, 150W</v>
          </cell>
          <cell r="C14">
            <v>586000</v>
          </cell>
          <cell r="D14" t="str">
            <v>39111603</v>
          </cell>
        </row>
        <row r="15">
          <cell r="A15" t="str">
            <v>MT-VB</v>
          </cell>
          <cell r="B15" t="str">
            <v xml:space="preserve">투광조명, 
LED투광등기구, 
(부품)매그나텍, MT-VB, 눈부심방지장치</v>
          </cell>
          <cell r="C15">
            <v>250000</v>
          </cell>
          <cell r="D15" t="str">
            <v>39111611</v>
          </cell>
        </row>
        <row r="16">
          <cell r="A16" t="str">
            <v>MT-VM</v>
          </cell>
          <cell r="B16" t="str">
            <v xml:space="preserve">투광조명, 
LED투광등기구, 
(부품)매그나텍, MT-VM, 눈부심방지장치</v>
          </cell>
          <cell r="C16">
            <v>200000</v>
          </cell>
          <cell r="D16" t="str">
            <v>39111611</v>
          </cell>
        </row>
        <row r="17">
          <cell r="A17" t="str">
            <v>ARENA-200S</v>
          </cell>
          <cell r="B17" t="str">
            <v xml:space="preserve">투광조명, 
LED투광등기구, 
ARENA-200S, 200W</v>
          </cell>
          <cell r="C17">
            <v>1550000</v>
          </cell>
          <cell r="D17" t="str">
            <v>39111611</v>
          </cell>
        </row>
        <row r="18">
          <cell r="A18" t="str">
            <v>ARENA-300S</v>
          </cell>
          <cell r="B18" t="str">
            <v xml:space="preserve">투광조명, 
LED투광등기구, 
ARENA-300S, 300W</v>
          </cell>
          <cell r="C18">
            <v>1950000</v>
          </cell>
          <cell r="D18" t="str">
            <v>39111611</v>
          </cell>
        </row>
        <row r="19">
          <cell r="A19" t="str">
            <v>ARENA-400(3000K)</v>
          </cell>
          <cell r="B19" t="str">
            <v xml:space="preserve">투광조명, 
LED투광등기구, 
ARENA-400(3000K), 400W</v>
          </cell>
          <cell r="C19">
            <v>2370000</v>
          </cell>
          <cell r="D19" t="str">
            <v>39111611</v>
          </cell>
        </row>
        <row r="20">
          <cell r="A20" t="str">
            <v>ARENA-400</v>
          </cell>
          <cell r="B20" t="str">
            <v xml:space="preserve">투광조명, 
LED투광등기구, 
ARENA-400, 400W</v>
          </cell>
          <cell r="C20">
            <v>2380000</v>
          </cell>
          <cell r="D20" t="str">
            <v>39111611</v>
          </cell>
        </row>
        <row r="21">
          <cell r="A21" t="str">
            <v>ARENA-400S</v>
          </cell>
          <cell r="B21" t="str">
            <v xml:space="preserve">투광조명, 
LED투광등기구, 
ARENA-400S, 400W</v>
          </cell>
          <cell r="C21">
            <v>2350000</v>
          </cell>
          <cell r="D21" t="str">
            <v>39111611</v>
          </cell>
        </row>
        <row r="22">
          <cell r="A22" t="str">
            <v>ARENA-500(3000K)</v>
          </cell>
          <cell r="B22" t="str">
            <v xml:space="preserve">투광조명, 
LED투광등기구, 
ARENA-500(3000K), 500W</v>
          </cell>
          <cell r="C22">
            <v>2540000</v>
          </cell>
          <cell r="D22" t="str">
            <v>39111611</v>
          </cell>
        </row>
        <row r="23">
          <cell r="A23" t="str">
            <v>ARENA-500</v>
          </cell>
          <cell r="B23" t="str">
            <v xml:space="preserve">투광조명, 
LED투광등기구, 
ARENA-500, 500W</v>
          </cell>
          <cell r="C23">
            <v>2540000</v>
          </cell>
          <cell r="D23" t="str">
            <v>39111611</v>
          </cell>
        </row>
        <row r="24">
          <cell r="A24" t="str">
            <v>ARENA-600(3000K)</v>
          </cell>
          <cell r="B24" t="str">
            <v xml:space="preserve">투광조명, 
LED투광등기구, 
ARENA-600(3000K), 600W</v>
          </cell>
          <cell r="C24">
            <v>2950000</v>
          </cell>
          <cell r="D24" t="str">
            <v>39111611</v>
          </cell>
        </row>
        <row r="25">
          <cell r="A25" t="str">
            <v>ARENA-600</v>
          </cell>
          <cell r="B25" t="str">
            <v xml:space="preserve">투광조명, 
LED투광등기구, 
ARENA-600, 600W</v>
          </cell>
          <cell r="C25">
            <v>2950000</v>
          </cell>
          <cell r="D25" t="str">
            <v>39111611</v>
          </cell>
        </row>
        <row r="26">
          <cell r="A26" t="str">
            <v>ARENA-800(3000K)</v>
          </cell>
          <cell r="B26" t="str">
            <v xml:space="preserve">투광조명, 
LED투광등기구, 
ARENA-800(3000K), 800W</v>
          </cell>
          <cell r="C26">
            <v>3160000</v>
          </cell>
          <cell r="D26" t="str">
            <v>39111611</v>
          </cell>
        </row>
        <row r="27">
          <cell r="A27" t="str">
            <v>ARENA-800</v>
          </cell>
          <cell r="B27" t="str">
            <v xml:space="preserve">투광조명, 
LED투광등기구, 
ARENA-800, 800W</v>
          </cell>
          <cell r="C27">
            <v>3160000</v>
          </cell>
          <cell r="D27" t="str">
            <v>39111611</v>
          </cell>
        </row>
        <row r="28">
          <cell r="A28" t="str">
            <v>BATOO-1000</v>
          </cell>
          <cell r="B28" t="str">
            <v xml:space="preserve">투광조명, 
LED투광등기구, 
BATOO-1000, 1000W</v>
          </cell>
          <cell r="C28">
            <v>3800000</v>
          </cell>
          <cell r="D28" t="str">
            <v>39111611</v>
          </cell>
        </row>
        <row r="29">
          <cell r="A29" t="str">
            <v>BATOO-1200</v>
          </cell>
          <cell r="B29" t="str">
            <v xml:space="preserve">투광조명, 
LED투광등기구, 
BATOO-1200, 1200W</v>
          </cell>
          <cell r="C29">
            <v>4410000</v>
          </cell>
          <cell r="D29" t="str">
            <v>39111611</v>
          </cell>
        </row>
        <row r="30">
          <cell r="A30" t="str">
            <v>BATOO-200</v>
          </cell>
          <cell r="B30" t="str">
            <v xml:space="preserve">투광조명, 
LED투광등기구, 
BATOO-200, 200W</v>
          </cell>
          <cell r="C30">
            <v>1330000</v>
          </cell>
          <cell r="D30" t="str">
            <v>39111611</v>
          </cell>
        </row>
        <row r="31">
          <cell r="A31" t="str">
            <v>BATOO-300</v>
          </cell>
          <cell r="B31" t="str">
            <v xml:space="preserve">투광조명, 
LED투광등기구, 
BATOO-300, 300W</v>
          </cell>
          <cell r="C31">
            <v>1720000</v>
          </cell>
          <cell r="D31" t="str">
            <v>39111611</v>
          </cell>
        </row>
        <row r="32">
          <cell r="A32" t="str">
            <v>BATOO-400</v>
          </cell>
          <cell r="B32" t="str">
            <v xml:space="preserve">투광조명, 
LED투광등기구, 
BATOO-400, 400W</v>
          </cell>
          <cell r="C32">
            <v>2320000</v>
          </cell>
          <cell r="D32" t="str">
            <v>39111611</v>
          </cell>
        </row>
        <row r="33">
          <cell r="A33" t="str">
            <v>BATOO-600</v>
          </cell>
          <cell r="B33" t="str">
            <v xml:space="preserve">투광조명, 
LED투광등기구, 
BATOO-600, 600W</v>
          </cell>
          <cell r="C33">
            <v>2660000</v>
          </cell>
          <cell r="D33" t="str">
            <v>39111611</v>
          </cell>
        </row>
        <row r="34">
          <cell r="A34" t="str">
            <v>BATOO-800</v>
          </cell>
          <cell r="B34" t="str">
            <v xml:space="preserve">투광조명, 
LED투광등기구, 
BATOO-800, 800W</v>
          </cell>
          <cell r="C34">
            <v>3040000</v>
          </cell>
          <cell r="D34" t="str">
            <v>39111611</v>
          </cell>
        </row>
        <row r="35">
          <cell r="A35" t="str">
            <v>MT-FL-1200A</v>
          </cell>
          <cell r="B35" t="str">
            <v xml:space="preserve">투광조명, 
LED투광등기구, 
MT-FL-1200A, 1200W</v>
          </cell>
          <cell r="C35">
            <v>4150000</v>
          </cell>
          <cell r="D35" t="str">
            <v>39111611</v>
          </cell>
        </row>
        <row r="36">
          <cell r="A36" t="str">
            <v>MT-FL-300A</v>
          </cell>
          <cell r="B36" t="str">
            <v xml:space="preserve">투광조명, 
LED투광등기구, 
MT-FL-300A, 300W</v>
          </cell>
          <cell r="C36">
            <v>1800000</v>
          </cell>
          <cell r="D36" t="str">
            <v>39111611</v>
          </cell>
        </row>
        <row r="37">
          <cell r="A37" t="str">
            <v>MT-FL-400S</v>
          </cell>
          <cell r="B37" t="str">
            <v xml:space="preserve">투광조명, 
LED투광등기구, 
MT-FL-400S, 400W</v>
          </cell>
          <cell r="C37">
            <v>1800000</v>
          </cell>
          <cell r="D37" t="str">
            <v>39111611</v>
          </cell>
        </row>
        <row r="38">
          <cell r="A38" t="str">
            <v>MT-FL-600A</v>
          </cell>
          <cell r="B38" t="str">
            <v xml:space="preserve">투광조명, 
LED투광등기구, 
MT-FL-600A, 600W</v>
          </cell>
          <cell r="C38">
            <v>2800000</v>
          </cell>
          <cell r="D38" t="str">
            <v>39111611</v>
          </cell>
        </row>
        <row r="39">
          <cell r="A39" t="str">
            <v>MT-FL-800A</v>
          </cell>
          <cell r="B39" t="str">
            <v xml:space="preserve">투광조명, 
LED투광등기구, 
MT-FL-800A, 800W</v>
          </cell>
          <cell r="C39">
            <v>3000000</v>
          </cell>
          <cell r="D39" t="str">
            <v>39111611</v>
          </cell>
        </row>
        <row r="40">
          <cell r="A40" t="str">
            <v>STA(M)-1000</v>
          </cell>
          <cell r="B40" t="str">
            <v xml:space="preserve">투광조명, 
LED투광등기구, 
STA(M)-1000, 1000W</v>
          </cell>
          <cell r="C40">
            <v>4500000</v>
          </cell>
          <cell r="D40" t="str">
            <v>39111611</v>
          </cell>
        </row>
        <row r="41">
          <cell r="A41" t="str">
            <v>STA(M)-1200</v>
          </cell>
          <cell r="B41" t="str">
            <v xml:space="preserve">투광조명, 
LED투광등기구, 
STA(M)-1200, 1200W</v>
          </cell>
          <cell r="C41">
            <v>4900000</v>
          </cell>
          <cell r="D41" t="str">
            <v>39111611</v>
          </cell>
        </row>
        <row r="42">
          <cell r="A42" t="str">
            <v>STA(M)-1500</v>
          </cell>
          <cell r="B42" t="str">
            <v xml:space="preserve">투광조명, 
LED투광등기구, 
STA(M)-1500, 1500W</v>
          </cell>
          <cell r="C42">
            <v>5200000</v>
          </cell>
          <cell r="D42" t="str">
            <v>39111611</v>
          </cell>
        </row>
        <row r="43">
          <cell r="A43" t="str">
            <v>STA-1000</v>
          </cell>
          <cell r="B43" t="str">
            <v xml:space="preserve">투광조명, 
LED투광등기구, 
STA-1000, 1000W</v>
          </cell>
          <cell r="C43">
            <v>4200000</v>
          </cell>
          <cell r="D43" t="str">
            <v>39111611</v>
          </cell>
        </row>
        <row r="44">
          <cell r="A44" t="str">
            <v>STA-1200</v>
          </cell>
          <cell r="B44" t="str">
            <v xml:space="preserve">투광조명, 
LED투광등기구, 
STA-1200, 1200W</v>
          </cell>
          <cell r="C44">
            <v>4600000</v>
          </cell>
          <cell r="D44" t="str">
            <v>39111611</v>
          </cell>
        </row>
        <row r="45">
          <cell r="A45" t="str">
            <v>STA-1500</v>
          </cell>
          <cell r="B45" t="str">
            <v xml:space="preserve">투광조명, 
LED투광등기구, 
STA-1500, 1500W</v>
          </cell>
          <cell r="C45">
            <v>4900000</v>
          </cell>
          <cell r="D45" t="str">
            <v>39111611</v>
          </cell>
        </row>
        <row r="46">
          <cell r="A46" t="str">
            <v>MTPS-701</v>
          </cell>
          <cell r="B46" t="str">
            <v xml:space="preserve">가로등주및부속자재, 
가로등주부속자재, 
MTPS-701, 베이스커버</v>
          </cell>
          <cell r="C46">
            <v>61000</v>
          </cell>
          <cell r="D46" t="str">
            <v>39111526</v>
          </cell>
        </row>
        <row r="47">
          <cell r="A47" t="str">
            <v>MTPS-702</v>
          </cell>
          <cell r="B47" t="str">
            <v xml:space="preserve">가로등주및부속자재, 
가로등주부속자재, 
MTPS-702, 배너걸이</v>
          </cell>
          <cell r="C47">
            <v>51000</v>
          </cell>
          <cell r="D47" t="str">
            <v>39111526</v>
          </cell>
        </row>
        <row r="48">
          <cell r="A48" t="str">
            <v>MTPS-703</v>
          </cell>
          <cell r="B48" t="str">
            <v xml:space="preserve">가로등주및부속자재, 
가로등주부속자재, 
MTPS-703, 심볼판</v>
          </cell>
          <cell r="C48">
            <v>70000</v>
          </cell>
          <cell r="D48" t="str">
            <v>39111526</v>
          </cell>
        </row>
        <row r="49">
          <cell r="A49" t="str">
            <v>MTPS-704</v>
          </cell>
          <cell r="B49" t="str">
            <v xml:space="preserve">가로등주및부속자재, 
가로등주부속자재, 
MTPS-704, 보행자암</v>
          </cell>
          <cell r="C49">
            <v>211000</v>
          </cell>
          <cell r="D49" t="str">
            <v>39111526</v>
          </cell>
        </row>
        <row r="50">
          <cell r="A50" t="str">
            <v>MTPS-705</v>
          </cell>
          <cell r="B50" t="str">
            <v xml:space="preserve">가로등주및부속자재, 
가로등주부속자재, 
MTPS-705, 보행자암</v>
          </cell>
          <cell r="C50">
            <v>166000</v>
          </cell>
          <cell r="D50" t="str">
            <v>39111526</v>
          </cell>
        </row>
        <row r="51">
          <cell r="A51" t="str">
            <v>MTPS-706</v>
          </cell>
          <cell r="B51" t="str">
            <v xml:space="preserve">가로등주및부속자재, 
가로등주부속자재, 
MTPS-706, 스테인리스보행자암</v>
          </cell>
          <cell r="C51">
            <v>314000</v>
          </cell>
          <cell r="D51" t="str">
            <v>39111526</v>
          </cell>
        </row>
        <row r="52">
          <cell r="A52" t="str">
            <v>MTPS-707</v>
          </cell>
          <cell r="B52" t="str">
            <v xml:space="preserve">가로등주및부속자재, 
가로등주부속자재, 
MTPS-707, 보행자암</v>
          </cell>
          <cell r="C52">
            <v>150000</v>
          </cell>
          <cell r="D52" t="str">
            <v>39111526</v>
          </cell>
        </row>
        <row r="53">
          <cell r="A53" t="str">
            <v>MTPS-708</v>
          </cell>
          <cell r="B53" t="str">
            <v xml:space="preserve">가로등주및부속자재, 
가로등주부속자재, 
MTPS-708, 암</v>
          </cell>
          <cell r="C53">
            <v>450000</v>
          </cell>
          <cell r="D53" t="str">
            <v>39111526</v>
          </cell>
        </row>
        <row r="54">
          <cell r="A54" t="str">
            <v>MTPS-101-10</v>
          </cell>
          <cell r="B54" t="str">
            <v xml:space="preserve">가로등주및부속자재, 
스테인리스가로등주, 
MTPS-101-10, 10m, 1등용</v>
          </cell>
          <cell r="C54">
            <v>1910000</v>
          </cell>
          <cell r="D54" t="str">
            <v>39111526</v>
          </cell>
        </row>
        <row r="55">
          <cell r="A55" t="str">
            <v>MTPS-101-8</v>
          </cell>
          <cell r="B55" t="str">
            <v xml:space="preserve">가로등주및부속자재, 
스테인리스가로등주, 
MTPS-101-8, 8m, 1등용</v>
          </cell>
          <cell r="C55">
            <v>1671000</v>
          </cell>
          <cell r="D55" t="str">
            <v>39111526</v>
          </cell>
        </row>
        <row r="56">
          <cell r="A56" t="str">
            <v>MTPS-101-9</v>
          </cell>
          <cell r="B56" t="str">
            <v xml:space="preserve">가로등주및부속자재, 
스테인리스가로등주, 
MTPS-101-9, 9m, 1등용</v>
          </cell>
          <cell r="C56">
            <v>1838000</v>
          </cell>
          <cell r="D56" t="str">
            <v>39111526</v>
          </cell>
        </row>
        <row r="57">
          <cell r="A57" t="str">
            <v>MTPS-102-10</v>
          </cell>
          <cell r="B57" t="str">
            <v xml:space="preserve">가로등주및부속자재, 
스테인리스가로등주, 
MTPS-102-10, 10m, 1등용</v>
          </cell>
          <cell r="C57">
            <v>2087000</v>
          </cell>
          <cell r="D57" t="str">
            <v>39111526</v>
          </cell>
        </row>
        <row r="58">
          <cell r="A58" t="str">
            <v>MTPS-102-8</v>
          </cell>
          <cell r="B58" t="str">
            <v xml:space="preserve">가로등주및부속자재, 
스테인리스가로등주, 
MTPS-102-8, 8m, 1등용</v>
          </cell>
          <cell r="C58">
            <v>1775000</v>
          </cell>
          <cell r="D58" t="str">
            <v>39111526</v>
          </cell>
        </row>
        <row r="59">
          <cell r="A59" t="str">
            <v>MTPS-102-9</v>
          </cell>
          <cell r="B59" t="str">
            <v xml:space="preserve">가로등주및부속자재, 
스테인리스가로등주, 
MTPS-102-9, 9m, 1등용</v>
          </cell>
          <cell r="C59">
            <v>1860000</v>
          </cell>
          <cell r="D59" t="str">
            <v>39111526</v>
          </cell>
        </row>
        <row r="60">
          <cell r="A60" t="str">
            <v>MTPS-103-10</v>
          </cell>
          <cell r="B60" t="str">
            <v xml:space="preserve">가로등주및부속자재, 
스테인리스가로등주, 
MTPS-103-10, 10m, 1등용</v>
          </cell>
          <cell r="C60">
            <v>2013000</v>
          </cell>
          <cell r="D60" t="str">
            <v>39111526</v>
          </cell>
        </row>
        <row r="61">
          <cell r="A61" t="str">
            <v>MTPS-103-10-2</v>
          </cell>
          <cell r="B61" t="str">
            <v xml:space="preserve">가로등주및부속자재, 
스테인리스가로등주, 
MTPS-103-10-2, 10m, 2등용</v>
          </cell>
          <cell r="C61">
            <v>2140000</v>
          </cell>
          <cell r="D61" t="str">
            <v>39111526</v>
          </cell>
        </row>
        <row r="62">
          <cell r="A62" t="str">
            <v>MTPS-103-8</v>
          </cell>
          <cell r="B62" t="str">
            <v xml:space="preserve">가로등주및부속자재, 
스테인리스가로등주, 
MTPS-103-8, 8m, 1등용</v>
          </cell>
          <cell r="C62">
            <v>1900000</v>
          </cell>
          <cell r="D62" t="str">
            <v>39111526</v>
          </cell>
        </row>
        <row r="63">
          <cell r="A63" t="str">
            <v>MTPS-103-9</v>
          </cell>
          <cell r="B63" t="str">
            <v xml:space="preserve">가로등주및부속자재, 
스테인리스가로등주, 
MTPS-103-9, 9m, 1등용</v>
          </cell>
          <cell r="C63">
            <v>1971000</v>
          </cell>
          <cell r="D63" t="str">
            <v>39111526</v>
          </cell>
        </row>
        <row r="64">
          <cell r="A64" t="str">
            <v>MTPS-104-10</v>
          </cell>
          <cell r="B64" t="str">
            <v xml:space="preserve">가로등주및부속자재, 
스테인리스가로등주, 
MTPS-104-10, 10m, 1등용</v>
          </cell>
          <cell r="C64">
            <v>1710000</v>
          </cell>
          <cell r="D64" t="str">
            <v>39111526</v>
          </cell>
        </row>
        <row r="65">
          <cell r="A65" t="str">
            <v>MTPS-104-8</v>
          </cell>
          <cell r="B65" t="str">
            <v xml:space="preserve">가로등주및부속자재, 
스테인리스가로등주, 
MTPS-104-8, 8m, 1등용</v>
          </cell>
          <cell r="C65">
            <v>1610000</v>
          </cell>
          <cell r="D65" t="str">
            <v>39111526</v>
          </cell>
        </row>
        <row r="66">
          <cell r="A66" t="str">
            <v>MTPS-104-9</v>
          </cell>
          <cell r="B66" t="str">
            <v xml:space="preserve">가로등주및부속자재, 
스테인리스가로등주, 
MTPS-104-9, 9m, 1등용</v>
          </cell>
          <cell r="C66">
            <v>1660000</v>
          </cell>
          <cell r="D66" t="str">
            <v>39111526</v>
          </cell>
        </row>
        <row r="67">
          <cell r="A67" t="str">
            <v>MTPS-105-10</v>
          </cell>
          <cell r="B67" t="str">
            <v xml:space="preserve">가로등주및부속자재, 
스테인리스가로등주, 
MTPS-105-10, 10m, 1등용</v>
          </cell>
          <cell r="C67">
            <v>1990000</v>
          </cell>
          <cell r="D67" t="str">
            <v>39111526</v>
          </cell>
        </row>
        <row r="68">
          <cell r="A68" t="str">
            <v>MTPS-105-10-2</v>
          </cell>
          <cell r="B68" t="str">
            <v xml:space="preserve">가로등주및부속자재, 
스테인리스가로등주, 
MTPS-105-10-2, 10m, 2등용</v>
          </cell>
          <cell r="C68">
            <v>2100000</v>
          </cell>
          <cell r="D68" t="str">
            <v>39111526</v>
          </cell>
        </row>
        <row r="69">
          <cell r="A69" t="str">
            <v>MTPS-105-8</v>
          </cell>
          <cell r="B69" t="str">
            <v xml:space="preserve">가로등주및부속자재, 
스테인리스가로등주, 
MTPS-105-8, 8m, 1등용</v>
          </cell>
          <cell r="C69">
            <v>1790000</v>
          </cell>
          <cell r="D69" t="str">
            <v>39111526</v>
          </cell>
        </row>
        <row r="70">
          <cell r="A70" t="str">
            <v>MTPS-105-9</v>
          </cell>
          <cell r="B70" t="str">
            <v xml:space="preserve">가로등주및부속자재, 
스테인리스가로등주, 
MTPS-105-9, 9m, 1등용</v>
          </cell>
          <cell r="C70">
            <v>1890000</v>
          </cell>
          <cell r="D70" t="str">
            <v>39111526</v>
          </cell>
        </row>
        <row r="71">
          <cell r="A71" t="str">
            <v>MTPS-105-9-2</v>
          </cell>
          <cell r="B71" t="str">
            <v xml:space="preserve">가로등주및부속자재, 
스테인리스가로등주, 
MTPS-105-9-2, 9m, 2등용</v>
          </cell>
          <cell r="C71">
            <v>1990000</v>
          </cell>
          <cell r="D71" t="str">
            <v>39111526</v>
          </cell>
        </row>
        <row r="72">
          <cell r="A72" t="str">
            <v>MTPS-201-4</v>
          </cell>
          <cell r="B72" t="str">
            <v xml:space="preserve">가로등주및부속자재, 
스테인리스가로등주, 
MTPS-201-4, 4m, 1등용</v>
          </cell>
          <cell r="C72">
            <v>731000</v>
          </cell>
          <cell r="D72" t="str">
            <v>39111526</v>
          </cell>
        </row>
        <row r="73">
          <cell r="A73" t="str">
            <v>MTPS-201-5</v>
          </cell>
          <cell r="B73" t="str">
            <v xml:space="preserve">가로등주및부속자재, 
스테인리스가로등주, 
MTPS-201-5, 5m, 1등용</v>
          </cell>
          <cell r="C73">
            <v>783000</v>
          </cell>
          <cell r="D73" t="str">
            <v>39111526</v>
          </cell>
        </row>
        <row r="74">
          <cell r="A74" t="str">
            <v>MTPS-201-6</v>
          </cell>
          <cell r="B74" t="str">
            <v xml:space="preserve">가로등주및부속자재, 
스테인리스가로등주, 
MTPS-201-6, 6m, 1등용</v>
          </cell>
          <cell r="C74">
            <v>877000</v>
          </cell>
          <cell r="D74" t="str">
            <v>39111526</v>
          </cell>
        </row>
        <row r="75">
          <cell r="A75" t="str">
            <v>MTPS-202-4</v>
          </cell>
          <cell r="B75" t="str">
            <v xml:space="preserve">가로등주및부속자재, 
스테인리스가로등주, 
MTPS-202-4, 4m, 1등용</v>
          </cell>
          <cell r="C75">
            <v>835000</v>
          </cell>
          <cell r="D75" t="str">
            <v>39111526</v>
          </cell>
        </row>
        <row r="76">
          <cell r="A76" t="str">
            <v>MTPS-202-5</v>
          </cell>
          <cell r="B76" t="str">
            <v xml:space="preserve">가로등주및부속자재, 
스테인리스가로등주, 
MTPS-202-5, 5m, 1등용</v>
          </cell>
          <cell r="C76">
            <v>913000</v>
          </cell>
          <cell r="D76" t="str">
            <v>39111526</v>
          </cell>
        </row>
        <row r="77">
          <cell r="A77" t="str">
            <v>MTPS-202-6</v>
          </cell>
          <cell r="B77" t="str">
            <v xml:space="preserve">가로등주및부속자재, 
스테인리스가로등주, 
MTPS-202-6, 6m, 1등용</v>
          </cell>
          <cell r="C77">
            <v>979000</v>
          </cell>
          <cell r="D77" t="str">
            <v>39111526</v>
          </cell>
        </row>
        <row r="78">
          <cell r="A78" t="str">
            <v>MTPS-203-4</v>
          </cell>
          <cell r="B78" t="str">
            <v xml:space="preserve">가로등주및부속자재, 
스테인리스가로등주, 
MTPS-203-4, 4m, 1등용</v>
          </cell>
          <cell r="C78">
            <v>1016000</v>
          </cell>
          <cell r="D78" t="str">
            <v>39111526</v>
          </cell>
        </row>
        <row r="79">
          <cell r="A79" t="str">
            <v>MTPS-203-5</v>
          </cell>
          <cell r="B79" t="str">
            <v xml:space="preserve">가로등주및부속자재, 
스테인리스가로등주, 
MTPS-203-5, 5m, 1등용</v>
          </cell>
          <cell r="C79">
            <v>1110000</v>
          </cell>
          <cell r="D79" t="str">
            <v>39111526</v>
          </cell>
        </row>
        <row r="80">
          <cell r="A80" t="str">
            <v>MTPS-203-5-2</v>
          </cell>
          <cell r="B80" t="str">
            <v xml:space="preserve">가로등주및부속자재, 
스테인리스가로등주, 
MTPS-203-5-2, 5m, 2등용</v>
          </cell>
          <cell r="C80">
            <v>1250000</v>
          </cell>
          <cell r="D80" t="str">
            <v>39111526</v>
          </cell>
        </row>
        <row r="81">
          <cell r="A81" t="str">
            <v>MTPS-203-6</v>
          </cell>
          <cell r="B81" t="str">
            <v xml:space="preserve">가로등주및부속자재, 
스테인리스가로등주, 
MTPS-203-6, 6m, 1등용</v>
          </cell>
          <cell r="C81">
            <v>1318000</v>
          </cell>
          <cell r="D81" t="str">
            <v>39111526</v>
          </cell>
        </row>
        <row r="82">
          <cell r="A82" t="str">
            <v>MTPS-204-4</v>
          </cell>
          <cell r="B82" t="str">
            <v xml:space="preserve">가로등주및부속자재, 
스테인리스가로등주, 
MTPS-204-4, 4m, 1등용</v>
          </cell>
          <cell r="C82">
            <v>850000</v>
          </cell>
          <cell r="D82" t="str">
            <v>39111526</v>
          </cell>
        </row>
        <row r="83">
          <cell r="A83" t="str">
            <v>MTPS-204-4-2</v>
          </cell>
          <cell r="B83" t="str">
            <v xml:space="preserve">가로등주및부속자재, 
스테인리스가로등주, 
MTPS-204-4-2, 4m, 2등용</v>
          </cell>
          <cell r="C83">
            <v>935000</v>
          </cell>
          <cell r="D83" t="str">
            <v>39111526</v>
          </cell>
        </row>
        <row r="84">
          <cell r="A84" t="str">
            <v>MTPS-204-5</v>
          </cell>
          <cell r="B84" t="str">
            <v xml:space="preserve">가로등주및부속자재, 
스테인리스가로등주, 
MTPS-204-5, 5m, 1등용</v>
          </cell>
          <cell r="C84">
            <v>935000</v>
          </cell>
          <cell r="D84" t="str">
            <v>39111526</v>
          </cell>
        </row>
        <row r="85">
          <cell r="A85" t="str">
            <v>MTPS-204-5-2</v>
          </cell>
          <cell r="B85" t="str">
            <v xml:space="preserve">가로등주및부속자재, 
스테인리스가로등주, 
MTPS-204-5-2, 5m, 2등용</v>
          </cell>
          <cell r="C85">
            <v>1028000</v>
          </cell>
          <cell r="D85" t="str">
            <v>39111526</v>
          </cell>
        </row>
        <row r="86">
          <cell r="A86" t="str">
            <v>MTPS-204-6</v>
          </cell>
          <cell r="B86" t="str">
            <v xml:space="preserve">가로등주및부속자재, 
스테인리스가로등주, 
MTPS-204-6, 6m, 1등용</v>
          </cell>
          <cell r="C86">
            <v>1028000</v>
          </cell>
          <cell r="D86" t="str">
            <v>39111526</v>
          </cell>
        </row>
        <row r="87">
          <cell r="A87" t="str">
            <v>MTPS-204-6-2</v>
          </cell>
          <cell r="B87" t="str">
            <v xml:space="preserve">가로등주및부속자재, 
스테인리스가로등주, 
MTPS-204-6-2, 6m, 2등용</v>
          </cell>
          <cell r="C87">
            <v>1122000</v>
          </cell>
          <cell r="D87" t="str">
            <v>39111526</v>
          </cell>
        </row>
        <row r="88">
          <cell r="A88" t="str">
            <v>MTPS-205-65</v>
          </cell>
          <cell r="B88" t="str">
            <v xml:space="preserve">가로등주및부속자재, 
스테인리스가로등주, 
MTPS-205-65, 6.5m, 1등용</v>
          </cell>
          <cell r="C88">
            <v>1500000</v>
          </cell>
          <cell r="D88" t="str">
            <v>39111526</v>
          </cell>
        </row>
        <row r="89">
          <cell r="A89" t="str">
            <v>MTT12B</v>
          </cell>
          <cell r="B89" t="str">
            <v xml:space="preserve">조명타워, 
조명타워, 
MTT12B, 12m, 12등용</v>
          </cell>
          <cell r="C89">
            <v>6000000</v>
          </cell>
          <cell r="D89" t="str">
            <v>39112001</v>
          </cell>
        </row>
        <row r="90">
          <cell r="A90" t="str">
            <v>MTT15A</v>
          </cell>
          <cell r="B90" t="str">
            <v xml:space="preserve">조명타워, 
조명타워, 
MTT15A, 15m, 6등용</v>
          </cell>
          <cell r="C90">
            <v>7000000</v>
          </cell>
          <cell r="D90" t="str">
            <v>39112001</v>
          </cell>
        </row>
        <row r="91">
          <cell r="A91" t="str">
            <v>MTT15B</v>
          </cell>
          <cell r="B91" t="str">
            <v xml:space="preserve">조명타워, 
조명타워, 
MTT15B, 15m, 12등용</v>
          </cell>
          <cell r="C91">
            <v>8000000</v>
          </cell>
          <cell r="D91" t="str">
            <v>39112001</v>
          </cell>
        </row>
        <row r="92">
          <cell r="A92" t="str">
            <v>MTT18A</v>
          </cell>
          <cell r="B92" t="str">
            <v xml:space="preserve">조명타워, 
조명타워, 
MTT18A, 18m, 6등용</v>
          </cell>
          <cell r="C92">
            <v>9500000</v>
          </cell>
          <cell r="D92" t="str">
            <v>39112001</v>
          </cell>
        </row>
        <row r="93">
          <cell r="A93" t="str">
            <v>MTT18B</v>
          </cell>
          <cell r="B93" t="str">
            <v xml:space="preserve">조명타워, 
조명타워, 
MTT18B, 18m, 12등용</v>
          </cell>
          <cell r="C93">
            <v>10500000</v>
          </cell>
          <cell r="D93" t="str">
            <v>39112001</v>
          </cell>
        </row>
        <row r="94">
          <cell r="A94" t="str">
            <v>MTT20A</v>
          </cell>
          <cell r="B94" t="str">
            <v xml:space="preserve">조명타워, 
조명타워, 
MTT20A, 20m, 10등용</v>
          </cell>
          <cell r="C94">
            <v>15000000</v>
          </cell>
          <cell r="D94" t="str">
            <v>39112001</v>
          </cell>
        </row>
        <row r="95">
          <cell r="A95" t="str">
            <v>MTT20B</v>
          </cell>
          <cell r="B95" t="str">
            <v xml:space="preserve">조명타워, 
조명타워, 
MTT20B, 20m, 18등용</v>
          </cell>
          <cell r="C95">
            <v>16500000</v>
          </cell>
          <cell r="D95" t="str">
            <v>39112001</v>
          </cell>
        </row>
        <row r="96">
          <cell r="A96" t="str">
            <v>MTT24A</v>
          </cell>
          <cell r="B96" t="str">
            <v xml:space="preserve">조명타워, 
조명타워, 
MTT24A, 24m, 10등용</v>
          </cell>
          <cell r="C96">
            <v>16500000</v>
          </cell>
          <cell r="D96" t="str">
            <v>39112001</v>
          </cell>
        </row>
        <row r="97">
          <cell r="A97" t="str">
            <v>MTT24B</v>
          </cell>
          <cell r="B97" t="str">
            <v xml:space="preserve">조명타워, 
조명타워, 
MTT24B, 24m, 18등용</v>
          </cell>
          <cell r="C97">
            <v>18000000</v>
          </cell>
          <cell r="D97" t="str">
            <v>39112001</v>
          </cell>
        </row>
        <row r="98">
          <cell r="A98" t="str">
            <v>MTPF-101-10</v>
          </cell>
          <cell r="B98" t="str">
            <v xml:space="preserve">가로등주및부속자재, 
철제가로등주, 
MTPF-101-10, 10m, 1등용</v>
          </cell>
          <cell r="C98">
            <v>963000</v>
          </cell>
          <cell r="D98" t="str">
            <v>39111526</v>
          </cell>
        </row>
        <row r="99">
          <cell r="A99" t="str">
            <v>MTPF-101-10-2</v>
          </cell>
          <cell r="B99" t="str">
            <v xml:space="preserve">가로등주및부속자재, 
철제가로등주, 
MTPF-101-10-2, 10m, 2등용</v>
          </cell>
          <cell r="C99">
            <v>1051000</v>
          </cell>
          <cell r="D99" t="str">
            <v>39111526</v>
          </cell>
        </row>
        <row r="100">
          <cell r="A100" t="str">
            <v>MTPF-101-12</v>
          </cell>
          <cell r="B100" t="str">
            <v xml:space="preserve">가로등주및부속자재, 
철제가로등주, 
MTPF-101-12, 12m, 1등용</v>
          </cell>
          <cell r="C100">
            <v>1094000</v>
          </cell>
          <cell r="D100" t="str">
            <v>39111526</v>
          </cell>
        </row>
        <row r="101">
          <cell r="A101" t="str">
            <v>MTPF-101-12-2</v>
          </cell>
          <cell r="B101" t="str">
            <v xml:space="preserve">가로등주및부속자재, 
철제가로등주, 
MTPF-101-12-2, 12m, 2등용</v>
          </cell>
          <cell r="C101">
            <v>1167000</v>
          </cell>
          <cell r="D101" t="str">
            <v>39111526</v>
          </cell>
        </row>
        <row r="102">
          <cell r="A102" t="str">
            <v>MTPF-101-8</v>
          </cell>
          <cell r="B102" t="str">
            <v xml:space="preserve">가로등주및부속자재, 
철제가로등주, 
MTPF-101-8, 8m, 1등용</v>
          </cell>
          <cell r="C102">
            <v>803000</v>
          </cell>
          <cell r="D102" t="str">
            <v>39111526</v>
          </cell>
        </row>
        <row r="103">
          <cell r="A103" t="str">
            <v>MTPF-101-8-2</v>
          </cell>
          <cell r="B103" t="str">
            <v xml:space="preserve">가로등주및부속자재, 
철제가로등주, 
MTPF-101-8-2, 8m, 2등용</v>
          </cell>
          <cell r="C103">
            <v>890000</v>
          </cell>
          <cell r="D103" t="str">
            <v>39111526</v>
          </cell>
        </row>
        <row r="104">
          <cell r="A104" t="str">
            <v>MTPF-101-9</v>
          </cell>
          <cell r="B104" t="str">
            <v xml:space="preserve">가로등주및부속자재, 
철제가로등주, 
MTPF-101-9, 9m, 1등용</v>
          </cell>
          <cell r="C104">
            <v>890000</v>
          </cell>
          <cell r="D104" t="str">
            <v>39111526</v>
          </cell>
        </row>
        <row r="105">
          <cell r="A105" t="str">
            <v>MTPF-101-9-2</v>
          </cell>
          <cell r="B105" t="str">
            <v xml:space="preserve">가로등주및부속자재, 
철제가로등주, 
MTPF-101-9-2, 9m, 2등용</v>
          </cell>
          <cell r="C105">
            <v>970000</v>
          </cell>
          <cell r="D105" t="str">
            <v>39111526</v>
          </cell>
        </row>
        <row r="106">
          <cell r="A106" t="str">
            <v>MTPF-201-4</v>
          </cell>
          <cell r="B106" t="str">
            <v xml:space="preserve">가로등주및부속자재, 
철제가로등주, 
MTPF-201-4, 4m, 1등용</v>
          </cell>
          <cell r="C106">
            <v>605000</v>
          </cell>
          <cell r="D106" t="str">
            <v>39111526</v>
          </cell>
        </row>
        <row r="107">
          <cell r="A107" t="str">
            <v>MTPF-201-4-2</v>
          </cell>
          <cell r="B107" t="str">
            <v xml:space="preserve">가로등주및부속자재, 
철제가로등주, 
MTPF-201-4-2, 4m, 2등용</v>
          </cell>
          <cell r="C107">
            <v>657000</v>
          </cell>
          <cell r="D107" t="str">
            <v>39111526</v>
          </cell>
        </row>
        <row r="108">
          <cell r="A108" t="str">
            <v>MTPF-201-5</v>
          </cell>
          <cell r="B108" t="str">
            <v xml:space="preserve">가로등주및부속자재, 
철제가로등주, 
MTPF-201-5, 5m, 1등용</v>
          </cell>
          <cell r="C108">
            <v>671000</v>
          </cell>
          <cell r="D108" t="str">
            <v>39111526</v>
          </cell>
        </row>
        <row r="109">
          <cell r="A109" t="str">
            <v>MTPF-201-5-2</v>
          </cell>
          <cell r="B109" t="str">
            <v xml:space="preserve">가로등주및부속자재, 
철제가로등주, 
MTPF-201-5-2, 5m, 2등용</v>
          </cell>
          <cell r="C109">
            <v>722000</v>
          </cell>
          <cell r="D109" t="str">
            <v>39111526</v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3" zoomScale="85" workbookViewId="0">
      <selection activeCell="J71" activeCellId="0" sqref="J71"/>
    </sheetView>
  </sheetViews>
  <sheetFormatPr defaultRowHeight="14.25"/>
  <cols>
    <col customWidth="1" min="1" max="1" style="1" width="23.125"/>
    <col customWidth="1" min="2" max="2" style="2" width="62"/>
    <col customWidth="1" min="3" max="3" style="3" width="14.875"/>
    <col customWidth="1" min="4" max="4" style="4" width="14.875"/>
    <col customWidth="1" min="5" max="5" style="1" width="20.75"/>
    <col customWidth="1" min="6" max="7" style="1" width="17.875"/>
    <col customWidth="1" min="8" max="8" style="1" width="21.625"/>
    <col customWidth="1" min="9" max="10" style="1" width="14.875"/>
    <col customWidth="1" min="11" max="12" style="1" width="26.625"/>
  </cols>
  <sheetData>
    <row r="4" ht="30.75">
      <c r="A4" s="5" t="s">
        <v>0</v>
      </c>
      <c r="B4" s="6"/>
      <c r="C4" s="7"/>
      <c r="D4" s="8"/>
      <c r="E4" s="6"/>
      <c r="F4" s="6"/>
      <c r="G4" s="6"/>
      <c r="H4" s="6"/>
      <c r="I4" s="6"/>
      <c r="J4" s="6"/>
      <c r="K4" s="6"/>
      <c r="L4" s="6"/>
    </row>
    <row r="5">
      <c r="C5" s="1"/>
      <c r="D5" s="1"/>
    </row>
    <row r="6">
      <c r="A6" s="9" t="s">
        <v>1</v>
      </c>
      <c r="C6" s="1"/>
      <c r="D6" s="1"/>
    </row>
    <row r="7">
      <c r="A7" s="10" t="s">
        <v>2</v>
      </c>
      <c r="B7" s="10" t="s">
        <v>3</v>
      </c>
      <c r="C7" s="10" t="s">
        <v>4</v>
      </c>
      <c r="D7" s="10" t="s">
        <v>5</v>
      </c>
      <c r="E7" s="10" t="s">
        <v>6</v>
      </c>
      <c r="F7" s="10" t="s">
        <v>7</v>
      </c>
      <c r="G7" s="10" t="s">
        <v>8</v>
      </c>
      <c r="H7" s="10" t="s">
        <v>9</v>
      </c>
      <c r="I7" s="10" t="s">
        <v>10</v>
      </c>
      <c r="J7" s="10" t="s">
        <v>11</v>
      </c>
      <c r="K7" s="10" t="s">
        <v>12</v>
      </c>
      <c r="L7" s="10" t="s">
        <v>13</v>
      </c>
    </row>
    <row r="8">
      <c r="A8" s="11" t="s">
        <v>14</v>
      </c>
      <c r="B8" s="12" t="str">
        <f t="shared" ref="B8:B71" si="0">IF($G8="","-",CONCATENATE(F8," ",G8," ",H8," ",I8," ",K8," ",L8))</f>
        <v xml:space="preserve"> LED가로등기구 MT-SLC-075 75W  </v>
      </c>
      <c r="C8" s="13">
        <v>340000</v>
      </c>
      <c r="D8" s="14">
        <v>39111603</v>
      </c>
      <c r="E8" s="11" t="s">
        <v>15</v>
      </c>
      <c r="F8" s="11"/>
      <c r="G8" s="11" t="s">
        <v>16</v>
      </c>
      <c r="H8" s="11" t="s">
        <v>14</v>
      </c>
      <c r="I8" s="11" t="s">
        <v>17</v>
      </c>
      <c r="J8" s="11" t="s">
        <v>18</v>
      </c>
      <c r="K8" s="11" t="s">
        <v>19</v>
      </c>
      <c r="L8" s="11"/>
    </row>
    <row r="9">
      <c r="A9" s="11" t="s">
        <v>20</v>
      </c>
      <c r="B9" s="12" t="str">
        <f t="shared" si="0"/>
        <v xml:space="preserve"> LED가로등기구 MT-SLC-100 100W  </v>
      </c>
      <c r="C9" s="13">
        <v>414000</v>
      </c>
      <c r="D9" s="14" t="s">
        <v>21</v>
      </c>
      <c r="E9" s="11" t="s">
        <v>15</v>
      </c>
      <c r="F9" s="11"/>
      <c r="G9" s="11" t="s">
        <v>16</v>
      </c>
      <c r="H9" s="11" t="s">
        <v>20</v>
      </c>
      <c r="I9" s="11" t="s">
        <v>22</v>
      </c>
      <c r="J9" s="11" t="s">
        <v>18</v>
      </c>
      <c r="K9" s="11" t="s">
        <v>19</v>
      </c>
      <c r="L9" s="11"/>
    </row>
    <row r="10">
      <c r="A10" s="11" t="s">
        <v>23</v>
      </c>
      <c r="B10" s="12" t="str">
        <f t="shared" si="0"/>
        <v xml:space="preserve"> LED가로등기구 MT-SLC-125 125W  </v>
      </c>
      <c r="C10" s="13">
        <v>440000</v>
      </c>
      <c r="D10" s="14" t="s">
        <v>21</v>
      </c>
      <c r="E10" s="11" t="s">
        <v>15</v>
      </c>
      <c r="F10" s="11"/>
      <c r="G10" s="11" t="s">
        <v>16</v>
      </c>
      <c r="H10" s="11" t="s">
        <v>23</v>
      </c>
      <c r="I10" s="11" t="s">
        <v>24</v>
      </c>
      <c r="J10" s="11" t="s">
        <v>18</v>
      </c>
      <c r="K10" s="11" t="s">
        <v>19</v>
      </c>
      <c r="L10" s="11"/>
    </row>
    <row r="11">
      <c r="A11" s="11" t="s">
        <v>25</v>
      </c>
      <c r="B11" s="12" t="str">
        <f>IF($G11="","-",CONCATENATE(F11," ",G11," ",H11," ",I11," ",K11," ",L11))</f>
        <v xml:space="preserve"> LED보안등기구 MT-SLC-025-35 25W  </v>
      </c>
      <c r="C11" s="13">
        <v>203000</v>
      </c>
      <c r="D11" s="14" t="s">
        <v>26</v>
      </c>
      <c r="E11" s="11" t="s">
        <v>27</v>
      </c>
      <c r="F11" s="11"/>
      <c r="G11" s="11" t="s">
        <v>28</v>
      </c>
      <c r="H11" s="11" t="s">
        <v>25</v>
      </c>
      <c r="I11" s="11" t="s">
        <v>29</v>
      </c>
      <c r="J11" s="11" t="s">
        <v>18</v>
      </c>
      <c r="K11" s="11"/>
      <c r="L11" s="11"/>
    </row>
    <row r="12">
      <c r="A12" s="11" t="s">
        <v>30</v>
      </c>
      <c r="B12" s="12" t="str">
        <f t="shared" si="0"/>
        <v xml:space="preserve"> LED가로등기구 MT-SLA-100 100W  </v>
      </c>
      <c r="C12" s="13">
        <v>381000</v>
      </c>
      <c r="D12" s="14" t="s">
        <v>21</v>
      </c>
      <c r="E12" s="11" t="s">
        <v>15</v>
      </c>
      <c r="F12" s="11"/>
      <c r="G12" s="11" t="s">
        <v>16</v>
      </c>
      <c r="H12" s="11" t="s">
        <v>30</v>
      </c>
      <c r="I12" s="11" t="s">
        <v>31</v>
      </c>
      <c r="J12" s="11" t="s">
        <v>18</v>
      </c>
      <c r="K12" s="11"/>
      <c r="L12" s="11"/>
    </row>
    <row r="13">
      <c r="A13" s="11" t="s">
        <v>32</v>
      </c>
      <c r="B13" s="12" t="str">
        <f t="shared" si="0"/>
        <v xml:space="preserve"> LED가로등기구 MT-SLA-150 150W  </v>
      </c>
      <c r="C13" s="13">
        <v>437000</v>
      </c>
      <c r="D13" s="14" t="s">
        <v>21</v>
      </c>
      <c r="E13" s="11" t="s">
        <v>15</v>
      </c>
      <c r="F13" s="11"/>
      <c r="G13" s="11" t="s">
        <v>16</v>
      </c>
      <c r="H13" s="11" t="s">
        <v>32</v>
      </c>
      <c r="I13" s="11" t="s">
        <v>33</v>
      </c>
      <c r="J13" s="11" t="s">
        <v>18</v>
      </c>
      <c r="K13" s="11"/>
      <c r="L13" s="11"/>
    </row>
    <row r="14">
      <c r="A14" s="11" t="s">
        <v>34</v>
      </c>
      <c r="B14" s="12" t="str">
        <f t="shared" si="0"/>
        <v xml:space="preserve"> LED가로등기구 MT-SLC-150 150W  </v>
      </c>
      <c r="C14" s="13">
        <v>464000</v>
      </c>
      <c r="D14" s="14" t="s">
        <v>21</v>
      </c>
      <c r="E14" s="11" t="s">
        <v>15</v>
      </c>
      <c r="F14" s="11"/>
      <c r="G14" s="11" t="s">
        <v>16</v>
      </c>
      <c r="H14" s="11" t="s">
        <v>34</v>
      </c>
      <c r="I14" s="11" t="s">
        <v>35</v>
      </c>
      <c r="J14" s="11" t="s">
        <v>18</v>
      </c>
      <c r="K14" s="11" t="s">
        <v>19</v>
      </c>
      <c r="L14" s="11"/>
    </row>
    <row r="15">
      <c r="A15" s="11" t="s">
        <v>36</v>
      </c>
      <c r="B15" s="12" t="str">
        <f>IF($G15="","-",CONCATENATE(F15," ",G15," ",H15," ",I15," ",K15," ",L15))</f>
        <v xml:space="preserve"> LED가로등기구 MT-SLA(D)-125 125W  </v>
      </c>
      <c r="C15" s="13">
        <v>410000</v>
      </c>
      <c r="D15" s="4" t="s">
        <v>21</v>
      </c>
      <c r="E15" s="11" t="s">
        <v>15</v>
      </c>
      <c r="F15" s="11"/>
      <c r="G15" s="1" t="s">
        <v>16</v>
      </c>
      <c r="H15" s="11" t="s">
        <v>36</v>
      </c>
      <c r="I15" s="11" t="s">
        <v>24</v>
      </c>
      <c r="J15" s="11" t="s">
        <v>18</v>
      </c>
      <c r="K15" s="11"/>
      <c r="L15" s="11"/>
    </row>
    <row r="16">
      <c r="A16" s="11" t="s">
        <v>37</v>
      </c>
      <c r="B16" s="12" t="str">
        <f t="shared" si="0"/>
        <v xml:space="preserve"> LED가로등기구 MT-SLA(D)-150 150W  </v>
      </c>
      <c r="C16" s="13">
        <v>450000</v>
      </c>
      <c r="D16" s="14" t="s">
        <v>21</v>
      </c>
      <c r="E16" s="11" t="s">
        <v>15</v>
      </c>
      <c r="F16" s="11"/>
      <c r="G16" s="11" t="s">
        <v>16</v>
      </c>
      <c r="H16" s="11" t="s">
        <v>37</v>
      </c>
      <c r="I16" s="11" t="s">
        <v>35</v>
      </c>
      <c r="J16" s="11" t="s">
        <v>18</v>
      </c>
      <c r="K16" s="11"/>
      <c r="L16" s="11"/>
    </row>
    <row r="17">
      <c r="A17" s="11" t="s">
        <v>38</v>
      </c>
      <c r="B17" s="12" t="str">
        <f>IF($G17="","-",CONCATENATE(F17," ",G17," ",H17," ",I17," ",K17," ",L17))</f>
        <v xml:space="preserve"> LED가로등기구 MT-SLA(D)-100 100W  </v>
      </c>
      <c r="C17" s="13">
        <v>377000</v>
      </c>
      <c r="D17" s="4" t="s">
        <v>21</v>
      </c>
      <c r="E17" s="11" t="s">
        <v>15</v>
      </c>
      <c r="F17" s="11"/>
      <c r="G17" s="1" t="s">
        <v>16</v>
      </c>
      <c r="H17" s="11" t="s">
        <v>38</v>
      </c>
      <c r="I17" s="11" t="s">
        <v>31</v>
      </c>
      <c r="J17" s="1" t="s">
        <v>18</v>
      </c>
      <c r="K17" s="11"/>
      <c r="L17" s="11"/>
    </row>
    <row r="18">
      <c r="A18" s="11" t="s">
        <v>39</v>
      </c>
      <c r="B18" s="12" t="str">
        <f t="shared" si="0"/>
        <v xml:space="preserve"> LED보안등기구 MT-SLC-030 30W  </v>
      </c>
      <c r="C18" s="13">
        <v>220000</v>
      </c>
      <c r="D18" s="14" t="s">
        <v>26</v>
      </c>
      <c r="E18" s="11" t="s">
        <v>27</v>
      </c>
      <c r="F18" s="11"/>
      <c r="G18" s="11" t="s">
        <v>28</v>
      </c>
      <c r="H18" s="11" t="s">
        <v>39</v>
      </c>
      <c r="I18" s="11" t="s">
        <v>40</v>
      </c>
      <c r="J18" s="11" t="s">
        <v>18</v>
      </c>
      <c r="K18" s="11" t="s">
        <v>19</v>
      </c>
      <c r="L18" s="11"/>
    </row>
    <row r="19">
      <c r="A19" s="11" t="s">
        <v>41</v>
      </c>
      <c r="B19" s="12" t="str">
        <f t="shared" si="0"/>
        <v xml:space="preserve"> LED보안등기구 MT-SLC-040 40W  </v>
      </c>
      <c r="C19" s="13">
        <v>265000</v>
      </c>
      <c r="D19" s="14" t="s">
        <v>26</v>
      </c>
      <c r="E19" s="11" t="s">
        <v>27</v>
      </c>
      <c r="F19" s="11"/>
      <c r="G19" s="11" t="s">
        <v>28</v>
      </c>
      <c r="H19" s="11" t="s">
        <v>41</v>
      </c>
      <c r="I19" s="11" t="s">
        <v>42</v>
      </c>
      <c r="J19" s="11" t="s">
        <v>18</v>
      </c>
      <c r="K19" s="11" t="s">
        <v>19</v>
      </c>
      <c r="L19" s="11"/>
    </row>
    <row r="20">
      <c r="A20" s="11" t="s">
        <v>43</v>
      </c>
      <c r="B20" s="12" t="str">
        <f t="shared" si="0"/>
        <v xml:space="preserve"> LED보안등기구 MT-SLC-050 50W  </v>
      </c>
      <c r="C20" s="13">
        <v>270000</v>
      </c>
      <c r="D20" s="14" t="s">
        <v>26</v>
      </c>
      <c r="E20" s="11" t="s">
        <v>27</v>
      </c>
      <c r="F20" s="11"/>
      <c r="G20" s="11" t="s">
        <v>28</v>
      </c>
      <c r="H20" s="11" t="s">
        <v>43</v>
      </c>
      <c r="I20" s="11" t="s">
        <v>44</v>
      </c>
      <c r="J20" s="11" t="s">
        <v>18</v>
      </c>
      <c r="K20" s="11" t="s">
        <v>19</v>
      </c>
      <c r="L20" s="11"/>
    </row>
    <row r="21">
      <c r="A21" s="11" t="s">
        <v>45</v>
      </c>
      <c r="B21" s="12" t="str">
        <f t="shared" si="0"/>
        <v xml:space="preserve"> LED보안등기구 MT-SLC-060 60W  </v>
      </c>
      <c r="C21" s="13">
        <v>280000</v>
      </c>
      <c r="D21" s="14" t="s">
        <v>26</v>
      </c>
      <c r="E21" s="11" t="s">
        <v>27</v>
      </c>
      <c r="F21" s="11"/>
      <c r="G21" s="11" t="s">
        <v>28</v>
      </c>
      <c r="H21" s="11" t="s">
        <v>45</v>
      </c>
      <c r="I21" s="11" t="s">
        <v>46</v>
      </c>
      <c r="J21" s="11" t="s">
        <v>18</v>
      </c>
      <c r="K21" s="11" t="s">
        <v>19</v>
      </c>
      <c r="L21" s="11"/>
    </row>
    <row r="22">
      <c r="A22" s="11" t="s">
        <v>47</v>
      </c>
      <c r="B22" s="12" t="str">
        <f t="shared" si="0"/>
        <v xml:space="preserve"> LED보안등기구 MT-SLA-050 50W  </v>
      </c>
      <c r="C22" s="13">
        <v>249000</v>
      </c>
      <c r="D22" s="14" t="s">
        <v>26</v>
      </c>
      <c r="E22" s="11" t="s">
        <v>27</v>
      </c>
      <c r="F22" s="11"/>
      <c r="G22" s="11" t="s">
        <v>28</v>
      </c>
      <c r="H22" s="11" t="s">
        <v>47</v>
      </c>
      <c r="I22" s="11" t="s">
        <v>48</v>
      </c>
      <c r="J22" s="11" t="s">
        <v>18</v>
      </c>
      <c r="K22" s="11"/>
      <c r="L22" s="11"/>
    </row>
    <row r="23">
      <c r="A23" s="11" t="s">
        <v>49</v>
      </c>
      <c r="B23" s="12" t="str">
        <f>IF($G23="","-",CONCATENATE(F23," ",G23," ",H23," ",I23," ",K23," ",L23))</f>
        <v xml:space="preserve"> LED보안등기구 MT-SLA(D)-050 50W  </v>
      </c>
      <c r="C23" s="13">
        <v>262000</v>
      </c>
      <c r="D23" s="4" t="s">
        <v>26</v>
      </c>
      <c r="E23" s="11" t="s">
        <v>27</v>
      </c>
      <c r="F23" s="11"/>
      <c r="G23" s="1" t="s">
        <v>28</v>
      </c>
      <c r="H23" s="11" t="s">
        <v>49</v>
      </c>
      <c r="I23" s="11" t="s">
        <v>48</v>
      </c>
      <c r="J23" s="11" t="s">
        <v>18</v>
      </c>
      <c r="K23" s="11"/>
      <c r="L23" s="11"/>
    </row>
    <row r="24">
      <c r="A24" s="11" t="s">
        <v>50</v>
      </c>
      <c r="B24" s="12" t="str">
        <f t="shared" si="0"/>
        <v xml:space="preserve"> LED보안등기구 MT-SLC-050-35 50W  </v>
      </c>
      <c r="C24" s="13">
        <v>249000</v>
      </c>
      <c r="D24" s="14" t="s">
        <v>26</v>
      </c>
      <c r="E24" s="11" t="s">
        <v>27</v>
      </c>
      <c r="F24" s="11"/>
      <c r="G24" s="11" t="s">
        <v>28</v>
      </c>
      <c r="H24" s="11" t="s">
        <v>50</v>
      </c>
      <c r="I24" s="11" t="s">
        <v>48</v>
      </c>
      <c r="J24" s="11" t="s">
        <v>18</v>
      </c>
      <c r="K24" s="11"/>
      <c r="L24" s="11"/>
    </row>
    <row r="25">
      <c r="A25" s="11" t="s">
        <v>51</v>
      </c>
      <c r="B25" s="12" t="str">
        <f t="shared" si="0"/>
        <v xml:space="preserve"> LED터널용등기구 MT-TL-050 50W  </v>
      </c>
      <c r="C25" s="13">
        <v>336000</v>
      </c>
      <c r="D25" s="14" t="s">
        <v>21</v>
      </c>
      <c r="E25" s="11" t="s">
        <v>15</v>
      </c>
      <c r="F25" s="11"/>
      <c r="G25" s="11" t="s">
        <v>52</v>
      </c>
      <c r="H25" s="11" t="s">
        <v>51</v>
      </c>
      <c r="I25" s="11" t="s">
        <v>44</v>
      </c>
      <c r="J25" s="11" t="s">
        <v>18</v>
      </c>
      <c r="K25" s="11" t="s">
        <v>19</v>
      </c>
      <c r="L25" s="11"/>
    </row>
    <row r="26">
      <c r="A26" s="11" t="s">
        <v>53</v>
      </c>
      <c r="B26" s="12" t="str">
        <f t="shared" si="0"/>
        <v xml:space="preserve"> LED터널용등기구 MT-TL-075 75W  </v>
      </c>
      <c r="C26" s="13">
        <v>374000</v>
      </c>
      <c r="D26" s="14" t="s">
        <v>21</v>
      </c>
      <c r="E26" s="11" t="s">
        <v>15</v>
      </c>
      <c r="F26" s="11"/>
      <c r="G26" s="11" t="s">
        <v>52</v>
      </c>
      <c r="H26" s="11" t="s">
        <v>53</v>
      </c>
      <c r="I26" s="11" t="s">
        <v>17</v>
      </c>
      <c r="J26" s="11" t="s">
        <v>18</v>
      </c>
      <c r="K26" s="11" t="s">
        <v>19</v>
      </c>
      <c r="L26" s="11"/>
    </row>
    <row r="27">
      <c r="A27" s="11" t="s">
        <v>54</v>
      </c>
      <c r="B27" s="12" t="str">
        <f t="shared" si="0"/>
        <v xml:space="preserve"> LED터널용등기구 MT-TL-100 100W  </v>
      </c>
      <c r="C27" s="13">
        <v>446000</v>
      </c>
      <c r="D27" s="14" t="s">
        <v>21</v>
      </c>
      <c r="E27" s="11" t="s">
        <v>15</v>
      </c>
      <c r="F27" s="11"/>
      <c r="G27" s="11" t="s">
        <v>52</v>
      </c>
      <c r="H27" s="11" t="s">
        <v>54</v>
      </c>
      <c r="I27" s="11" t="s">
        <v>22</v>
      </c>
      <c r="J27" s="11" t="s">
        <v>18</v>
      </c>
      <c r="K27" s="11" t="s">
        <v>19</v>
      </c>
      <c r="L27" s="11"/>
    </row>
    <row r="28">
      <c r="A28" s="11" t="s">
        <v>55</v>
      </c>
      <c r="B28" s="12" t="str">
        <f t="shared" si="0"/>
        <v xml:space="preserve"> LED터널용등기구 MT-TL-150 150W  </v>
      </c>
      <c r="C28" s="13">
        <v>503000</v>
      </c>
      <c r="D28" s="14" t="s">
        <v>21</v>
      </c>
      <c r="E28" s="11" t="s">
        <v>15</v>
      </c>
      <c r="F28" s="11"/>
      <c r="G28" s="11" t="s">
        <v>52</v>
      </c>
      <c r="H28" s="11" t="s">
        <v>55</v>
      </c>
      <c r="I28" s="11" t="s">
        <v>35</v>
      </c>
      <c r="J28" s="11" t="s">
        <v>18</v>
      </c>
      <c r="K28" s="11" t="s">
        <v>19</v>
      </c>
      <c r="L28" s="11"/>
    </row>
    <row r="29">
      <c r="A29" s="11" t="s">
        <v>56</v>
      </c>
      <c r="B29" s="12" t="str">
        <f t="shared" si="0"/>
        <v xml:space="preserve"> LED터널용등기구 MT-TLC-150 150W  </v>
      </c>
      <c r="C29" s="13">
        <v>586000</v>
      </c>
      <c r="D29" s="14" t="s">
        <v>21</v>
      </c>
      <c r="E29" s="11" t="s">
        <v>15</v>
      </c>
      <c r="F29" s="11"/>
      <c r="G29" s="11" t="s">
        <v>52</v>
      </c>
      <c r="H29" s="11" t="s">
        <v>56</v>
      </c>
      <c r="I29" s="11" t="s">
        <v>35</v>
      </c>
      <c r="J29" s="11" t="s">
        <v>18</v>
      </c>
      <c r="K29" s="11" t="s">
        <v>19</v>
      </c>
      <c r="L29" s="11"/>
    </row>
    <row r="30">
      <c r="A30" s="11" t="s">
        <v>57</v>
      </c>
      <c r="B30" s="12" t="str">
        <f t="shared" si="0"/>
        <v xml:space="preserve"> 태양광가로등 MTSOLAR-50A 50W  </v>
      </c>
      <c r="C30" s="13">
        <v>4250000</v>
      </c>
      <c r="D30" s="14" t="s">
        <v>58</v>
      </c>
      <c r="E30" s="11" t="s">
        <v>59</v>
      </c>
      <c r="F30" s="11"/>
      <c r="G30" s="11" t="s">
        <v>60</v>
      </c>
      <c r="H30" s="11" t="s">
        <v>57</v>
      </c>
      <c r="I30" s="11" t="s">
        <v>48</v>
      </c>
      <c r="J30" s="11" t="s">
        <v>18</v>
      </c>
      <c r="K30" s="11"/>
      <c r="L30" s="11"/>
    </row>
    <row r="31">
      <c r="A31" s="11" t="s">
        <v>61</v>
      </c>
      <c r="B31" s="12" t="str">
        <f t="shared" si="0"/>
        <v xml:space="preserve"> 태양광가로등 MTSOLAR-50B 50W  </v>
      </c>
      <c r="C31" s="13">
        <v>4950000</v>
      </c>
      <c r="D31" s="14" t="s">
        <v>58</v>
      </c>
      <c r="E31" s="11" t="s">
        <v>59</v>
      </c>
      <c r="F31" s="11"/>
      <c r="G31" s="11" t="s">
        <v>60</v>
      </c>
      <c r="H31" s="11" t="s">
        <v>61</v>
      </c>
      <c r="I31" s="11" t="s">
        <v>48</v>
      </c>
      <c r="J31" s="11" t="s">
        <v>18</v>
      </c>
      <c r="K31" s="11"/>
      <c r="L31" s="11"/>
    </row>
    <row r="32">
      <c r="A32" s="11" t="s">
        <v>62</v>
      </c>
      <c r="B32" s="12" t="str">
        <f t="shared" si="0"/>
        <v xml:space="preserve"> LED투광등기구 (부품)매그나텍 MT-VB 눈부심방지장치 </v>
      </c>
      <c r="C32" s="13">
        <v>250000</v>
      </c>
      <c r="D32" s="14" t="s">
        <v>63</v>
      </c>
      <c r="E32" s="11" t="s">
        <v>64</v>
      </c>
      <c r="F32" s="11"/>
      <c r="G32" s="11" t="s">
        <v>65</v>
      </c>
      <c r="H32" s="11" t="s">
        <v>66</v>
      </c>
      <c r="I32" s="11" t="s">
        <v>62</v>
      </c>
      <c r="J32" s="11" t="s">
        <v>18</v>
      </c>
      <c r="K32" s="11" t="s">
        <v>67</v>
      </c>
      <c r="L32" s="11"/>
    </row>
    <row r="33">
      <c r="A33" s="11" t="s">
        <v>68</v>
      </c>
      <c r="B33" s="12" t="str">
        <f t="shared" si="0"/>
        <v xml:space="preserve"> LED투광등기구 (부품)매그나텍 MT-VM 눈부심방지장치 </v>
      </c>
      <c r="C33" s="13">
        <v>200000</v>
      </c>
      <c r="D33" s="14" t="s">
        <v>63</v>
      </c>
      <c r="E33" s="11" t="s">
        <v>64</v>
      </c>
      <c r="F33" s="11"/>
      <c r="G33" s="11" t="s">
        <v>65</v>
      </c>
      <c r="H33" s="11" t="s">
        <v>66</v>
      </c>
      <c r="I33" s="11" t="s">
        <v>68</v>
      </c>
      <c r="J33" s="11" t="s">
        <v>18</v>
      </c>
      <c r="K33" s="11" t="s">
        <v>67</v>
      </c>
      <c r="L33" s="11"/>
    </row>
    <row r="34">
      <c r="A34" s="11" t="s">
        <v>69</v>
      </c>
      <c r="B34" s="12" t="str">
        <f t="shared" si="0"/>
        <v xml:space="preserve"> LED투광등기구 ARENA-200S 200W  </v>
      </c>
      <c r="C34" s="13">
        <v>1550000</v>
      </c>
      <c r="D34" s="14" t="s">
        <v>63</v>
      </c>
      <c r="E34" s="11" t="s">
        <v>64</v>
      </c>
      <c r="F34" s="11"/>
      <c r="G34" s="11" t="s">
        <v>65</v>
      </c>
      <c r="H34" s="11" t="s">
        <v>69</v>
      </c>
      <c r="I34" s="11" t="s">
        <v>70</v>
      </c>
      <c r="J34" s="11" t="s">
        <v>18</v>
      </c>
      <c r="K34" s="11" t="s">
        <v>19</v>
      </c>
      <c r="L34" s="11"/>
    </row>
    <row r="35">
      <c r="A35" s="11" t="s">
        <v>71</v>
      </c>
      <c r="B35" s="12" t="str">
        <f t="shared" si="0"/>
        <v xml:space="preserve"> LED투광등기구 ARENA(M)-200S 200W  </v>
      </c>
      <c r="C35" s="13">
        <v>1441460</v>
      </c>
      <c r="D35" s="14" t="s">
        <v>63</v>
      </c>
      <c r="E35" s="11" t="s">
        <v>64</v>
      </c>
      <c r="F35" s="11"/>
      <c r="G35" s="11" t="s">
        <v>65</v>
      </c>
      <c r="H35" s="11" t="s">
        <v>71</v>
      </c>
      <c r="I35" s="11" t="s">
        <v>70</v>
      </c>
      <c r="J35" s="11" t="s">
        <v>18</v>
      </c>
      <c r="K35" s="11"/>
      <c r="L35" s="11"/>
    </row>
    <row r="36">
      <c r="A36" s="11" t="s">
        <v>72</v>
      </c>
      <c r="B36" s="12" t="str">
        <f t="shared" si="0"/>
        <v xml:space="preserve"> LED투광등기구 ARENA-300S 300W  </v>
      </c>
      <c r="C36" s="13">
        <v>1950000</v>
      </c>
      <c r="D36" s="14" t="s">
        <v>63</v>
      </c>
      <c r="E36" s="11" t="s">
        <v>64</v>
      </c>
      <c r="F36" s="11"/>
      <c r="G36" s="11" t="s">
        <v>65</v>
      </c>
      <c r="H36" s="11" t="s">
        <v>72</v>
      </c>
      <c r="I36" s="11" t="s">
        <v>73</v>
      </c>
      <c r="J36" s="11" t="s">
        <v>18</v>
      </c>
      <c r="K36" s="11" t="s">
        <v>19</v>
      </c>
      <c r="L36" s="11"/>
    </row>
    <row r="37">
      <c r="A37" s="11" t="s">
        <v>74</v>
      </c>
      <c r="B37" s="12" t="str">
        <f t="shared" si="0"/>
        <v xml:space="preserve"> LED투광등기구 ARENA(X)-600 600W  </v>
      </c>
      <c r="C37" s="13">
        <v>2900000</v>
      </c>
      <c r="D37" s="14" t="s">
        <v>63</v>
      </c>
      <c r="E37" s="11" t="s">
        <v>64</v>
      </c>
      <c r="F37" s="11"/>
      <c r="G37" s="11" t="s">
        <v>65</v>
      </c>
      <c r="H37" s="11" t="s">
        <v>74</v>
      </c>
      <c r="I37" s="11" t="s">
        <v>75</v>
      </c>
      <c r="J37" s="11" t="s">
        <v>18</v>
      </c>
      <c r="K37" s="11"/>
      <c r="L37" s="11"/>
    </row>
    <row r="38">
      <c r="A38" s="11" t="s">
        <v>76</v>
      </c>
      <c r="B38" s="12" t="str">
        <f t="shared" si="0"/>
        <v xml:space="preserve"> LED투광등기구 ARENA-400(3000K) 400W  </v>
      </c>
      <c r="C38" s="13">
        <v>2370000</v>
      </c>
      <c r="D38" s="14" t="s">
        <v>63</v>
      </c>
      <c r="E38" s="11" t="s">
        <v>64</v>
      </c>
      <c r="F38" s="11"/>
      <c r="G38" s="11" t="s">
        <v>65</v>
      </c>
      <c r="H38" s="11" t="s">
        <v>76</v>
      </c>
      <c r="I38" s="11" t="s">
        <v>77</v>
      </c>
      <c r="J38" s="11" t="s">
        <v>18</v>
      </c>
      <c r="K38" s="11" t="s">
        <v>19</v>
      </c>
      <c r="L38" s="11"/>
    </row>
    <row r="39">
      <c r="A39" s="11" t="s">
        <v>78</v>
      </c>
      <c r="B39" s="12" t="str">
        <f t="shared" si="0"/>
        <v xml:space="preserve"> LED투광등기구 ARENA-400 400W  </v>
      </c>
      <c r="C39" s="13">
        <v>2380000</v>
      </c>
      <c r="D39" s="14" t="s">
        <v>63</v>
      </c>
      <c r="E39" s="11" t="s">
        <v>64</v>
      </c>
      <c r="F39" s="11"/>
      <c r="G39" s="11" t="s">
        <v>65</v>
      </c>
      <c r="H39" s="11" t="s">
        <v>78</v>
      </c>
      <c r="I39" s="11" t="s">
        <v>77</v>
      </c>
      <c r="J39" s="11" t="s">
        <v>18</v>
      </c>
      <c r="K39" s="11" t="s">
        <v>19</v>
      </c>
      <c r="L39" s="11"/>
    </row>
    <row r="40">
      <c r="A40" s="11" t="s">
        <v>79</v>
      </c>
      <c r="B40" s="12" t="str">
        <f t="shared" si="0"/>
        <v xml:space="preserve"> LED투광등기구 ARENA-400S 400W  </v>
      </c>
      <c r="C40" s="13">
        <v>2350000</v>
      </c>
      <c r="D40" s="14" t="s">
        <v>63</v>
      </c>
      <c r="E40" s="11" t="s">
        <v>64</v>
      </c>
      <c r="F40" s="11"/>
      <c r="G40" s="11" t="s">
        <v>65</v>
      </c>
      <c r="H40" s="11" t="s">
        <v>79</v>
      </c>
      <c r="I40" s="11" t="s">
        <v>77</v>
      </c>
      <c r="J40" s="11" t="s">
        <v>18</v>
      </c>
      <c r="K40" s="11" t="s">
        <v>19</v>
      </c>
      <c r="L40" s="11"/>
    </row>
    <row r="41">
      <c r="A41" s="11" t="s">
        <v>80</v>
      </c>
      <c r="B41" s="12" t="str">
        <f t="shared" si="0"/>
        <v xml:space="preserve"> LED투광등기구 ARENA(M)-300S 300W  </v>
      </c>
      <c r="C41" s="13">
        <v>1794000</v>
      </c>
      <c r="D41" s="14" t="s">
        <v>63</v>
      </c>
      <c r="E41" s="11" t="s">
        <v>64</v>
      </c>
      <c r="F41" s="11"/>
      <c r="G41" s="11" t="s">
        <v>65</v>
      </c>
      <c r="H41" s="11" t="s">
        <v>80</v>
      </c>
      <c r="I41" s="11" t="s">
        <v>81</v>
      </c>
      <c r="J41" s="11" t="s">
        <v>18</v>
      </c>
      <c r="K41" s="11"/>
      <c r="L41" s="11"/>
    </row>
    <row r="42">
      <c r="A42" s="11" t="s">
        <v>82</v>
      </c>
      <c r="B42" s="12" t="str">
        <f t="shared" si="0"/>
        <v xml:space="preserve"> LED투광등기구 ARENA(M)-400S 400W  </v>
      </c>
      <c r="C42" s="13">
        <v>2185490</v>
      </c>
      <c r="D42" s="14" t="s">
        <v>63</v>
      </c>
      <c r="E42" s="11" t="s">
        <v>64</v>
      </c>
      <c r="F42" s="11"/>
      <c r="G42" s="11" t="s">
        <v>65</v>
      </c>
      <c r="H42" s="11" t="s">
        <v>83</v>
      </c>
      <c r="I42" s="11" t="s">
        <v>77</v>
      </c>
      <c r="J42" s="11" t="s">
        <v>18</v>
      </c>
      <c r="K42" s="11"/>
      <c r="L42" s="11"/>
    </row>
    <row r="43">
      <c r="A43" s="11" t="s">
        <v>84</v>
      </c>
      <c r="B43" s="12" t="str">
        <f t="shared" si="0"/>
        <v xml:space="preserve"> LED투광등기구 ARENA(M)-400 400W  </v>
      </c>
      <c r="C43" s="13">
        <v>2208000</v>
      </c>
      <c r="D43" s="14" t="s">
        <v>63</v>
      </c>
      <c r="E43" s="11" t="s">
        <v>64</v>
      </c>
      <c r="F43" s="11"/>
      <c r="G43" s="11" t="s">
        <v>65</v>
      </c>
      <c r="H43" s="11" t="s">
        <v>84</v>
      </c>
      <c r="I43" s="11" t="s">
        <v>77</v>
      </c>
      <c r="J43" s="11" t="s">
        <v>18</v>
      </c>
      <c r="K43" s="11"/>
      <c r="L43" s="11"/>
    </row>
    <row r="44">
      <c r="A44" s="11" t="s">
        <v>85</v>
      </c>
      <c r="B44" s="12" t="str">
        <f t="shared" si="0"/>
        <v xml:space="preserve"> LED투광등기구 ARENA-500(3000K) 500W  </v>
      </c>
      <c r="C44" s="13">
        <v>2540000</v>
      </c>
      <c r="D44" s="14" t="s">
        <v>63</v>
      </c>
      <c r="E44" s="11" t="s">
        <v>64</v>
      </c>
      <c r="F44" s="11"/>
      <c r="G44" s="11" t="s">
        <v>65</v>
      </c>
      <c r="H44" s="11" t="s">
        <v>85</v>
      </c>
      <c r="I44" s="11" t="s">
        <v>86</v>
      </c>
      <c r="J44" s="11" t="s">
        <v>18</v>
      </c>
      <c r="K44" s="11" t="s">
        <v>19</v>
      </c>
      <c r="L44" s="11"/>
    </row>
    <row r="45">
      <c r="A45" s="11" t="s">
        <v>87</v>
      </c>
      <c r="B45" s="12" t="str">
        <f t="shared" si="0"/>
        <v xml:space="preserve"> LED투광등기구 ARENA(M)-500, 500W  </v>
      </c>
      <c r="C45" s="13">
        <v>2530000</v>
      </c>
      <c r="D45" s="14" t="s">
        <v>63</v>
      </c>
      <c r="E45" s="11" t="s">
        <v>64</v>
      </c>
      <c r="F45" s="11"/>
      <c r="G45" s="11" t="s">
        <v>65</v>
      </c>
      <c r="H45" s="11" t="s">
        <v>87</v>
      </c>
      <c r="I45" s="11" t="s">
        <v>86</v>
      </c>
      <c r="J45" s="11" t="s">
        <v>18</v>
      </c>
      <c r="K45" s="11"/>
      <c r="L45" s="11"/>
    </row>
    <row r="46">
      <c r="A46" s="11" t="s">
        <v>88</v>
      </c>
      <c r="B46" s="12" t="str">
        <f t="shared" si="0"/>
        <v xml:space="preserve"> LED투광등기구 ARENA-500 500W  </v>
      </c>
      <c r="C46" s="13">
        <v>2540000</v>
      </c>
      <c r="D46" s="14" t="s">
        <v>63</v>
      </c>
      <c r="E46" s="11" t="s">
        <v>64</v>
      </c>
      <c r="F46" s="11"/>
      <c r="G46" s="11" t="s">
        <v>65</v>
      </c>
      <c r="H46" s="11" t="s">
        <v>88</v>
      </c>
      <c r="I46" s="11" t="s">
        <v>86</v>
      </c>
      <c r="J46" s="11" t="s">
        <v>18</v>
      </c>
      <c r="K46" s="11" t="s">
        <v>19</v>
      </c>
      <c r="L46" s="11"/>
    </row>
    <row r="47">
      <c r="A47" s="11" t="s">
        <v>89</v>
      </c>
      <c r="B47" s="12" t="str">
        <f t="shared" si="0"/>
        <v xml:space="preserve"> LED투광등기구 ARENA-600(3000K) 600W  </v>
      </c>
      <c r="C47" s="13">
        <v>2950000</v>
      </c>
      <c r="D47" s="14" t="s">
        <v>63</v>
      </c>
      <c r="E47" s="11" t="s">
        <v>64</v>
      </c>
      <c r="F47" s="11"/>
      <c r="G47" s="11" t="s">
        <v>65</v>
      </c>
      <c r="H47" s="11" t="s">
        <v>89</v>
      </c>
      <c r="I47" s="11" t="s">
        <v>90</v>
      </c>
      <c r="J47" s="11" t="s">
        <v>18</v>
      </c>
      <c r="K47" s="11" t="s">
        <v>19</v>
      </c>
      <c r="L47" s="11"/>
    </row>
    <row r="48">
      <c r="A48" s="11" t="s">
        <v>91</v>
      </c>
      <c r="B48" s="12" t="str">
        <f t="shared" si="0"/>
        <v xml:space="preserve"> LED투광등기구 ARENA-600 600W  </v>
      </c>
      <c r="C48" s="13">
        <v>2950000</v>
      </c>
      <c r="D48" s="14" t="s">
        <v>63</v>
      </c>
      <c r="E48" s="11" t="s">
        <v>64</v>
      </c>
      <c r="F48" s="11"/>
      <c r="G48" s="11" t="s">
        <v>65</v>
      </c>
      <c r="H48" s="11" t="s">
        <v>91</v>
      </c>
      <c r="I48" s="11" t="s">
        <v>90</v>
      </c>
      <c r="J48" s="11" t="s">
        <v>18</v>
      </c>
      <c r="K48" s="11" t="s">
        <v>19</v>
      </c>
      <c r="L48" s="11"/>
    </row>
    <row r="49">
      <c r="A49" s="11" t="s">
        <v>92</v>
      </c>
      <c r="B49" s="12" t="str">
        <f t="shared" si="0"/>
        <v xml:space="preserve"> LED투광등기구 ARENA-600 600W  </v>
      </c>
      <c r="C49" s="13">
        <v>2852000</v>
      </c>
      <c r="D49" s="14" t="s">
        <v>63</v>
      </c>
      <c r="E49" s="11" t="s">
        <v>64</v>
      </c>
      <c r="F49" s="11"/>
      <c r="G49" s="11" t="s">
        <v>65</v>
      </c>
      <c r="H49" s="11" t="s">
        <v>91</v>
      </c>
      <c r="I49" s="11" t="s">
        <v>90</v>
      </c>
      <c r="J49" s="11" t="s">
        <v>18</v>
      </c>
      <c r="K49" s="11"/>
      <c r="L49" s="11"/>
    </row>
    <row r="50">
      <c r="A50" s="11" t="s">
        <v>93</v>
      </c>
      <c r="B50" s="12" t="str">
        <f t="shared" si="0"/>
        <v xml:space="preserve"> LED투광등기구 ARENA-800(3000K) 800W  </v>
      </c>
      <c r="C50" s="13">
        <v>3160000</v>
      </c>
      <c r="D50" s="14" t="s">
        <v>63</v>
      </c>
      <c r="E50" s="11" t="s">
        <v>64</v>
      </c>
      <c r="F50" s="11"/>
      <c r="G50" s="11" t="s">
        <v>65</v>
      </c>
      <c r="H50" s="11" t="s">
        <v>93</v>
      </c>
      <c r="I50" s="11" t="s">
        <v>94</v>
      </c>
      <c r="J50" s="11" t="s">
        <v>18</v>
      </c>
      <c r="K50" s="11" t="s">
        <v>19</v>
      </c>
      <c r="L50" s="11"/>
    </row>
    <row r="51">
      <c r="A51" s="11" t="s">
        <v>95</v>
      </c>
      <c r="B51" s="12" t="str">
        <f>IF($G51="","-",CONCATENATE(F51," ",G51," ",H51," ",I51," ",K51," ",L51))</f>
        <v xml:space="preserve"> LED투광등기구 ARENA(X)-800 800W  </v>
      </c>
      <c r="C51" s="3">
        <v>3100000</v>
      </c>
      <c r="D51" s="14" t="s">
        <v>63</v>
      </c>
      <c r="E51" s="1" t="s">
        <v>64</v>
      </c>
      <c r="F51" s="11"/>
      <c r="G51" s="1" t="s">
        <v>65</v>
      </c>
      <c r="H51" s="11" t="s">
        <v>95</v>
      </c>
      <c r="I51" s="1" t="s">
        <v>96</v>
      </c>
      <c r="J51" s="11" t="s">
        <v>18</v>
      </c>
      <c r="K51" s="1" t="s">
        <v>19</v>
      </c>
      <c r="L51" s="11"/>
    </row>
    <row r="52">
      <c r="A52" s="11" t="s">
        <v>97</v>
      </c>
      <c r="B52" s="12" t="str">
        <f t="shared" si="0"/>
        <v xml:space="preserve"> LED투광등기구 ARENA-800 800W  </v>
      </c>
      <c r="C52" s="13">
        <v>3160000</v>
      </c>
      <c r="D52" s="14" t="s">
        <v>63</v>
      </c>
      <c r="E52" s="11" t="s">
        <v>64</v>
      </c>
      <c r="F52" s="11"/>
      <c r="G52" s="11" t="s">
        <v>65</v>
      </c>
      <c r="H52" s="11" t="s">
        <v>97</v>
      </c>
      <c r="I52" s="11" t="s">
        <v>94</v>
      </c>
      <c r="J52" s="11" t="s">
        <v>18</v>
      </c>
      <c r="K52" s="11" t="s">
        <v>19</v>
      </c>
      <c r="L52" s="11"/>
    </row>
    <row r="53">
      <c r="A53" s="11" t="s">
        <v>98</v>
      </c>
      <c r="B53" s="12" t="str">
        <f t="shared" si="0"/>
        <v xml:space="preserve"> LED투광등기구 BATOO-1000 1000W  </v>
      </c>
      <c r="C53" s="13">
        <v>3800000</v>
      </c>
      <c r="D53" s="14" t="s">
        <v>63</v>
      </c>
      <c r="E53" s="11" t="s">
        <v>64</v>
      </c>
      <c r="F53" s="11"/>
      <c r="G53" s="11" t="s">
        <v>65</v>
      </c>
      <c r="H53" s="11" t="s">
        <v>98</v>
      </c>
      <c r="I53" s="11" t="s">
        <v>99</v>
      </c>
      <c r="J53" s="11" t="s">
        <v>18</v>
      </c>
      <c r="K53" s="11" t="s">
        <v>19</v>
      </c>
      <c r="L53" s="11"/>
    </row>
    <row r="54">
      <c r="A54" s="11" t="s">
        <v>100</v>
      </c>
      <c r="B54" s="12" t="str">
        <f t="shared" si="0"/>
        <v xml:space="preserve"> LED투광등기구 BATOO-1200 1200W  </v>
      </c>
      <c r="C54" s="13">
        <v>4410000</v>
      </c>
      <c r="D54" s="14" t="s">
        <v>63</v>
      </c>
      <c r="E54" s="11" t="s">
        <v>64</v>
      </c>
      <c r="F54" s="11"/>
      <c r="G54" s="11" t="s">
        <v>65</v>
      </c>
      <c r="H54" s="11" t="s">
        <v>100</v>
      </c>
      <c r="I54" s="11" t="s">
        <v>101</v>
      </c>
      <c r="J54" s="11" t="s">
        <v>18</v>
      </c>
      <c r="K54" s="11" t="s">
        <v>19</v>
      </c>
      <c r="L54" s="11"/>
    </row>
    <row r="55">
      <c r="A55" s="11" t="s">
        <v>102</v>
      </c>
      <c r="B55" s="12" t="str">
        <f t="shared" si="0"/>
        <v xml:space="preserve"> LED투광등기구 BATOO-200 200W  </v>
      </c>
      <c r="C55" s="13">
        <v>1330000</v>
      </c>
      <c r="D55" s="14" t="s">
        <v>63</v>
      </c>
      <c r="E55" s="11" t="s">
        <v>64</v>
      </c>
      <c r="F55" s="11"/>
      <c r="G55" s="11" t="s">
        <v>65</v>
      </c>
      <c r="H55" s="11" t="s">
        <v>102</v>
      </c>
      <c r="I55" s="11" t="s">
        <v>70</v>
      </c>
      <c r="J55" s="11" t="s">
        <v>18</v>
      </c>
      <c r="K55" s="11" t="s">
        <v>19</v>
      </c>
      <c r="L55" s="11"/>
    </row>
    <row r="56">
      <c r="A56" s="11" t="s">
        <v>103</v>
      </c>
      <c r="B56" s="12" t="str">
        <f t="shared" si="0"/>
        <v xml:space="preserve"> LED투광등기구 BATOO-300 300W  </v>
      </c>
      <c r="C56" s="13">
        <v>1720000</v>
      </c>
      <c r="D56" s="14" t="s">
        <v>63</v>
      </c>
      <c r="E56" s="11" t="s">
        <v>64</v>
      </c>
      <c r="F56" s="11"/>
      <c r="G56" s="11" t="s">
        <v>65</v>
      </c>
      <c r="H56" s="11" t="s">
        <v>103</v>
      </c>
      <c r="I56" s="11" t="s">
        <v>73</v>
      </c>
      <c r="J56" s="11" t="s">
        <v>18</v>
      </c>
      <c r="K56" s="11" t="s">
        <v>19</v>
      </c>
      <c r="L56" s="11"/>
    </row>
    <row r="57">
      <c r="A57" s="11" t="s">
        <v>104</v>
      </c>
      <c r="B57" s="12" t="str">
        <f t="shared" si="0"/>
        <v xml:space="preserve"> LED투광등기구 BATOO-400 400W  </v>
      </c>
      <c r="C57" s="13">
        <v>2320000</v>
      </c>
      <c r="D57" s="14" t="s">
        <v>63</v>
      </c>
      <c r="E57" s="11" t="s">
        <v>64</v>
      </c>
      <c r="F57" s="11"/>
      <c r="G57" s="11" t="s">
        <v>65</v>
      </c>
      <c r="H57" s="11" t="s">
        <v>104</v>
      </c>
      <c r="I57" s="11" t="s">
        <v>77</v>
      </c>
      <c r="J57" s="11" t="s">
        <v>18</v>
      </c>
      <c r="K57" s="11" t="s">
        <v>19</v>
      </c>
      <c r="L57" s="11"/>
    </row>
    <row r="58">
      <c r="A58" s="11" t="s">
        <v>105</v>
      </c>
      <c r="B58" s="12" t="str">
        <f t="shared" si="0"/>
        <v xml:space="preserve"> LED투광등기구 BATOO-600 600W  </v>
      </c>
      <c r="C58" s="13">
        <v>2660000</v>
      </c>
      <c r="D58" s="14" t="s">
        <v>63</v>
      </c>
      <c r="E58" s="11" t="s">
        <v>64</v>
      </c>
      <c r="F58" s="11"/>
      <c r="G58" s="11" t="s">
        <v>65</v>
      </c>
      <c r="H58" s="11" t="s">
        <v>105</v>
      </c>
      <c r="I58" s="11" t="s">
        <v>90</v>
      </c>
      <c r="J58" s="11" t="s">
        <v>18</v>
      </c>
      <c r="K58" s="11" t="s">
        <v>19</v>
      </c>
      <c r="L58" s="11"/>
    </row>
    <row r="59">
      <c r="A59" s="11" t="s">
        <v>106</v>
      </c>
      <c r="B59" s="12" t="str">
        <f t="shared" si="0"/>
        <v xml:space="preserve"> LED투광등기구 BATOO-800 800W  </v>
      </c>
      <c r="C59" s="13">
        <v>3040000</v>
      </c>
      <c r="D59" s="14" t="s">
        <v>63</v>
      </c>
      <c r="E59" s="11" t="s">
        <v>64</v>
      </c>
      <c r="F59" s="11"/>
      <c r="G59" s="11" t="s">
        <v>65</v>
      </c>
      <c r="H59" s="11" t="s">
        <v>106</v>
      </c>
      <c r="I59" s="11" t="s">
        <v>94</v>
      </c>
      <c r="J59" s="11" t="s">
        <v>18</v>
      </c>
      <c r="K59" s="11" t="s">
        <v>19</v>
      </c>
      <c r="L59" s="11"/>
    </row>
    <row r="60">
      <c r="A60" s="11" t="s">
        <v>107</v>
      </c>
      <c r="B60" s="12" t="str">
        <f t="shared" si="0"/>
        <v xml:space="preserve"> LED투광등기구 MT-FL-1200A 1200W  </v>
      </c>
      <c r="C60" s="13">
        <v>3900000</v>
      </c>
      <c r="D60" s="14" t="s">
        <v>63</v>
      </c>
      <c r="E60" s="11" t="s">
        <v>64</v>
      </c>
      <c r="F60" s="11"/>
      <c r="G60" s="11" t="s">
        <v>65</v>
      </c>
      <c r="H60" s="11" t="s">
        <v>107</v>
      </c>
      <c r="I60" s="11" t="s">
        <v>101</v>
      </c>
      <c r="J60" s="11" t="s">
        <v>18</v>
      </c>
      <c r="K60" s="11" t="s">
        <v>19</v>
      </c>
      <c r="L60" s="11"/>
    </row>
    <row r="61">
      <c r="A61" s="11" t="s">
        <v>108</v>
      </c>
      <c r="B61" s="12" t="str">
        <f t="shared" si="0"/>
        <v xml:space="preserve"> LED투광등기구 MT-FL-1000A 1000W  </v>
      </c>
      <c r="C61" s="13">
        <v>3600000</v>
      </c>
      <c r="D61" s="14" t="s">
        <v>63</v>
      </c>
      <c r="E61" s="11" t="s">
        <v>64</v>
      </c>
      <c r="F61" s="11"/>
      <c r="G61" s="11" t="s">
        <v>65</v>
      </c>
      <c r="H61" s="11" t="s">
        <v>108</v>
      </c>
      <c r="I61" s="11" t="s">
        <v>109</v>
      </c>
      <c r="J61" s="11" t="s">
        <v>18</v>
      </c>
      <c r="K61" s="11"/>
      <c r="L61" s="11"/>
    </row>
    <row r="62">
      <c r="A62" s="11" t="s">
        <v>110</v>
      </c>
      <c r="B62" s="12" t="str">
        <f t="shared" si="0"/>
        <v xml:space="preserve"> LED투광등기구 MT-FL-300A 300W  </v>
      </c>
      <c r="C62" s="13">
        <v>1800000</v>
      </c>
      <c r="D62" s="14" t="s">
        <v>63</v>
      </c>
      <c r="E62" s="11" t="s">
        <v>64</v>
      </c>
      <c r="F62" s="11"/>
      <c r="G62" s="11" t="s">
        <v>65</v>
      </c>
      <c r="H62" s="11" t="s">
        <v>110</v>
      </c>
      <c r="I62" s="11" t="s">
        <v>73</v>
      </c>
      <c r="J62" s="11" t="s">
        <v>18</v>
      </c>
      <c r="K62" s="11" t="s">
        <v>19</v>
      </c>
      <c r="L62" s="11"/>
    </row>
    <row r="63">
      <c r="A63" s="11" t="s">
        <v>111</v>
      </c>
      <c r="B63" s="12" t="str">
        <f t="shared" si="0"/>
        <v xml:space="preserve"> LED투광등기구 MT-FL-400S 400W  </v>
      </c>
      <c r="C63" s="13">
        <v>1800000</v>
      </c>
      <c r="D63" s="14" t="s">
        <v>63</v>
      </c>
      <c r="E63" s="11" t="s">
        <v>64</v>
      </c>
      <c r="F63" s="11"/>
      <c r="G63" s="11" t="s">
        <v>65</v>
      </c>
      <c r="H63" s="11" t="s">
        <v>111</v>
      </c>
      <c r="I63" s="11" t="s">
        <v>77</v>
      </c>
      <c r="J63" s="11" t="s">
        <v>18</v>
      </c>
      <c r="K63" s="11" t="s">
        <v>19</v>
      </c>
      <c r="L63" s="11"/>
    </row>
    <row r="64">
      <c r="A64" s="11" t="s">
        <v>112</v>
      </c>
      <c r="B64" s="12" t="str">
        <f t="shared" si="0"/>
        <v xml:space="preserve"> LED투광등기구 MT-FL-600A 600W  </v>
      </c>
      <c r="C64" s="13">
        <v>2800000</v>
      </c>
      <c r="D64" s="14" t="s">
        <v>63</v>
      </c>
      <c r="E64" s="11" t="s">
        <v>64</v>
      </c>
      <c r="F64" s="11"/>
      <c r="G64" s="11" t="s">
        <v>65</v>
      </c>
      <c r="H64" s="11" t="s">
        <v>112</v>
      </c>
      <c r="I64" s="11" t="s">
        <v>90</v>
      </c>
      <c r="J64" s="11" t="s">
        <v>18</v>
      </c>
      <c r="K64" s="11" t="s">
        <v>19</v>
      </c>
      <c r="L64" s="11"/>
    </row>
    <row r="65">
      <c r="A65" s="11" t="s">
        <v>113</v>
      </c>
      <c r="B65" s="12" t="str">
        <f t="shared" si="0"/>
        <v xml:space="preserve"> LED투광등기구 MT-FL-800A 800W  </v>
      </c>
      <c r="C65" s="13">
        <v>3000000</v>
      </c>
      <c r="D65" s="14" t="s">
        <v>63</v>
      </c>
      <c r="E65" s="11" t="s">
        <v>64</v>
      </c>
      <c r="F65" s="11"/>
      <c r="G65" s="11" t="s">
        <v>65</v>
      </c>
      <c r="H65" s="11" t="s">
        <v>113</v>
      </c>
      <c r="I65" s="11" t="s">
        <v>94</v>
      </c>
      <c r="J65" s="11" t="s">
        <v>18</v>
      </c>
      <c r="K65" s="11" t="s">
        <v>19</v>
      </c>
      <c r="L65" s="11"/>
    </row>
    <row r="66">
      <c r="A66" s="11" t="s">
        <v>114</v>
      </c>
      <c r="B66" s="12" t="str">
        <f t="shared" si="0"/>
        <v xml:space="preserve"> LED투광등기구 STA(M)-1000 1000W  </v>
      </c>
      <c r="C66" s="13">
        <v>4500000</v>
      </c>
      <c r="D66" s="14" t="s">
        <v>63</v>
      </c>
      <c r="E66" s="11" t="s">
        <v>64</v>
      </c>
      <c r="F66" s="11"/>
      <c r="G66" s="11" t="s">
        <v>65</v>
      </c>
      <c r="H66" s="11" t="s">
        <v>114</v>
      </c>
      <c r="I66" s="11" t="s">
        <v>99</v>
      </c>
      <c r="J66" s="11" t="s">
        <v>18</v>
      </c>
      <c r="K66" s="11" t="s">
        <v>19</v>
      </c>
      <c r="L66" s="11"/>
    </row>
    <row r="67">
      <c r="A67" s="11" t="s">
        <v>115</v>
      </c>
      <c r="B67" s="12" t="str">
        <f t="shared" si="0"/>
        <v xml:space="preserve"> LED투광등기구 STA(M)-1200 1200W  </v>
      </c>
      <c r="C67" s="13">
        <v>4900000</v>
      </c>
      <c r="D67" s="14" t="s">
        <v>63</v>
      </c>
      <c r="E67" s="11" t="s">
        <v>64</v>
      </c>
      <c r="F67" s="11"/>
      <c r="G67" s="11" t="s">
        <v>65</v>
      </c>
      <c r="H67" s="11" t="s">
        <v>115</v>
      </c>
      <c r="I67" s="11" t="s">
        <v>101</v>
      </c>
      <c r="J67" s="11" t="s">
        <v>18</v>
      </c>
      <c r="K67" s="11" t="s">
        <v>19</v>
      </c>
      <c r="L67" s="11"/>
    </row>
    <row r="68">
      <c r="A68" s="11" t="s">
        <v>116</v>
      </c>
      <c r="B68" s="12" t="str">
        <f t="shared" si="0"/>
        <v xml:space="preserve"> LED투광등기구 STA(M)-1500 1500W  </v>
      </c>
      <c r="C68" s="13">
        <v>5200000</v>
      </c>
      <c r="D68" s="14" t="s">
        <v>63</v>
      </c>
      <c r="E68" s="11" t="s">
        <v>64</v>
      </c>
      <c r="F68" s="11"/>
      <c r="G68" s="11" t="s">
        <v>65</v>
      </c>
      <c r="H68" s="11" t="s">
        <v>116</v>
      </c>
      <c r="I68" s="11" t="s">
        <v>117</v>
      </c>
      <c r="J68" s="11" t="s">
        <v>18</v>
      </c>
      <c r="K68" s="11" t="s">
        <v>19</v>
      </c>
      <c r="L68" s="11"/>
    </row>
    <row r="69">
      <c r="A69" s="11" t="s">
        <v>118</v>
      </c>
      <c r="B69" s="12" t="str">
        <f t="shared" si="0"/>
        <v xml:space="preserve"> LED투광등기구 STA-400 400W  </v>
      </c>
      <c r="C69" s="13">
        <v>2700000</v>
      </c>
      <c r="D69" s="14" t="s">
        <v>63</v>
      </c>
      <c r="E69" s="11" t="s">
        <v>64</v>
      </c>
      <c r="F69" s="11"/>
      <c r="G69" s="11" t="s">
        <v>65</v>
      </c>
      <c r="H69" s="11" t="s">
        <v>118</v>
      </c>
      <c r="I69" s="11" t="s">
        <v>77</v>
      </c>
      <c r="J69" s="11" t="s">
        <v>18</v>
      </c>
      <c r="K69" s="11"/>
      <c r="L69" s="11"/>
    </row>
    <row r="70">
      <c r="A70" s="11" t="s">
        <v>119</v>
      </c>
      <c r="B70" s="12" t="str">
        <f t="shared" si="0"/>
        <v xml:space="preserve"> LED투광등기구 STA-600 600W  </v>
      </c>
      <c r="C70" s="13">
        <v>3200000</v>
      </c>
      <c r="D70" s="14" t="s">
        <v>63</v>
      </c>
      <c r="E70" s="11" t="s">
        <v>64</v>
      </c>
      <c r="F70" s="11"/>
      <c r="G70" s="11" t="s">
        <v>65</v>
      </c>
      <c r="H70" s="11" t="s">
        <v>119</v>
      </c>
      <c r="I70" s="11" t="s">
        <v>90</v>
      </c>
      <c r="J70" s="11" t="s">
        <v>18</v>
      </c>
      <c r="K70" s="11"/>
      <c r="L70" s="11"/>
    </row>
    <row r="71">
      <c r="A71" s="11" t="s">
        <v>120</v>
      </c>
      <c r="B71" s="12" t="str">
        <f t="shared" si="0"/>
        <v xml:space="preserve"> LED투광등기구 STA-800 800W  </v>
      </c>
      <c r="C71" s="13">
        <v>3600000</v>
      </c>
      <c r="D71" s="14" t="s">
        <v>63</v>
      </c>
      <c r="E71" s="11" t="s">
        <v>64</v>
      </c>
      <c r="F71" s="11"/>
      <c r="G71" s="11" t="s">
        <v>65</v>
      </c>
      <c r="H71" s="11" t="s">
        <v>120</v>
      </c>
      <c r="I71" s="11" t="s">
        <v>96</v>
      </c>
      <c r="J71" s="11" t="s">
        <v>18</v>
      </c>
      <c r="K71" s="11"/>
      <c r="L71" s="11"/>
    </row>
    <row r="72">
      <c r="A72" s="11" t="s">
        <v>121</v>
      </c>
      <c r="B72" s="12" t="str">
        <f t="shared" ref="B72:B135" si="1">IF($G72="","-",CONCATENATE(F72," ",G72," ",H72," ",I72," ",K72," ",L72))</f>
        <v xml:space="preserve"> LED투광등기구 STA-1000 1000W  </v>
      </c>
      <c r="C72" s="13">
        <v>4200000</v>
      </c>
      <c r="D72" s="14" t="s">
        <v>63</v>
      </c>
      <c r="E72" s="11" t="s">
        <v>64</v>
      </c>
      <c r="F72" s="11"/>
      <c r="G72" s="11" t="s">
        <v>65</v>
      </c>
      <c r="H72" s="11" t="s">
        <v>121</v>
      </c>
      <c r="I72" s="11" t="s">
        <v>99</v>
      </c>
      <c r="J72" s="11" t="s">
        <v>18</v>
      </c>
      <c r="K72" s="11" t="s">
        <v>19</v>
      </c>
      <c r="L72" s="11"/>
    </row>
    <row r="73">
      <c r="A73" s="11" t="s">
        <v>122</v>
      </c>
      <c r="B73" s="12" t="str">
        <f t="shared" si="1"/>
        <v xml:space="preserve"> LED투광등기구 STA-1200 1200W  </v>
      </c>
      <c r="C73" s="13">
        <v>4600000</v>
      </c>
      <c r="D73" s="14" t="s">
        <v>63</v>
      </c>
      <c r="E73" s="11" t="s">
        <v>64</v>
      </c>
      <c r="F73" s="11"/>
      <c r="G73" s="11" t="s">
        <v>65</v>
      </c>
      <c r="H73" s="11" t="s">
        <v>122</v>
      </c>
      <c r="I73" s="11" t="s">
        <v>101</v>
      </c>
      <c r="J73" s="11" t="s">
        <v>18</v>
      </c>
      <c r="K73" s="11" t="s">
        <v>19</v>
      </c>
      <c r="L73" s="11"/>
    </row>
    <row r="74">
      <c r="A74" s="11" t="s">
        <v>123</v>
      </c>
      <c r="B74" s="12" t="str">
        <f t="shared" si="1"/>
        <v xml:space="preserve"> LED투광등기구 STA-1500 1500W  </v>
      </c>
      <c r="C74" s="13">
        <v>4900000</v>
      </c>
      <c r="D74" s="14" t="s">
        <v>63</v>
      </c>
      <c r="E74" s="11" t="s">
        <v>64</v>
      </c>
      <c r="F74" s="11"/>
      <c r="G74" s="11" t="s">
        <v>65</v>
      </c>
      <c r="H74" s="11" t="s">
        <v>123</v>
      </c>
      <c r="I74" s="11" t="s">
        <v>117</v>
      </c>
      <c r="J74" s="11" t="s">
        <v>18</v>
      </c>
      <c r="K74" s="11" t="s">
        <v>19</v>
      </c>
      <c r="L74" s="11"/>
    </row>
    <row r="75">
      <c r="A75" s="15" t="s">
        <v>124</v>
      </c>
      <c r="B75" s="12" t="str">
        <f>IF($G75="","-",CONCATENATE(F75," ",G75," ",H75," ",I75," ",K75," ",L75))</f>
        <v xml:space="preserve"> LED투광등기구 STA(X)-1200 1200W  </v>
      </c>
      <c r="C75" s="13">
        <v>4850000</v>
      </c>
      <c r="D75" s="16" t="s">
        <v>125</v>
      </c>
      <c r="E75" s="1" t="s">
        <v>64</v>
      </c>
      <c r="F75" s="11"/>
      <c r="G75" s="1" t="s">
        <v>65</v>
      </c>
      <c r="H75" s="11" t="s">
        <v>124</v>
      </c>
      <c r="I75" s="1" t="s">
        <v>101</v>
      </c>
      <c r="J75" s="11" t="s">
        <v>18</v>
      </c>
      <c r="K75" s="11"/>
      <c r="L75" s="11"/>
    </row>
    <row r="76">
      <c r="A76" s="11" t="s">
        <v>126</v>
      </c>
      <c r="B76" s="12" t="str">
        <f t="shared" si="1"/>
        <v xml:space="preserve"> 가로등주부속자재 MTPS-701 베이스커버  </v>
      </c>
      <c r="C76" s="13">
        <v>61000</v>
      </c>
      <c r="D76" s="14" t="s">
        <v>127</v>
      </c>
      <c r="E76" s="11" t="s">
        <v>128</v>
      </c>
      <c r="F76" s="11"/>
      <c r="G76" s="11" t="s">
        <v>129</v>
      </c>
      <c r="H76" s="11" t="s">
        <v>126</v>
      </c>
      <c r="I76" s="11" t="s">
        <v>130</v>
      </c>
      <c r="J76" s="11" t="s">
        <v>18</v>
      </c>
      <c r="K76" s="11" t="s">
        <v>19</v>
      </c>
      <c r="L76" s="11"/>
    </row>
    <row r="77">
      <c r="A77" s="11" t="s">
        <v>131</v>
      </c>
      <c r="B77" s="12" t="str">
        <f t="shared" si="1"/>
        <v xml:space="preserve"> 가로등주부속자재 MTPS-702 배너걸이  </v>
      </c>
      <c r="C77" s="13">
        <v>51000</v>
      </c>
      <c r="D77" s="14" t="s">
        <v>127</v>
      </c>
      <c r="E77" s="11" t="s">
        <v>128</v>
      </c>
      <c r="F77" s="11"/>
      <c r="G77" s="11" t="s">
        <v>129</v>
      </c>
      <c r="H77" s="11" t="s">
        <v>131</v>
      </c>
      <c r="I77" s="11" t="s">
        <v>132</v>
      </c>
      <c r="J77" s="11" t="s">
        <v>18</v>
      </c>
      <c r="K77" s="11" t="s">
        <v>19</v>
      </c>
      <c r="L77" s="11"/>
    </row>
    <row r="78">
      <c r="A78" s="11" t="s">
        <v>133</v>
      </c>
      <c r="B78" s="12" t="str">
        <f t="shared" si="1"/>
        <v xml:space="preserve"> 가로등주부속자재 MTPS-703 심볼판  </v>
      </c>
      <c r="C78" s="13">
        <v>70000</v>
      </c>
      <c r="D78" s="14" t="s">
        <v>127</v>
      </c>
      <c r="E78" s="11" t="s">
        <v>128</v>
      </c>
      <c r="F78" s="11"/>
      <c r="G78" s="11" t="s">
        <v>129</v>
      </c>
      <c r="H78" s="11" t="s">
        <v>133</v>
      </c>
      <c r="I78" s="11" t="s">
        <v>134</v>
      </c>
      <c r="J78" s="11" t="s">
        <v>18</v>
      </c>
      <c r="K78" s="11" t="s">
        <v>19</v>
      </c>
      <c r="L78" s="11"/>
    </row>
    <row r="79">
      <c r="A79" s="11" t="s">
        <v>135</v>
      </c>
      <c r="B79" s="12" t="str">
        <f t="shared" si="1"/>
        <v xml:space="preserve"> 가로등주부속자재 MTPS-704 보행자암  </v>
      </c>
      <c r="C79" s="13">
        <v>211000</v>
      </c>
      <c r="D79" s="14" t="s">
        <v>127</v>
      </c>
      <c r="E79" s="11" t="s">
        <v>128</v>
      </c>
      <c r="F79" s="11"/>
      <c r="G79" s="11" t="s">
        <v>129</v>
      </c>
      <c r="H79" s="11" t="s">
        <v>135</v>
      </c>
      <c r="I79" s="11" t="s">
        <v>136</v>
      </c>
      <c r="J79" s="11" t="s">
        <v>18</v>
      </c>
      <c r="K79" s="11" t="s">
        <v>19</v>
      </c>
      <c r="L79" s="11"/>
    </row>
    <row r="80">
      <c r="A80" s="11" t="s">
        <v>137</v>
      </c>
      <c r="B80" s="12" t="str">
        <f t="shared" si="1"/>
        <v xml:space="preserve"> 가로등주부속자재 MTPS-705 보행자암  </v>
      </c>
      <c r="C80" s="13">
        <v>166000</v>
      </c>
      <c r="D80" s="14" t="s">
        <v>127</v>
      </c>
      <c r="E80" s="11" t="s">
        <v>128</v>
      </c>
      <c r="F80" s="11"/>
      <c r="G80" s="11" t="s">
        <v>129</v>
      </c>
      <c r="H80" s="11" t="s">
        <v>137</v>
      </c>
      <c r="I80" s="11" t="s">
        <v>136</v>
      </c>
      <c r="J80" s="11" t="s">
        <v>18</v>
      </c>
      <c r="K80" s="11" t="s">
        <v>19</v>
      </c>
      <c r="L80" s="11"/>
    </row>
    <row r="81">
      <c r="A81" s="11" t="s">
        <v>138</v>
      </c>
      <c r="B81" s="12" t="str">
        <f t="shared" si="1"/>
        <v xml:space="preserve"> 가로등주부속자재 MTPS-706 스테인리스보행자암  </v>
      </c>
      <c r="C81" s="13">
        <v>314000</v>
      </c>
      <c r="D81" s="14" t="s">
        <v>127</v>
      </c>
      <c r="E81" s="11" t="s">
        <v>128</v>
      </c>
      <c r="F81" s="11"/>
      <c r="G81" s="11" t="s">
        <v>129</v>
      </c>
      <c r="H81" s="11" t="s">
        <v>138</v>
      </c>
      <c r="I81" s="11" t="s">
        <v>139</v>
      </c>
      <c r="J81" s="11" t="s">
        <v>18</v>
      </c>
      <c r="K81" s="11" t="s">
        <v>19</v>
      </c>
      <c r="L81" s="11"/>
    </row>
    <row r="82">
      <c r="A82" s="11" t="s">
        <v>140</v>
      </c>
      <c r="B82" s="12" t="str">
        <f t="shared" si="1"/>
        <v xml:space="preserve"> 가로등주부속자재 MTPS-707 보행자암  </v>
      </c>
      <c r="C82" s="13">
        <v>150000</v>
      </c>
      <c r="D82" s="14" t="s">
        <v>127</v>
      </c>
      <c r="E82" s="11" t="s">
        <v>128</v>
      </c>
      <c r="F82" s="11"/>
      <c r="G82" s="11" t="s">
        <v>129</v>
      </c>
      <c r="H82" s="11" t="s">
        <v>140</v>
      </c>
      <c r="I82" s="11" t="s">
        <v>136</v>
      </c>
      <c r="J82" s="11" t="s">
        <v>18</v>
      </c>
      <c r="K82" s="11" t="s">
        <v>19</v>
      </c>
      <c r="L82" s="11"/>
    </row>
    <row r="83">
      <c r="A83" s="11" t="s">
        <v>141</v>
      </c>
      <c r="B83" s="12" t="str">
        <f t="shared" si="1"/>
        <v xml:space="preserve"> 가로등주부속자재 MTPS-708 암  </v>
      </c>
      <c r="C83" s="13">
        <v>450000</v>
      </c>
      <c r="D83" s="14" t="s">
        <v>127</v>
      </c>
      <c r="E83" s="11" t="s">
        <v>128</v>
      </c>
      <c r="F83" s="11"/>
      <c r="G83" s="11" t="s">
        <v>129</v>
      </c>
      <c r="H83" s="11" t="s">
        <v>141</v>
      </c>
      <c r="I83" s="11" t="s">
        <v>142</v>
      </c>
      <c r="J83" s="11" t="s">
        <v>18</v>
      </c>
      <c r="K83" s="11" t="s">
        <v>19</v>
      </c>
      <c r="L83" s="11"/>
    </row>
    <row r="84">
      <c r="A84" s="11" t="s">
        <v>143</v>
      </c>
      <c r="B84" s="12" t="str">
        <f t="shared" si="1"/>
        <v xml:space="preserve"> 스테인리스가로등주 MTPS-101-10 10m 1등용 </v>
      </c>
      <c r="C84" s="13">
        <v>1910000</v>
      </c>
      <c r="D84" s="14" t="s">
        <v>127</v>
      </c>
      <c r="E84" s="11" t="s">
        <v>128</v>
      </c>
      <c r="F84" s="11"/>
      <c r="G84" s="11" t="s">
        <v>144</v>
      </c>
      <c r="H84" s="11" t="s">
        <v>143</v>
      </c>
      <c r="I84" s="11" t="s">
        <v>145</v>
      </c>
      <c r="J84" s="11" t="s">
        <v>146</v>
      </c>
      <c r="K84" s="11" t="s">
        <v>147</v>
      </c>
      <c r="L84" s="11"/>
    </row>
    <row r="85">
      <c r="A85" s="11" t="s">
        <v>148</v>
      </c>
      <c r="B85" s="12" t="str">
        <f t="shared" si="1"/>
        <v xml:space="preserve"> 스테인리스가로등주 MTPS-101-8 8m 1등용 </v>
      </c>
      <c r="C85" s="13">
        <v>1671000</v>
      </c>
      <c r="D85" s="14" t="s">
        <v>127</v>
      </c>
      <c r="E85" s="11" t="s">
        <v>128</v>
      </c>
      <c r="F85" s="11"/>
      <c r="G85" s="11" t="s">
        <v>144</v>
      </c>
      <c r="H85" s="11" t="s">
        <v>148</v>
      </c>
      <c r="I85" s="11" t="s">
        <v>149</v>
      </c>
      <c r="J85" s="11" t="s">
        <v>146</v>
      </c>
      <c r="K85" s="11" t="s">
        <v>147</v>
      </c>
      <c r="L85" s="11"/>
    </row>
    <row r="86">
      <c r="A86" s="11" t="s">
        <v>150</v>
      </c>
      <c r="B86" s="12" t="str">
        <f t="shared" si="1"/>
        <v xml:space="preserve"> 스테인리스가로등주 MTPS-101-9 9m 1등용 </v>
      </c>
      <c r="C86" s="13">
        <v>1838000</v>
      </c>
      <c r="D86" s="14" t="s">
        <v>127</v>
      </c>
      <c r="E86" s="11" t="s">
        <v>128</v>
      </c>
      <c r="F86" s="11"/>
      <c r="G86" s="11" t="s">
        <v>144</v>
      </c>
      <c r="H86" s="11" t="s">
        <v>150</v>
      </c>
      <c r="I86" s="11" t="s">
        <v>151</v>
      </c>
      <c r="J86" s="11" t="s">
        <v>146</v>
      </c>
      <c r="K86" s="11" t="s">
        <v>147</v>
      </c>
      <c r="L86" s="11"/>
    </row>
    <row r="87">
      <c r="A87" s="11" t="s">
        <v>152</v>
      </c>
      <c r="B87" s="12" t="str">
        <f t="shared" si="1"/>
        <v xml:space="preserve"> 스테인리스가로등주 MTPS-102-10 10m 1등용 </v>
      </c>
      <c r="C87" s="13">
        <v>2087000</v>
      </c>
      <c r="D87" s="14" t="s">
        <v>127</v>
      </c>
      <c r="E87" s="11" t="s">
        <v>128</v>
      </c>
      <c r="F87" s="11"/>
      <c r="G87" s="11" t="s">
        <v>144</v>
      </c>
      <c r="H87" s="11" t="s">
        <v>152</v>
      </c>
      <c r="I87" s="11" t="s">
        <v>145</v>
      </c>
      <c r="J87" s="11" t="s">
        <v>146</v>
      </c>
      <c r="K87" s="11" t="s">
        <v>147</v>
      </c>
      <c r="L87" s="11"/>
    </row>
    <row r="88">
      <c r="A88" s="11" t="s">
        <v>153</v>
      </c>
      <c r="B88" s="12" t="str">
        <f t="shared" si="1"/>
        <v xml:space="preserve"> 스테인리스가로등주 MTPS-102-8 8m 1등용 </v>
      </c>
      <c r="C88" s="13">
        <v>1775000</v>
      </c>
      <c r="D88" s="14" t="s">
        <v>127</v>
      </c>
      <c r="E88" s="11" t="s">
        <v>128</v>
      </c>
      <c r="F88" s="11"/>
      <c r="G88" s="11" t="s">
        <v>144</v>
      </c>
      <c r="H88" s="11" t="s">
        <v>153</v>
      </c>
      <c r="I88" s="11" t="s">
        <v>149</v>
      </c>
      <c r="J88" s="11" t="s">
        <v>146</v>
      </c>
      <c r="K88" s="11" t="s">
        <v>147</v>
      </c>
      <c r="L88" s="11"/>
    </row>
    <row r="89">
      <c r="A89" s="11" t="s">
        <v>154</v>
      </c>
      <c r="B89" s="12" t="str">
        <f t="shared" si="1"/>
        <v xml:space="preserve"> 스테인리스가로등주 MTPS-102-9 9m 1등용 </v>
      </c>
      <c r="C89" s="13">
        <v>1860000</v>
      </c>
      <c r="D89" s="14" t="s">
        <v>127</v>
      </c>
      <c r="E89" s="11" t="s">
        <v>128</v>
      </c>
      <c r="F89" s="11"/>
      <c r="G89" s="11" t="s">
        <v>144</v>
      </c>
      <c r="H89" s="11" t="s">
        <v>154</v>
      </c>
      <c r="I89" s="11" t="s">
        <v>151</v>
      </c>
      <c r="J89" s="11" t="s">
        <v>146</v>
      </c>
      <c r="K89" s="11" t="s">
        <v>147</v>
      </c>
      <c r="L89" s="11"/>
    </row>
    <row r="90">
      <c r="A90" s="11" t="s">
        <v>155</v>
      </c>
      <c r="B90" s="12" t="str">
        <f t="shared" si="1"/>
        <v xml:space="preserve"> 스테인리스가로등주 MTPS-103-10 10m 1등용 </v>
      </c>
      <c r="C90" s="13">
        <v>2013000</v>
      </c>
      <c r="D90" s="14" t="s">
        <v>127</v>
      </c>
      <c r="E90" s="11" t="s">
        <v>128</v>
      </c>
      <c r="F90" s="11"/>
      <c r="G90" s="11" t="s">
        <v>144</v>
      </c>
      <c r="H90" s="11" t="s">
        <v>155</v>
      </c>
      <c r="I90" s="11" t="s">
        <v>145</v>
      </c>
      <c r="J90" s="11" t="s">
        <v>146</v>
      </c>
      <c r="K90" s="11" t="s">
        <v>147</v>
      </c>
      <c r="L90" s="11"/>
    </row>
    <row r="91">
      <c r="A91" s="11" t="s">
        <v>156</v>
      </c>
      <c r="B91" s="12" t="str">
        <f t="shared" si="1"/>
        <v xml:space="preserve"> 스테인리스가로등주 MTPS-103-10-2 10m 2등용 </v>
      </c>
      <c r="C91" s="13">
        <v>2140000</v>
      </c>
      <c r="D91" s="14" t="s">
        <v>127</v>
      </c>
      <c r="E91" s="11" t="s">
        <v>128</v>
      </c>
      <c r="F91" s="11"/>
      <c r="G91" s="11" t="s">
        <v>144</v>
      </c>
      <c r="H91" s="11" t="s">
        <v>156</v>
      </c>
      <c r="I91" s="11" t="s">
        <v>145</v>
      </c>
      <c r="J91" s="11" t="s">
        <v>146</v>
      </c>
      <c r="K91" s="11" t="s">
        <v>157</v>
      </c>
      <c r="L91" s="11"/>
    </row>
    <row r="92">
      <c r="A92" s="11" t="s">
        <v>158</v>
      </c>
      <c r="B92" s="12" t="str">
        <f t="shared" si="1"/>
        <v xml:space="preserve"> 스테인리스가로등주 MTPS-103-8 8m 1등용 </v>
      </c>
      <c r="C92" s="13">
        <v>1900000</v>
      </c>
      <c r="D92" s="14" t="s">
        <v>127</v>
      </c>
      <c r="E92" s="11" t="s">
        <v>128</v>
      </c>
      <c r="F92" s="11"/>
      <c r="G92" s="11" t="s">
        <v>144</v>
      </c>
      <c r="H92" s="11" t="s">
        <v>158</v>
      </c>
      <c r="I92" s="11" t="s">
        <v>149</v>
      </c>
      <c r="J92" s="11" t="s">
        <v>146</v>
      </c>
      <c r="K92" s="11" t="s">
        <v>147</v>
      </c>
      <c r="L92" s="11"/>
    </row>
    <row r="93">
      <c r="A93" s="11" t="s">
        <v>159</v>
      </c>
      <c r="B93" s="12" t="str">
        <f t="shared" si="1"/>
        <v xml:space="preserve"> 스테인리스가로등주 MTPS-103-9 9m 1등용 </v>
      </c>
      <c r="C93" s="13">
        <v>1971000</v>
      </c>
      <c r="D93" s="14" t="s">
        <v>127</v>
      </c>
      <c r="E93" s="11" t="s">
        <v>128</v>
      </c>
      <c r="F93" s="11"/>
      <c r="G93" s="11" t="s">
        <v>144</v>
      </c>
      <c r="H93" s="11" t="s">
        <v>159</v>
      </c>
      <c r="I93" s="11" t="s">
        <v>151</v>
      </c>
      <c r="J93" s="11" t="s">
        <v>146</v>
      </c>
      <c r="K93" s="11" t="s">
        <v>147</v>
      </c>
      <c r="L93" s="11"/>
    </row>
    <row r="94">
      <c r="A94" s="11" t="s">
        <v>160</v>
      </c>
      <c r="B94" s="12" t="str">
        <f t="shared" si="1"/>
        <v xml:space="preserve"> 스테인리스가로등주 MTPS-104-10 10m 1등용 </v>
      </c>
      <c r="C94" s="13">
        <v>1710000</v>
      </c>
      <c r="D94" s="14" t="s">
        <v>127</v>
      </c>
      <c r="E94" s="11" t="s">
        <v>128</v>
      </c>
      <c r="F94" s="11"/>
      <c r="G94" s="11" t="s">
        <v>144</v>
      </c>
      <c r="H94" s="11" t="s">
        <v>160</v>
      </c>
      <c r="I94" s="11" t="s">
        <v>145</v>
      </c>
      <c r="J94" s="11" t="s">
        <v>146</v>
      </c>
      <c r="K94" s="11" t="s">
        <v>147</v>
      </c>
      <c r="L94" s="11"/>
    </row>
    <row r="95">
      <c r="A95" s="11" t="s">
        <v>161</v>
      </c>
      <c r="B95" s="12" t="str">
        <f t="shared" si="1"/>
        <v xml:space="preserve"> 스테인리스가로등주 MTPS-104-8 8m 1등용 </v>
      </c>
      <c r="C95" s="13">
        <v>1610000</v>
      </c>
      <c r="D95" s="14" t="s">
        <v>127</v>
      </c>
      <c r="E95" s="11" t="s">
        <v>128</v>
      </c>
      <c r="F95" s="11"/>
      <c r="G95" s="11" t="s">
        <v>144</v>
      </c>
      <c r="H95" s="11" t="s">
        <v>161</v>
      </c>
      <c r="I95" s="11" t="s">
        <v>149</v>
      </c>
      <c r="J95" s="11" t="s">
        <v>146</v>
      </c>
      <c r="K95" s="11" t="s">
        <v>147</v>
      </c>
      <c r="L95" s="11"/>
    </row>
    <row r="96">
      <c r="A96" s="11" t="s">
        <v>162</v>
      </c>
      <c r="B96" s="12" t="str">
        <f t="shared" si="1"/>
        <v xml:space="preserve"> 스테인리스가로등주 MTPS-104-9 9m 1등용 </v>
      </c>
      <c r="C96" s="13">
        <v>1660000</v>
      </c>
      <c r="D96" s="14" t="s">
        <v>127</v>
      </c>
      <c r="E96" s="11" t="s">
        <v>128</v>
      </c>
      <c r="F96" s="11"/>
      <c r="G96" s="11" t="s">
        <v>144</v>
      </c>
      <c r="H96" s="11" t="s">
        <v>162</v>
      </c>
      <c r="I96" s="11" t="s">
        <v>151</v>
      </c>
      <c r="J96" s="11" t="s">
        <v>146</v>
      </c>
      <c r="K96" s="11" t="s">
        <v>147</v>
      </c>
      <c r="L96" s="11"/>
    </row>
    <row r="97">
      <c r="A97" s="11" t="s">
        <v>163</v>
      </c>
      <c r="B97" s="12" t="str">
        <f t="shared" si="1"/>
        <v xml:space="preserve"> 스테인리스가로등주 MTPS-105-10 10m 1등용 </v>
      </c>
      <c r="C97" s="13">
        <v>1990000</v>
      </c>
      <c r="D97" s="14" t="s">
        <v>127</v>
      </c>
      <c r="E97" s="11" t="s">
        <v>128</v>
      </c>
      <c r="F97" s="11"/>
      <c r="G97" s="11" t="s">
        <v>144</v>
      </c>
      <c r="H97" s="11" t="s">
        <v>163</v>
      </c>
      <c r="I97" s="11" t="s">
        <v>145</v>
      </c>
      <c r="J97" s="11" t="s">
        <v>146</v>
      </c>
      <c r="K97" s="11" t="s">
        <v>147</v>
      </c>
      <c r="L97" s="11"/>
    </row>
    <row r="98">
      <c r="A98" s="11" t="s">
        <v>164</v>
      </c>
      <c r="B98" s="12" t="str">
        <f t="shared" si="1"/>
        <v xml:space="preserve"> 스테인리스가로등주 MTPS-105-10-2 10m 2등용 </v>
      </c>
      <c r="C98" s="13">
        <v>2100000</v>
      </c>
      <c r="D98" s="14" t="s">
        <v>127</v>
      </c>
      <c r="E98" s="11" t="s">
        <v>128</v>
      </c>
      <c r="F98" s="11"/>
      <c r="G98" s="11" t="s">
        <v>144</v>
      </c>
      <c r="H98" s="11" t="s">
        <v>164</v>
      </c>
      <c r="I98" s="11" t="s">
        <v>145</v>
      </c>
      <c r="J98" s="11" t="s">
        <v>146</v>
      </c>
      <c r="K98" s="11" t="s">
        <v>157</v>
      </c>
      <c r="L98" s="11"/>
    </row>
    <row r="99">
      <c r="A99" s="11" t="s">
        <v>165</v>
      </c>
      <c r="B99" s="12" t="str">
        <f t="shared" si="1"/>
        <v xml:space="preserve"> 스테인리스가로등주 MTPS-105-8 8m 1등용 </v>
      </c>
      <c r="C99" s="13">
        <v>1790000</v>
      </c>
      <c r="D99" s="14" t="s">
        <v>127</v>
      </c>
      <c r="E99" s="11" t="s">
        <v>128</v>
      </c>
      <c r="F99" s="11"/>
      <c r="G99" s="11" t="s">
        <v>144</v>
      </c>
      <c r="H99" s="11" t="s">
        <v>165</v>
      </c>
      <c r="I99" s="11" t="s">
        <v>149</v>
      </c>
      <c r="J99" s="11" t="s">
        <v>146</v>
      </c>
      <c r="K99" s="11" t="s">
        <v>147</v>
      </c>
      <c r="L99" s="11"/>
    </row>
    <row r="100">
      <c r="A100" s="11" t="s">
        <v>166</v>
      </c>
      <c r="B100" s="12" t="str">
        <f t="shared" si="1"/>
        <v xml:space="preserve"> 스테인리스가로등주 MTPS-105-9 9m 1등용 </v>
      </c>
      <c r="C100" s="13">
        <v>1890000</v>
      </c>
      <c r="D100" s="14" t="s">
        <v>127</v>
      </c>
      <c r="E100" s="11" t="s">
        <v>128</v>
      </c>
      <c r="F100" s="11"/>
      <c r="G100" s="11" t="s">
        <v>144</v>
      </c>
      <c r="H100" s="11" t="s">
        <v>166</v>
      </c>
      <c r="I100" s="11" t="s">
        <v>151</v>
      </c>
      <c r="J100" s="11" t="s">
        <v>146</v>
      </c>
      <c r="K100" s="11" t="s">
        <v>147</v>
      </c>
      <c r="L100" s="11"/>
    </row>
    <row r="101">
      <c r="A101" s="11" t="s">
        <v>167</v>
      </c>
      <c r="B101" s="12" t="str">
        <f t="shared" si="1"/>
        <v xml:space="preserve"> 스테인리스가로등주 MTPS-105-9-2 9m 2등용 </v>
      </c>
      <c r="C101" s="13">
        <v>1990000</v>
      </c>
      <c r="D101" s="14" t="s">
        <v>127</v>
      </c>
      <c r="E101" s="11" t="s">
        <v>128</v>
      </c>
      <c r="F101" s="11"/>
      <c r="G101" s="11" t="s">
        <v>144</v>
      </c>
      <c r="H101" s="11" t="s">
        <v>167</v>
      </c>
      <c r="I101" s="11" t="s">
        <v>151</v>
      </c>
      <c r="J101" s="11" t="s">
        <v>146</v>
      </c>
      <c r="K101" s="11" t="s">
        <v>157</v>
      </c>
      <c r="L101" s="11"/>
    </row>
    <row r="102">
      <c r="A102" s="11" t="s">
        <v>168</v>
      </c>
      <c r="B102" s="12" t="str">
        <f t="shared" si="1"/>
        <v xml:space="preserve"> 스테인리스가로등주 MTPS-201-4 4m 1등용 </v>
      </c>
      <c r="C102" s="13">
        <v>731000</v>
      </c>
      <c r="D102" s="14" t="s">
        <v>127</v>
      </c>
      <c r="E102" s="11" t="s">
        <v>128</v>
      </c>
      <c r="F102" s="11"/>
      <c r="G102" s="11" t="s">
        <v>144</v>
      </c>
      <c r="H102" s="11" t="s">
        <v>168</v>
      </c>
      <c r="I102" s="11" t="s">
        <v>169</v>
      </c>
      <c r="J102" s="11" t="s">
        <v>146</v>
      </c>
      <c r="K102" s="11" t="s">
        <v>147</v>
      </c>
      <c r="L102" s="11"/>
    </row>
    <row r="103">
      <c r="A103" s="11" t="s">
        <v>170</v>
      </c>
      <c r="B103" s="12" t="str">
        <f t="shared" si="1"/>
        <v xml:space="preserve"> 스테인리스가로등주 MTPS-201-5 5m 1등용 원2단형</v>
      </c>
      <c r="C103" s="13">
        <v>783000</v>
      </c>
      <c r="D103" s="14" t="s">
        <v>127</v>
      </c>
      <c r="E103" s="11" t="s">
        <v>128</v>
      </c>
      <c r="F103" s="11"/>
      <c r="G103" s="11" t="s">
        <v>144</v>
      </c>
      <c r="H103" s="11" t="s">
        <v>170</v>
      </c>
      <c r="I103" s="11" t="s">
        <v>171</v>
      </c>
      <c r="J103" s="11" t="s">
        <v>146</v>
      </c>
      <c r="K103" s="11" t="s">
        <v>147</v>
      </c>
      <c r="L103" s="11" t="s">
        <v>172</v>
      </c>
    </row>
    <row r="104">
      <c r="A104" s="11" t="s">
        <v>173</v>
      </c>
      <c r="B104" s="12" t="str">
        <f t="shared" si="1"/>
        <v xml:space="preserve"> 스테인리스가로등주 MTPS-201-6 6m 1등용 </v>
      </c>
      <c r="C104" s="13">
        <v>877000</v>
      </c>
      <c r="D104" s="14" t="s">
        <v>127</v>
      </c>
      <c r="E104" s="11" t="s">
        <v>128</v>
      </c>
      <c r="F104" s="11"/>
      <c r="G104" s="11" t="s">
        <v>144</v>
      </c>
      <c r="H104" s="11" t="s">
        <v>173</v>
      </c>
      <c r="I104" s="11" t="s">
        <v>174</v>
      </c>
      <c r="J104" s="11" t="s">
        <v>146</v>
      </c>
      <c r="K104" s="11" t="s">
        <v>147</v>
      </c>
      <c r="L104" s="11"/>
    </row>
    <row r="105">
      <c r="A105" s="11" t="s">
        <v>175</v>
      </c>
      <c r="B105" s="12" t="str">
        <f t="shared" si="1"/>
        <v xml:space="preserve"> 스테인리스가로등주 MTPS-202-4 4m 1등용 </v>
      </c>
      <c r="C105" s="13">
        <v>835000</v>
      </c>
      <c r="D105" s="14" t="s">
        <v>127</v>
      </c>
      <c r="E105" s="11" t="s">
        <v>128</v>
      </c>
      <c r="F105" s="11"/>
      <c r="G105" s="11" t="s">
        <v>144</v>
      </c>
      <c r="H105" s="11" t="s">
        <v>175</v>
      </c>
      <c r="I105" s="11" t="s">
        <v>169</v>
      </c>
      <c r="J105" s="11" t="s">
        <v>146</v>
      </c>
      <c r="K105" s="11" t="s">
        <v>147</v>
      </c>
      <c r="L105" s="11"/>
    </row>
    <row r="106">
      <c r="A106" s="11" t="s">
        <v>176</v>
      </c>
      <c r="B106" s="12" t="str">
        <f t="shared" si="1"/>
        <v xml:space="preserve"> 스테인리스가로등주 MTPS-202-5 5m 1등용 </v>
      </c>
      <c r="C106" s="13">
        <v>913000</v>
      </c>
      <c r="D106" s="14" t="s">
        <v>127</v>
      </c>
      <c r="E106" s="11" t="s">
        <v>128</v>
      </c>
      <c r="F106" s="11"/>
      <c r="G106" s="11" t="s">
        <v>144</v>
      </c>
      <c r="H106" s="11" t="s">
        <v>176</v>
      </c>
      <c r="I106" s="11" t="s">
        <v>171</v>
      </c>
      <c r="J106" s="11" t="s">
        <v>146</v>
      </c>
      <c r="K106" s="11" t="s">
        <v>147</v>
      </c>
      <c r="L106" s="11"/>
    </row>
    <row r="107">
      <c r="A107" s="11" t="s">
        <v>177</v>
      </c>
      <c r="B107" s="12" t="str">
        <f t="shared" si="1"/>
        <v xml:space="preserve"> 스테인리스가로등주 MTPS-202-6 6m 1등용 </v>
      </c>
      <c r="C107" s="13">
        <v>979000</v>
      </c>
      <c r="D107" s="14" t="s">
        <v>127</v>
      </c>
      <c r="E107" s="11" t="s">
        <v>128</v>
      </c>
      <c r="F107" s="11"/>
      <c r="G107" s="11" t="s">
        <v>144</v>
      </c>
      <c r="H107" s="11" t="s">
        <v>177</v>
      </c>
      <c r="I107" s="11" t="s">
        <v>174</v>
      </c>
      <c r="J107" s="11" t="s">
        <v>146</v>
      </c>
      <c r="K107" s="11" t="s">
        <v>147</v>
      </c>
      <c r="L107" s="11"/>
    </row>
    <row r="108">
      <c r="A108" s="11" t="s">
        <v>178</v>
      </c>
      <c r="B108" s="12" t="str">
        <f t="shared" si="1"/>
        <v xml:space="preserve"> 스테인리스가로등주 MTPS-203-4 4m 1등용 </v>
      </c>
      <c r="C108" s="13">
        <v>1016000</v>
      </c>
      <c r="D108" s="14" t="s">
        <v>127</v>
      </c>
      <c r="E108" s="11" t="s">
        <v>128</v>
      </c>
      <c r="F108" s="11"/>
      <c r="G108" s="11" t="s">
        <v>144</v>
      </c>
      <c r="H108" s="11" t="s">
        <v>178</v>
      </c>
      <c r="I108" s="11" t="s">
        <v>169</v>
      </c>
      <c r="J108" s="11" t="s">
        <v>146</v>
      </c>
      <c r="K108" s="11" t="s">
        <v>147</v>
      </c>
      <c r="L108" s="11"/>
    </row>
    <row r="109">
      <c r="A109" s="11" t="s">
        <v>179</v>
      </c>
      <c r="B109" s="12" t="str">
        <f t="shared" si="1"/>
        <v xml:space="preserve"> 스테인리스가로등주 MTPS-203-5 5m 1등용 </v>
      </c>
      <c r="C109" s="13">
        <v>1110000</v>
      </c>
      <c r="D109" s="14" t="s">
        <v>127</v>
      </c>
      <c r="E109" s="11" t="s">
        <v>128</v>
      </c>
      <c r="F109" s="11"/>
      <c r="G109" s="11" t="s">
        <v>144</v>
      </c>
      <c r="H109" s="11" t="s">
        <v>179</v>
      </c>
      <c r="I109" s="11" t="s">
        <v>171</v>
      </c>
      <c r="J109" s="11" t="s">
        <v>146</v>
      </c>
      <c r="K109" s="11" t="s">
        <v>147</v>
      </c>
      <c r="L109" s="11"/>
    </row>
    <row r="110">
      <c r="A110" s="11" t="s">
        <v>180</v>
      </c>
      <c r="B110" s="12" t="str">
        <f t="shared" si="1"/>
        <v xml:space="preserve"> 스테인리스가로등주 MTPS-203-5-2 5m 2등용 </v>
      </c>
      <c r="C110" s="13">
        <v>1250000</v>
      </c>
      <c r="D110" s="14" t="s">
        <v>127</v>
      </c>
      <c r="E110" s="11" t="s">
        <v>128</v>
      </c>
      <c r="F110" s="11"/>
      <c r="G110" s="11" t="s">
        <v>144</v>
      </c>
      <c r="H110" s="11" t="s">
        <v>180</v>
      </c>
      <c r="I110" s="11" t="s">
        <v>171</v>
      </c>
      <c r="J110" s="11" t="s">
        <v>146</v>
      </c>
      <c r="K110" s="11" t="s">
        <v>157</v>
      </c>
      <c r="L110" s="11"/>
    </row>
    <row r="111">
      <c r="A111" s="11" t="s">
        <v>181</v>
      </c>
      <c r="B111" s="12" t="str">
        <f t="shared" si="1"/>
        <v xml:space="preserve"> 스테인리스가로등주 MTPS-203-6 6m 1등용 </v>
      </c>
      <c r="C111" s="13">
        <v>1318000</v>
      </c>
      <c r="D111" s="14" t="s">
        <v>127</v>
      </c>
      <c r="E111" s="11" t="s">
        <v>128</v>
      </c>
      <c r="F111" s="11"/>
      <c r="G111" s="11" t="s">
        <v>144</v>
      </c>
      <c r="H111" s="11" t="s">
        <v>181</v>
      </c>
      <c r="I111" s="11" t="s">
        <v>174</v>
      </c>
      <c r="J111" s="11" t="s">
        <v>146</v>
      </c>
      <c r="K111" s="11" t="s">
        <v>147</v>
      </c>
      <c r="L111" s="11"/>
    </row>
    <row r="112">
      <c r="A112" s="11" t="s">
        <v>182</v>
      </c>
      <c r="B112" s="12" t="str">
        <f t="shared" si="1"/>
        <v xml:space="preserve"> 스테인리스가로등주 MTPS-204-4 4m 1등용 </v>
      </c>
      <c r="C112" s="13">
        <v>850000</v>
      </c>
      <c r="D112" s="14" t="s">
        <v>127</v>
      </c>
      <c r="E112" s="11" t="s">
        <v>128</v>
      </c>
      <c r="F112" s="11"/>
      <c r="G112" s="11" t="s">
        <v>144</v>
      </c>
      <c r="H112" s="11" t="s">
        <v>182</v>
      </c>
      <c r="I112" s="11" t="s">
        <v>169</v>
      </c>
      <c r="J112" s="11" t="s">
        <v>146</v>
      </c>
      <c r="K112" s="11" t="s">
        <v>147</v>
      </c>
      <c r="L112" s="11"/>
    </row>
    <row r="113">
      <c r="A113" s="11" t="s">
        <v>183</v>
      </c>
      <c r="B113" s="12" t="str">
        <f t="shared" si="1"/>
        <v xml:space="preserve"> 스테인리스가로등주 MTPS-204-4-2 4m 2등용 </v>
      </c>
      <c r="C113" s="13">
        <v>935000</v>
      </c>
      <c r="D113" s="14" t="s">
        <v>127</v>
      </c>
      <c r="E113" s="11" t="s">
        <v>128</v>
      </c>
      <c r="F113" s="11"/>
      <c r="G113" s="11" t="s">
        <v>144</v>
      </c>
      <c r="H113" s="11" t="s">
        <v>183</v>
      </c>
      <c r="I113" s="11" t="s">
        <v>169</v>
      </c>
      <c r="J113" s="11" t="s">
        <v>146</v>
      </c>
      <c r="K113" s="11" t="s">
        <v>157</v>
      </c>
      <c r="L113" s="11"/>
    </row>
    <row r="114">
      <c r="A114" s="11" t="s">
        <v>184</v>
      </c>
      <c r="B114" s="12" t="str">
        <f t="shared" si="1"/>
        <v xml:space="preserve"> 스테인리스가로등주 MTPS-204-5 5m 1등용 </v>
      </c>
      <c r="C114" s="13">
        <v>935000</v>
      </c>
      <c r="D114" s="14" t="s">
        <v>127</v>
      </c>
      <c r="E114" s="11" t="s">
        <v>128</v>
      </c>
      <c r="F114" s="11"/>
      <c r="G114" s="11" t="s">
        <v>144</v>
      </c>
      <c r="H114" s="11" t="s">
        <v>184</v>
      </c>
      <c r="I114" s="11" t="s">
        <v>171</v>
      </c>
      <c r="J114" s="11" t="s">
        <v>146</v>
      </c>
      <c r="K114" s="11" t="s">
        <v>147</v>
      </c>
      <c r="L114" s="11"/>
    </row>
    <row r="115">
      <c r="A115" s="11" t="s">
        <v>185</v>
      </c>
      <c r="B115" s="12" t="str">
        <f t="shared" si="1"/>
        <v xml:space="preserve"> 스테인리스가로등주 MTPS-204-5-2 5m 2등용 </v>
      </c>
      <c r="C115" s="13">
        <v>1028000</v>
      </c>
      <c r="D115" s="14" t="s">
        <v>127</v>
      </c>
      <c r="E115" s="11" t="s">
        <v>128</v>
      </c>
      <c r="F115" s="11"/>
      <c r="G115" s="11" t="s">
        <v>144</v>
      </c>
      <c r="H115" s="11" t="s">
        <v>185</v>
      </c>
      <c r="I115" s="11" t="s">
        <v>171</v>
      </c>
      <c r="J115" s="11" t="s">
        <v>146</v>
      </c>
      <c r="K115" s="11" t="s">
        <v>157</v>
      </c>
      <c r="L115" s="11"/>
    </row>
    <row r="116">
      <c r="A116" s="11" t="s">
        <v>186</v>
      </c>
      <c r="B116" s="12" t="str">
        <f t="shared" si="1"/>
        <v xml:space="preserve"> 스테인리스가로등주 MTPS-204-6 6m 1등용 </v>
      </c>
      <c r="C116" s="13">
        <v>1028000</v>
      </c>
      <c r="D116" s="14" t="s">
        <v>127</v>
      </c>
      <c r="E116" s="11" t="s">
        <v>128</v>
      </c>
      <c r="F116" s="11"/>
      <c r="G116" s="11" t="s">
        <v>144</v>
      </c>
      <c r="H116" s="11" t="s">
        <v>186</v>
      </c>
      <c r="I116" s="11" t="s">
        <v>174</v>
      </c>
      <c r="J116" s="11" t="s">
        <v>146</v>
      </c>
      <c r="K116" s="11" t="s">
        <v>147</v>
      </c>
      <c r="L116" s="11"/>
    </row>
    <row r="117">
      <c r="A117" s="11" t="s">
        <v>187</v>
      </c>
      <c r="B117" s="12" t="str">
        <f t="shared" si="1"/>
        <v xml:space="preserve"> 스테인리스가로등주 MTPS-204-6-2 6m 2등용 </v>
      </c>
      <c r="C117" s="13">
        <v>1122000</v>
      </c>
      <c r="D117" s="14" t="s">
        <v>127</v>
      </c>
      <c r="E117" s="11" t="s">
        <v>128</v>
      </c>
      <c r="F117" s="11"/>
      <c r="G117" s="11" t="s">
        <v>144</v>
      </c>
      <c r="H117" s="11" t="s">
        <v>187</v>
      </c>
      <c r="I117" s="11" t="s">
        <v>174</v>
      </c>
      <c r="J117" s="11" t="s">
        <v>146</v>
      </c>
      <c r="K117" s="11" t="s">
        <v>157</v>
      </c>
      <c r="L117" s="11"/>
    </row>
    <row r="118">
      <c r="A118" s="11" t="s">
        <v>188</v>
      </c>
      <c r="B118" s="12" t="str">
        <f t="shared" si="1"/>
        <v xml:space="preserve"> 스테인리스가로등주 MTPS-205-65 6.5m 1등용 </v>
      </c>
      <c r="C118" s="13">
        <v>1500000</v>
      </c>
      <c r="D118" s="14" t="s">
        <v>127</v>
      </c>
      <c r="E118" s="11" t="s">
        <v>128</v>
      </c>
      <c r="F118" s="11"/>
      <c r="G118" s="11" t="s">
        <v>144</v>
      </c>
      <c r="H118" s="11" t="s">
        <v>188</v>
      </c>
      <c r="I118" s="11" t="s">
        <v>189</v>
      </c>
      <c r="J118" s="11" t="s">
        <v>146</v>
      </c>
      <c r="K118" s="11" t="s">
        <v>147</v>
      </c>
      <c r="L118" s="11"/>
    </row>
    <row r="119">
      <c r="A119" s="11" t="s">
        <v>190</v>
      </c>
      <c r="B119" s="12" t="str">
        <f t="shared" si="1"/>
        <v xml:space="preserve"> 조명타워 MTT12B 12m 12등용 </v>
      </c>
      <c r="C119" s="13">
        <v>6000000</v>
      </c>
      <c r="D119" s="14" t="s">
        <v>191</v>
      </c>
      <c r="E119" s="11" t="s">
        <v>192</v>
      </c>
      <c r="F119" s="11"/>
      <c r="G119" s="11" t="s">
        <v>192</v>
      </c>
      <c r="H119" s="11" t="s">
        <v>190</v>
      </c>
      <c r="I119" s="11" t="s">
        <v>193</v>
      </c>
      <c r="J119" s="11" t="s">
        <v>146</v>
      </c>
      <c r="K119" s="11" t="s">
        <v>194</v>
      </c>
      <c r="L119" s="11"/>
    </row>
    <row r="120">
      <c r="A120" s="11" t="s">
        <v>195</v>
      </c>
      <c r="B120" s="12" t="str">
        <f t="shared" si="1"/>
        <v xml:space="preserve"> 조명타워 MTT15A 15m 6등용 </v>
      </c>
      <c r="C120" s="13">
        <v>7000000</v>
      </c>
      <c r="D120" s="14" t="s">
        <v>191</v>
      </c>
      <c r="E120" s="11" t="s">
        <v>192</v>
      </c>
      <c r="F120" s="11"/>
      <c r="G120" s="11" t="s">
        <v>192</v>
      </c>
      <c r="H120" s="11" t="s">
        <v>195</v>
      </c>
      <c r="I120" s="11" t="s">
        <v>196</v>
      </c>
      <c r="J120" s="11" t="s">
        <v>146</v>
      </c>
      <c r="K120" s="11" t="s">
        <v>197</v>
      </c>
      <c r="L120" s="11"/>
    </row>
    <row r="121">
      <c r="A121" s="11" t="s">
        <v>198</v>
      </c>
      <c r="B121" s="12" t="str">
        <f t="shared" si="1"/>
        <v xml:space="preserve"> 조명타워 MTT15B 15m 12등용 </v>
      </c>
      <c r="C121" s="13">
        <v>8000000</v>
      </c>
      <c r="D121" s="14" t="s">
        <v>191</v>
      </c>
      <c r="E121" s="11" t="s">
        <v>192</v>
      </c>
      <c r="F121" s="11"/>
      <c r="G121" s="11" t="s">
        <v>192</v>
      </c>
      <c r="H121" s="11" t="s">
        <v>198</v>
      </c>
      <c r="I121" s="11" t="s">
        <v>196</v>
      </c>
      <c r="J121" s="11" t="s">
        <v>146</v>
      </c>
      <c r="K121" s="11" t="s">
        <v>194</v>
      </c>
      <c r="L121" s="11"/>
    </row>
    <row r="122">
      <c r="A122" s="11" t="s">
        <v>199</v>
      </c>
      <c r="B122" s="12" t="str">
        <f t="shared" si="1"/>
        <v xml:space="preserve"> 조명타워 MTT18A 18m 6등용 </v>
      </c>
      <c r="C122" s="13">
        <v>9500000</v>
      </c>
      <c r="D122" s="14" t="s">
        <v>191</v>
      </c>
      <c r="E122" s="11" t="s">
        <v>192</v>
      </c>
      <c r="F122" s="11"/>
      <c r="G122" s="11" t="s">
        <v>192</v>
      </c>
      <c r="H122" s="11" t="s">
        <v>199</v>
      </c>
      <c r="I122" s="11" t="s">
        <v>200</v>
      </c>
      <c r="J122" s="11" t="s">
        <v>146</v>
      </c>
      <c r="K122" s="11" t="s">
        <v>197</v>
      </c>
      <c r="L122" s="11"/>
    </row>
    <row r="123">
      <c r="A123" s="11" t="s">
        <v>201</v>
      </c>
      <c r="B123" s="12" t="str">
        <f t="shared" si="1"/>
        <v xml:space="preserve"> 조명타워 MTT18B 18m 12등용 </v>
      </c>
      <c r="C123" s="13">
        <v>10500000</v>
      </c>
      <c r="D123" s="14" t="s">
        <v>191</v>
      </c>
      <c r="E123" s="11" t="s">
        <v>192</v>
      </c>
      <c r="F123" s="11"/>
      <c r="G123" s="11" t="s">
        <v>192</v>
      </c>
      <c r="H123" s="11" t="s">
        <v>201</v>
      </c>
      <c r="I123" s="11" t="s">
        <v>200</v>
      </c>
      <c r="J123" s="11" t="s">
        <v>146</v>
      </c>
      <c r="K123" s="11" t="s">
        <v>194</v>
      </c>
      <c r="L123" s="11"/>
    </row>
    <row r="124">
      <c r="A124" s="11" t="s">
        <v>202</v>
      </c>
      <c r="B124" s="12" t="str">
        <f t="shared" si="1"/>
        <v xml:space="preserve"> 조명타워 MTT20A 20m 10등용 </v>
      </c>
      <c r="C124" s="13">
        <v>15000000</v>
      </c>
      <c r="D124" s="14" t="s">
        <v>191</v>
      </c>
      <c r="E124" s="11" t="s">
        <v>192</v>
      </c>
      <c r="F124" s="11"/>
      <c r="G124" s="11" t="s">
        <v>192</v>
      </c>
      <c r="H124" s="11" t="s">
        <v>202</v>
      </c>
      <c r="I124" s="11" t="s">
        <v>203</v>
      </c>
      <c r="J124" s="11" t="s">
        <v>146</v>
      </c>
      <c r="K124" s="11" t="s">
        <v>204</v>
      </c>
      <c r="L124" s="11"/>
    </row>
    <row r="125">
      <c r="A125" s="11" t="s">
        <v>205</v>
      </c>
      <c r="B125" s="12" t="str">
        <f t="shared" si="1"/>
        <v xml:space="preserve"> 조명타워 MTT20B 20m 18등용 </v>
      </c>
      <c r="C125" s="13">
        <v>16500000</v>
      </c>
      <c r="D125" s="14" t="s">
        <v>191</v>
      </c>
      <c r="E125" s="11" t="s">
        <v>192</v>
      </c>
      <c r="F125" s="11"/>
      <c r="G125" s="11" t="s">
        <v>192</v>
      </c>
      <c r="H125" s="11" t="s">
        <v>205</v>
      </c>
      <c r="I125" s="11" t="s">
        <v>203</v>
      </c>
      <c r="J125" s="11" t="s">
        <v>146</v>
      </c>
      <c r="K125" s="11" t="s">
        <v>206</v>
      </c>
      <c r="L125" s="11"/>
    </row>
    <row r="126">
      <c r="A126" s="11" t="s">
        <v>207</v>
      </c>
      <c r="B126" s="12" t="str">
        <f t="shared" si="1"/>
        <v xml:space="preserve"> 조명타워 MTT24A 24m 10등용 </v>
      </c>
      <c r="C126" s="13">
        <v>16500000</v>
      </c>
      <c r="D126" s="14" t="s">
        <v>191</v>
      </c>
      <c r="E126" s="11" t="s">
        <v>192</v>
      </c>
      <c r="F126" s="11"/>
      <c r="G126" s="11" t="s">
        <v>192</v>
      </c>
      <c r="H126" s="11" t="s">
        <v>207</v>
      </c>
      <c r="I126" s="11" t="s">
        <v>208</v>
      </c>
      <c r="J126" s="11" t="s">
        <v>146</v>
      </c>
      <c r="K126" s="11" t="s">
        <v>204</v>
      </c>
      <c r="L126" s="11"/>
    </row>
    <row r="127">
      <c r="A127" s="11" t="s">
        <v>209</v>
      </c>
      <c r="B127" s="12" t="str">
        <f t="shared" si="1"/>
        <v xml:space="preserve"> 조명타워 MTT24B 24m 18등용 </v>
      </c>
      <c r="C127" s="13">
        <v>18000000</v>
      </c>
      <c r="D127" s="14" t="s">
        <v>191</v>
      </c>
      <c r="E127" s="11" t="s">
        <v>192</v>
      </c>
      <c r="F127" s="11"/>
      <c r="G127" s="11" t="s">
        <v>192</v>
      </c>
      <c r="H127" s="11" t="s">
        <v>209</v>
      </c>
      <c r="I127" s="11" t="s">
        <v>208</v>
      </c>
      <c r="J127" s="11" t="s">
        <v>146</v>
      </c>
      <c r="K127" s="11" t="s">
        <v>206</v>
      </c>
      <c r="L127" s="11"/>
    </row>
    <row r="128">
      <c r="A128" s="11" t="s">
        <v>210</v>
      </c>
      <c r="B128" s="12" t="str">
        <f t="shared" si="1"/>
        <v xml:space="preserve"> 철제가로등주 MTPF-101-10 10m 1등용 </v>
      </c>
      <c r="C128" s="13">
        <v>963000</v>
      </c>
      <c r="D128" s="14" t="s">
        <v>127</v>
      </c>
      <c r="E128" s="11" t="s">
        <v>128</v>
      </c>
      <c r="F128" s="11"/>
      <c r="G128" s="11" t="s">
        <v>211</v>
      </c>
      <c r="H128" s="11" t="s">
        <v>210</v>
      </c>
      <c r="I128" s="11" t="s">
        <v>145</v>
      </c>
      <c r="J128" s="11" t="s">
        <v>146</v>
      </c>
      <c r="K128" s="11" t="s">
        <v>147</v>
      </c>
      <c r="L128" s="11"/>
    </row>
    <row r="129">
      <c r="A129" s="11" t="s">
        <v>212</v>
      </c>
      <c r="B129" s="12" t="str">
        <f t="shared" si="1"/>
        <v xml:space="preserve"> 철제가로등주 MTPF-101-10-2 10m 2등용 </v>
      </c>
      <c r="C129" s="13">
        <v>1051000</v>
      </c>
      <c r="D129" s="14" t="s">
        <v>127</v>
      </c>
      <c r="E129" s="11" t="s">
        <v>128</v>
      </c>
      <c r="F129" s="11"/>
      <c r="G129" s="11" t="s">
        <v>211</v>
      </c>
      <c r="H129" s="11" t="s">
        <v>212</v>
      </c>
      <c r="I129" s="11" t="s">
        <v>145</v>
      </c>
      <c r="J129" s="11" t="s">
        <v>146</v>
      </c>
      <c r="K129" s="11" t="s">
        <v>157</v>
      </c>
      <c r="L129" s="11"/>
    </row>
    <row r="130">
      <c r="A130" s="11" t="s">
        <v>213</v>
      </c>
      <c r="B130" s="12" t="str">
        <f t="shared" si="1"/>
        <v xml:space="preserve"> 철제가로등주 MTPF-101-12 12m 1등용 </v>
      </c>
      <c r="C130" s="13">
        <v>1094000</v>
      </c>
      <c r="D130" s="14" t="s">
        <v>127</v>
      </c>
      <c r="E130" s="11" t="s">
        <v>128</v>
      </c>
      <c r="F130" s="11"/>
      <c r="G130" s="11" t="s">
        <v>211</v>
      </c>
      <c r="H130" s="11" t="s">
        <v>213</v>
      </c>
      <c r="I130" s="11" t="s">
        <v>193</v>
      </c>
      <c r="J130" s="11" t="s">
        <v>146</v>
      </c>
      <c r="K130" s="11" t="s">
        <v>147</v>
      </c>
      <c r="L130" s="11"/>
    </row>
    <row r="131">
      <c r="A131" s="11" t="s">
        <v>214</v>
      </c>
      <c r="B131" s="12" t="str">
        <f t="shared" si="1"/>
        <v xml:space="preserve"> 철제가로등주 MTPF-101-12-2 12m 2등용 </v>
      </c>
      <c r="C131" s="13">
        <v>1167000</v>
      </c>
      <c r="D131" s="14" t="s">
        <v>127</v>
      </c>
      <c r="E131" s="11" t="s">
        <v>128</v>
      </c>
      <c r="F131" s="11"/>
      <c r="G131" s="11" t="s">
        <v>211</v>
      </c>
      <c r="H131" s="11" t="s">
        <v>214</v>
      </c>
      <c r="I131" s="11" t="s">
        <v>193</v>
      </c>
      <c r="J131" s="11" t="s">
        <v>146</v>
      </c>
      <c r="K131" s="11" t="s">
        <v>157</v>
      </c>
      <c r="L131" s="11"/>
    </row>
    <row r="132">
      <c r="A132" s="11" t="s">
        <v>215</v>
      </c>
      <c r="B132" s="12" t="str">
        <f t="shared" si="1"/>
        <v xml:space="preserve"> 철제가로등주 MTPF-101-8 8m 1등용 </v>
      </c>
      <c r="C132" s="13">
        <v>803000</v>
      </c>
      <c r="D132" s="14" t="s">
        <v>127</v>
      </c>
      <c r="E132" s="11" t="s">
        <v>128</v>
      </c>
      <c r="F132" s="11"/>
      <c r="G132" s="11" t="s">
        <v>211</v>
      </c>
      <c r="H132" s="11" t="s">
        <v>215</v>
      </c>
      <c r="I132" s="11" t="s">
        <v>149</v>
      </c>
      <c r="J132" s="11" t="s">
        <v>146</v>
      </c>
      <c r="K132" s="11" t="s">
        <v>147</v>
      </c>
      <c r="L132" s="11"/>
    </row>
    <row r="133">
      <c r="A133" s="11" t="s">
        <v>216</v>
      </c>
      <c r="B133" s="12" t="str">
        <f t="shared" si="1"/>
        <v xml:space="preserve"> 철제가로등주 MTPF-101-8-2 8m 2등용 </v>
      </c>
      <c r="C133" s="13">
        <v>890000</v>
      </c>
      <c r="D133" s="14" t="s">
        <v>127</v>
      </c>
      <c r="E133" s="11" t="s">
        <v>128</v>
      </c>
      <c r="F133" s="11"/>
      <c r="G133" s="11" t="s">
        <v>211</v>
      </c>
      <c r="H133" s="11" t="s">
        <v>216</v>
      </c>
      <c r="I133" s="11" t="s">
        <v>149</v>
      </c>
      <c r="J133" s="11" t="s">
        <v>146</v>
      </c>
      <c r="K133" s="11" t="s">
        <v>157</v>
      </c>
      <c r="L133" s="11"/>
    </row>
    <row r="134">
      <c r="A134" s="11" t="s">
        <v>217</v>
      </c>
      <c r="B134" s="12" t="str">
        <f t="shared" si="1"/>
        <v xml:space="preserve"> 철제가로등주 MTPF-101-9 9m 1등용 </v>
      </c>
      <c r="C134" s="13">
        <v>890000</v>
      </c>
      <c r="D134" s="14" t="s">
        <v>127</v>
      </c>
      <c r="E134" s="11" t="s">
        <v>128</v>
      </c>
      <c r="F134" s="11"/>
      <c r="G134" s="11" t="s">
        <v>211</v>
      </c>
      <c r="H134" s="11" t="s">
        <v>217</v>
      </c>
      <c r="I134" s="11" t="s">
        <v>151</v>
      </c>
      <c r="J134" s="11" t="s">
        <v>146</v>
      </c>
      <c r="K134" s="11" t="s">
        <v>147</v>
      </c>
      <c r="L134" s="11"/>
    </row>
    <row r="135">
      <c r="A135" s="11" t="s">
        <v>218</v>
      </c>
      <c r="B135" s="12" t="str">
        <f t="shared" si="1"/>
        <v xml:space="preserve"> 철제가로등주 MTPF-101-9-2 9m 2등용 </v>
      </c>
      <c r="C135" s="13">
        <v>970000</v>
      </c>
      <c r="D135" s="14" t="s">
        <v>127</v>
      </c>
      <c r="E135" s="11" t="s">
        <v>128</v>
      </c>
      <c r="F135" s="11"/>
      <c r="G135" s="11" t="s">
        <v>211</v>
      </c>
      <c r="H135" s="11" t="s">
        <v>218</v>
      </c>
      <c r="I135" s="11" t="s">
        <v>151</v>
      </c>
      <c r="J135" s="11" t="s">
        <v>146</v>
      </c>
      <c r="K135" s="11" t="s">
        <v>157</v>
      </c>
      <c r="L135" s="11"/>
    </row>
    <row r="136">
      <c r="A136" s="11" t="s">
        <v>219</v>
      </c>
      <c r="B136" s="12" t="str">
        <f t="shared" ref="B136:B137" si="2">IF($G136="","-",CONCATENATE(F136," ",G136," ",H136," ",I136," ",K136," ",L136))</f>
        <v xml:space="preserve"> 철제가로등주 MTPF-201-4 4m 1등용 </v>
      </c>
      <c r="C136" s="13">
        <v>605000</v>
      </c>
      <c r="D136" s="14" t="s">
        <v>127</v>
      </c>
      <c r="E136" s="11" t="s">
        <v>128</v>
      </c>
      <c r="F136" s="11"/>
      <c r="G136" s="11" t="s">
        <v>211</v>
      </c>
      <c r="H136" s="11" t="s">
        <v>219</v>
      </c>
      <c r="I136" s="11" t="s">
        <v>169</v>
      </c>
      <c r="J136" s="11" t="s">
        <v>146</v>
      </c>
      <c r="K136" s="11" t="s">
        <v>147</v>
      </c>
      <c r="L136" s="11"/>
    </row>
    <row r="137">
      <c r="A137" s="11" t="s">
        <v>220</v>
      </c>
      <c r="B137" s="12" t="str">
        <f t="shared" si="2"/>
        <v xml:space="preserve"> 철제가로등주 MTPF-201-4-2 4m 2등용 </v>
      </c>
      <c r="C137" s="13">
        <v>657000</v>
      </c>
      <c r="D137" s="14" t="s">
        <v>127</v>
      </c>
      <c r="E137" s="11" t="s">
        <v>128</v>
      </c>
      <c r="F137" s="11"/>
      <c r="G137" s="11" t="s">
        <v>211</v>
      </c>
      <c r="H137" s="11" t="s">
        <v>220</v>
      </c>
      <c r="I137" s="11" t="s">
        <v>169</v>
      </c>
      <c r="J137" s="11" t="s">
        <v>146</v>
      </c>
      <c r="K137" s="11" t="s">
        <v>157</v>
      </c>
      <c r="L137" s="11"/>
    </row>
    <row r="138">
      <c r="A138" s="11" t="s">
        <v>221</v>
      </c>
      <c r="B138" s="12" t="str">
        <f t="shared" ref="B138:B201" si="3">IF($G138="","-",CONCATENATE(F138," ",G138," ",H138," ",I138," ",K138," ",L138))</f>
        <v xml:space="preserve"> 철제가로등주 MTPF-201-5 5m 1등용 </v>
      </c>
      <c r="C138" s="13">
        <v>671000</v>
      </c>
      <c r="D138" s="14" t="s">
        <v>127</v>
      </c>
      <c r="E138" s="11" t="s">
        <v>128</v>
      </c>
      <c r="F138" s="11"/>
      <c r="G138" s="11" t="s">
        <v>211</v>
      </c>
      <c r="H138" s="11" t="s">
        <v>222</v>
      </c>
      <c r="I138" s="11" t="s">
        <v>171</v>
      </c>
      <c r="J138" s="11" t="s">
        <v>146</v>
      </c>
      <c r="K138" s="11" t="s">
        <v>147</v>
      </c>
      <c r="L138" s="11"/>
    </row>
    <row r="139">
      <c r="A139" s="11" t="s">
        <v>223</v>
      </c>
      <c r="B139" s="12" t="str">
        <f t="shared" si="3"/>
        <v xml:space="preserve"> 철제가로등주 MTPF-201-5-2 5m 2등용 </v>
      </c>
      <c r="C139" s="13">
        <v>722000</v>
      </c>
      <c r="D139" s="14" t="s">
        <v>127</v>
      </c>
      <c r="E139" s="11" t="s">
        <v>128</v>
      </c>
      <c r="F139" s="11"/>
      <c r="G139" s="11" t="s">
        <v>211</v>
      </c>
      <c r="H139" s="11" t="s">
        <v>223</v>
      </c>
      <c r="I139" s="11" t="s">
        <v>171</v>
      </c>
      <c r="J139" s="11" t="s">
        <v>146</v>
      </c>
      <c r="K139" s="11" t="s">
        <v>157</v>
      </c>
      <c r="L139" s="11"/>
    </row>
    <row r="140">
      <c r="A140" s="11" t="s">
        <v>224</v>
      </c>
      <c r="B140" s="12" t="str">
        <f t="shared" si="3"/>
        <v xml:space="preserve"> 도로표지병 MT-RS138-SW Φ138×47mm 백색, 태양광/LED,점등형 </v>
      </c>
      <c r="C140" s="13">
        <v>88000</v>
      </c>
      <c r="D140" s="14" t="s">
        <v>225</v>
      </c>
      <c r="E140" s="11" t="s">
        <v>226</v>
      </c>
      <c r="F140" s="11"/>
      <c r="G140" s="11" t="s">
        <v>226</v>
      </c>
      <c r="H140" s="11" t="s">
        <v>224</v>
      </c>
      <c r="I140" s="11" t="s">
        <v>227</v>
      </c>
      <c r="J140" s="11" t="s">
        <v>18</v>
      </c>
      <c r="K140" s="11" t="s">
        <v>228</v>
      </c>
      <c r="L140" s="11"/>
    </row>
    <row r="141">
      <c r="A141" s="11"/>
      <c r="B141" s="12" t="str">
        <f t="shared" si="3"/>
        <v>-</v>
      </c>
      <c r="C141" s="13"/>
      <c r="D141" s="14"/>
      <c r="E141" s="11"/>
      <c r="F141" s="11"/>
      <c r="G141" s="11"/>
      <c r="H141" s="11"/>
      <c r="I141" s="11"/>
      <c r="J141" s="11"/>
      <c r="K141" s="11"/>
      <c r="L141" s="11"/>
    </row>
    <row r="142">
      <c r="A142" s="11"/>
      <c r="B142" s="12" t="str">
        <f t="shared" si="3"/>
        <v>-</v>
      </c>
      <c r="C142" s="13"/>
      <c r="D142" s="14"/>
      <c r="E142" s="11"/>
      <c r="F142" s="11"/>
      <c r="G142" s="11"/>
      <c r="H142" s="11"/>
      <c r="I142" s="11"/>
      <c r="J142" s="11"/>
      <c r="K142" s="11"/>
      <c r="L142" s="11"/>
    </row>
    <row r="143">
      <c r="A143" s="11"/>
      <c r="B143" s="12" t="str">
        <f t="shared" si="3"/>
        <v>-</v>
      </c>
      <c r="C143" s="13"/>
      <c r="D143" s="14"/>
      <c r="E143" s="11"/>
      <c r="F143" s="11"/>
      <c r="G143" s="11"/>
      <c r="H143" s="11"/>
      <c r="I143" s="11"/>
      <c r="J143" s="11"/>
      <c r="K143" s="11"/>
      <c r="L143" s="11"/>
    </row>
    <row r="144">
      <c r="A144" s="11"/>
      <c r="B144" s="12" t="str">
        <f t="shared" si="3"/>
        <v>-</v>
      </c>
      <c r="C144" s="13"/>
      <c r="D144" s="14"/>
      <c r="E144" s="11"/>
      <c r="F144" s="11"/>
      <c r="G144" s="11"/>
      <c r="H144" s="11"/>
      <c r="I144" s="11"/>
      <c r="J144" s="11"/>
      <c r="K144" s="11"/>
      <c r="L144" s="11"/>
    </row>
    <row r="145">
      <c r="A145" s="11"/>
      <c r="B145" s="12" t="str">
        <f t="shared" si="3"/>
        <v>-</v>
      </c>
      <c r="C145" s="13"/>
      <c r="D145" s="14"/>
      <c r="E145" s="11"/>
      <c r="F145" s="11"/>
      <c r="G145" s="11"/>
      <c r="H145" s="11"/>
      <c r="I145" s="11"/>
      <c r="J145" s="11"/>
      <c r="K145" s="11"/>
      <c r="L145" s="11"/>
    </row>
    <row r="146">
      <c r="A146" s="11"/>
      <c r="B146" s="12" t="str">
        <f t="shared" si="3"/>
        <v>-</v>
      </c>
      <c r="C146" s="13"/>
      <c r="D146" s="14"/>
      <c r="E146" s="11"/>
      <c r="F146" s="11"/>
      <c r="G146" s="11"/>
      <c r="H146" s="11"/>
      <c r="I146" s="11"/>
      <c r="J146" s="11"/>
      <c r="K146" s="11"/>
      <c r="L146" s="11"/>
    </row>
    <row r="147">
      <c r="A147" s="11"/>
      <c r="B147" s="12" t="str">
        <f t="shared" si="3"/>
        <v>-</v>
      </c>
      <c r="C147" s="13"/>
      <c r="D147" s="14"/>
      <c r="E147" s="11"/>
      <c r="F147" s="11"/>
      <c r="G147" s="11"/>
      <c r="H147" s="11"/>
      <c r="I147" s="11"/>
      <c r="J147" s="11"/>
      <c r="K147" s="11"/>
      <c r="L147" s="11"/>
    </row>
    <row r="148">
      <c r="A148" s="11"/>
      <c r="B148" s="12" t="str">
        <f t="shared" si="3"/>
        <v>-</v>
      </c>
      <c r="C148" s="13"/>
      <c r="D148" s="14"/>
      <c r="E148" s="11"/>
      <c r="F148" s="11"/>
      <c r="G148" s="11"/>
      <c r="H148" s="11"/>
      <c r="I148" s="11"/>
      <c r="J148" s="11"/>
      <c r="K148" s="11"/>
      <c r="L148" s="11"/>
    </row>
    <row r="149">
      <c r="A149" s="11"/>
      <c r="B149" s="12" t="str">
        <f t="shared" si="3"/>
        <v>-</v>
      </c>
      <c r="C149" s="13"/>
      <c r="D149" s="14"/>
      <c r="E149" s="11"/>
      <c r="F149" s="11"/>
      <c r="G149" s="11"/>
      <c r="H149" s="11"/>
      <c r="I149" s="11"/>
      <c r="J149" s="11"/>
      <c r="K149" s="11"/>
      <c r="L149" s="11"/>
    </row>
    <row r="150">
      <c r="A150" s="11"/>
      <c r="B150" s="12" t="str">
        <f t="shared" si="3"/>
        <v>-</v>
      </c>
      <c r="C150" s="13"/>
      <c r="D150" s="14"/>
      <c r="E150" s="11"/>
      <c r="F150" s="11"/>
      <c r="G150" s="11"/>
      <c r="H150" s="11"/>
      <c r="I150" s="11"/>
      <c r="J150" s="11"/>
      <c r="K150" s="11"/>
      <c r="L150" s="11"/>
    </row>
    <row r="151">
      <c r="A151" s="11"/>
      <c r="B151" s="12" t="str">
        <f t="shared" si="3"/>
        <v>-</v>
      </c>
      <c r="C151" s="13"/>
      <c r="D151" s="14"/>
      <c r="E151" s="11"/>
      <c r="F151" s="11"/>
      <c r="G151" s="11"/>
      <c r="H151" s="11"/>
      <c r="I151" s="11"/>
      <c r="J151" s="11"/>
      <c r="K151" s="11"/>
      <c r="L151" s="11"/>
    </row>
    <row r="152">
      <c r="A152" s="11"/>
      <c r="B152" s="12" t="str">
        <f t="shared" si="3"/>
        <v>-</v>
      </c>
      <c r="C152" s="13"/>
      <c r="D152" s="14"/>
      <c r="E152" s="11"/>
      <c r="F152" s="11"/>
      <c r="G152" s="11"/>
      <c r="H152" s="11"/>
      <c r="I152" s="11"/>
      <c r="J152" s="11"/>
      <c r="K152" s="11"/>
      <c r="L152" s="11"/>
    </row>
    <row r="153">
      <c r="A153" s="11"/>
      <c r="B153" s="12" t="str">
        <f t="shared" si="3"/>
        <v>-</v>
      </c>
      <c r="C153" s="13"/>
      <c r="D153" s="14"/>
      <c r="E153" s="11"/>
      <c r="F153" s="11"/>
      <c r="G153" s="11"/>
      <c r="H153" s="11"/>
      <c r="I153" s="11"/>
      <c r="J153" s="11"/>
      <c r="K153" s="11"/>
      <c r="L153" s="11"/>
    </row>
    <row r="154">
      <c r="A154" s="11"/>
      <c r="B154" s="12" t="str">
        <f t="shared" si="3"/>
        <v>-</v>
      </c>
      <c r="C154" s="13"/>
      <c r="D154" s="14"/>
      <c r="E154" s="11"/>
      <c r="F154" s="11"/>
      <c r="G154" s="11"/>
      <c r="H154" s="11"/>
      <c r="I154" s="11"/>
      <c r="J154" s="11"/>
      <c r="K154" s="11"/>
      <c r="L154" s="11"/>
    </row>
    <row r="155">
      <c r="A155" s="11"/>
      <c r="B155" s="12" t="str">
        <f t="shared" si="3"/>
        <v>-</v>
      </c>
      <c r="C155" s="13"/>
      <c r="D155" s="14"/>
      <c r="E155" s="11"/>
      <c r="F155" s="11"/>
      <c r="G155" s="11"/>
      <c r="H155" s="11"/>
      <c r="I155" s="11"/>
      <c r="J155" s="11"/>
      <c r="K155" s="11"/>
      <c r="L155" s="11"/>
    </row>
    <row r="156">
      <c r="A156" s="11"/>
      <c r="B156" s="12" t="str">
        <f t="shared" si="3"/>
        <v>-</v>
      </c>
      <c r="C156" s="13"/>
      <c r="D156" s="14"/>
      <c r="E156" s="11"/>
      <c r="F156" s="11"/>
      <c r="G156" s="11"/>
      <c r="H156" s="11"/>
      <c r="I156" s="11"/>
      <c r="J156" s="11"/>
      <c r="K156" s="11"/>
      <c r="L156" s="11"/>
    </row>
    <row r="157">
      <c r="A157" s="11"/>
      <c r="B157" s="12" t="str">
        <f t="shared" si="3"/>
        <v>-</v>
      </c>
      <c r="C157" s="13"/>
      <c r="D157" s="14"/>
      <c r="E157" s="11"/>
      <c r="F157" s="11"/>
      <c r="G157" s="11"/>
      <c r="H157" s="11"/>
      <c r="I157" s="11"/>
      <c r="J157" s="11"/>
      <c r="K157" s="11"/>
      <c r="L157" s="11"/>
    </row>
    <row r="158">
      <c r="A158" s="11"/>
      <c r="B158" s="12" t="str">
        <f t="shared" si="3"/>
        <v>-</v>
      </c>
      <c r="C158" s="13"/>
      <c r="D158" s="14"/>
      <c r="E158" s="11"/>
      <c r="F158" s="11"/>
      <c r="G158" s="11"/>
      <c r="H158" s="11"/>
      <c r="I158" s="11"/>
      <c r="J158" s="11"/>
      <c r="K158" s="11"/>
      <c r="L158" s="11"/>
    </row>
    <row r="159">
      <c r="A159" s="11"/>
      <c r="B159" s="12" t="str">
        <f t="shared" si="3"/>
        <v>-</v>
      </c>
      <c r="C159" s="13"/>
      <c r="D159" s="14"/>
      <c r="E159" s="11"/>
      <c r="F159" s="11"/>
      <c r="G159" s="11"/>
      <c r="H159" s="11"/>
      <c r="I159" s="11"/>
      <c r="J159" s="11"/>
      <c r="K159" s="11"/>
      <c r="L159" s="11"/>
    </row>
    <row r="160">
      <c r="A160" s="11"/>
      <c r="B160" s="12" t="str">
        <f t="shared" si="3"/>
        <v>-</v>
      </c>
      <c r="C160" s="13"/>
      <c r="D160" s="14"/>
      <c r="E160" s="11"/>
      <c r="F160" s="11"/>
      <c r="G160" s="11"/>
      <c r="H160" s="11"/>
      <c r="I160" s="11"/>
      <c r="J160" s="11"/>
      <c r="K160" s="11"/>
      <c r="L160" s="11"/>
    </row>
    <row r="161">
      <c r="A161" s="11"/>
      <c r="B161" s="12" t="str">
        <f t="shared" si="3"/>
        <v>-</v>
      </c>
      <c r="C161" s="13"/>
      <c r="D161" s="14"/>
      <c r="E161" s="11"/>
      <c r="F161" s="11"/>
      <c r="G161" s="11"/>
      <c r="H161" s="11"/>
      <c r="I161" s="11"/>
      <c r="J161" s="11"/>
      <c r="K161" s="11"/>
      <c r="L161" s="11"/>
    </row>
    <row r="162">
      <c r="A162" s="11"/>
      <c r="B162" s="12" t="str">
        <f t="shared" si="3"/>
        <v>-</v>
      </c>
      <c r="C162" s="13"/>
      <c r="D162" s="14"/>
      <c r="E162" s="11"/>
      <c r="F162" s="11"/>
      <c r="G162" s="11"/>
      <c r="H162" s="11"/>
      <c r="I162" s="11"/>
      <c r="J162" s="11"/>
      <c r="K162" s="11"/>
      <c r="L162" s="11"/>
    </row>
    <row r="163">
      <c r="A163" s="11"/>
      <c r="B163" s="12" t="str">
        <f t="shared" si="3"/>
        <v>-</v>
      </c>
      <c r="C163" s="13"/>
      <c r="D163" s="14"/>
      <c r="E163" s="11"/>
      <c r="F163" s="11"/>
      <c r="G163" s="11"/>
      <c r="H163" s="11"/>
      <c r="I163" s="11"/>
      <c r="J163" s="11"/>
      <c r="K163" s="11"/>
      <c r="L163" s="11"/>
    </row>
    <row r="164">
      <c r="A164" s="11"/>
      <c r="B164" s="12" t="str">
        <f t="shared" si="3"/>
        <v>-</v>
      </c>
      <c r="C164" s="13"/>
      <c r="D164" s="14"/>
      <c r="E164" s="11"/>
      <c r="F164" s="11"/>
      <c r="G164" s="11"/>
      <c r="H164" s="11"/>
      <c r="I164" s="11"/>
      <c r="J164" s="11"/>
      <c r="K164" s="11"/>
      <c r="L164" s="11"/>
    </row>
    <row r="165">
      <c r="A165" s="11"/>
      <c r="B165" s="12" t="str">
        <f t="shared" si="3"/>
        <v>-</v>
      </c>
      <c r="C165" s="13"/>
      <c r="D165" s="14"/>
      <c r="E165" s="11"/>
      <c r="F165" s="11"/>
      <c r="G165" s="11"/>
      <c r="H165" s="11"/>
      <c r="I165" s="11"/>
      <c r="J165" s="11"/>
      <c r="K165" s="11"/>
      <c r="L165" s="11"/>
    </row>
    <row r="166">
      <c r="A166" s="11"/>
      <c r="B166" s="12" t="str">
        <f t="shared" si="3"/>
        <v>-</v>
      </c>
      <c r="C166" s="13"/>
      <c r="D166" s="14"/>
      <c r="E166" s="11"/>
      <c r="F166" s="11"/>
      <c r="G166" s="11"/>
      <c r="H166" s="11"/>
      <c r="I166" s="11"/>
      <c r="J166" s="11"/>
      <c r="K166" s="11"/>
      <c r="L166" s="11"/>
    </row>
    <row r="167">
      <c r="A167" s="11"/>
      <c r="B167" s="12" t="str">
        <f t="shared" si="3"/>
        <v>-</v>
      </c>
      <c r="C167" s="13"/>
      <c r="D167" s="14"/>
      <c r="E167" s="11"/>
      <c r="F167" s="11"/>
      <c r="G167" s="11"/>
      <c r="H167" s="11"/>
      <c r="I167" s="11"/>
      <c r="J167" s="11"/>
      <c r="K167" s="11"/>
      <c r="L167" s="11"/>
    </row>
    <row r="168">
      <c r="A168" s="11"/>
      <c r="B168" s="12" t="str">
        <f t="shared" si="3"/>
        <v>-</v>
      </c>
      <c r="C168" s="13"/>
      <c r="D168" s="14"/>
      <c r="E168" s="11"/>
      <c r="F168" s="11"/>
      <c r="G168" s="11"/>
      <c r="H168" s="11"/>
      <c r="I168" s="11"/>
      <c r="J168" s="11"/>
      <c r="K168" s="11"/>
      <c r="L168" s="11"/>
    </row>
    <row r="169">
      <c r="A169" s="11"/>
      <c r="B169" s="12" t="str">
        <f t="shared" si="3"/>
        <v>-</v>
      </c>
      <c r="C169" s="13"/>
      <c r="D169" s="14"/>
      <c r="E169" s="11"/>
      <c r="F169" s="11"/>
      <c r="G169" s="11"/>
      <c r="H169" s="11"/>
      <c r="I169" s="11"/>
      <c r="J169" s="11"/>
      <c r="K169" s="11"/>
      <c r="L169" s="11"/>
    </row>
    <row r="170">
      <c r="A170" s="11"/>
      <c r="B170" s="12" t="str">
        <f t="shared" si="3"/>
        <v>-</v>
      </c>
      <c r="C170" s="13"/>
      <c r="D170" s="14"/>
      <c r="E170" s="11"/>
      <c r="F170" s="11"/>
      <c r="G170" s="11"/>
      <c r="H170" s="11"/>
      <c r="I170" s="11"/>
      <c r="J170" s="11"/>
      <c r="K170" s="11"/>
      <c r="L170" s="11"/>
    </row>
    <row r="171">
      <c r="A171" s="11"/>
      <c r="B171" s="12" t="str">
        <f t="shared" si="3"/>
        <v>-</v>
      </c>
      <c r="C171" s="13"/>
      <c r="D171" s="14"/>
      <c r="E171" s="11"/>
      <c r="F171" s="11"/>
      <c r="G171" s="11"/>
      <c r="H171" s="11"/>
      <c r="I171" s="11"/>
      <c r="J171" s="11"/>
      <c r="K171" s="11"/>
      <c r="L171" s="11"/>
    </row>
    <row r="172">
      <c r="A172" s="11"/>
      <c r="B172" s="12" t="str">
        <f t="shared" si="3"/>
        <v>-</v>
      </c>
      <c r="C172" s="13"/>
      <c r="D172" s="14"/>
      <c r="E172" s="11"/>
      <c r="F172" s="11"/>
      <c r="G172" s="11"/>
      <c r="H172" s="11"/>
      <c r="I172" s="11"/>
      <c r="J172" s="11"/>
      <c r="K172" s="11"/>
      <c r="L172" s="11"/>
    </row>
    <row r="173">
      <c r="A173" s="11"/>
      <c r="B173" s="12" t="str">
        <f t="shared" si="3"/>
        <v>-</v>
      </c>
      <c r="C173" s="13"/>
      <c r="D173" s="14"/>
      <c r="E173" s="11"/>
      <c r="F173" s="11"/>
      <c r="G173" s="11"/>
      <c r="H173" s="11"/>
      <c r="I173" s="11"/>
      <c r="J173" s="11"/>
      <c r="K173" s="11"/>
      <c r="L173" s="11"/>
    </row>
    <row r="174">
      <c r="A174" s="11"/>
      <c r="B174" s="12" t="str">
        <f t="shared" si="3"/>
        <v>-</v>
      </c>
      <c r="C174" s="13"/>
      <c r="D174" s="14"/>
      <c r="E174" s="11"/>
      <c r="F174" s="11"/>
      <c r="G174" s="11"/>
      <c r="H174" s="11"/>
      <c r="I174" s="11"/>
      <c r="J174" s="11"/>
      <c r="K174" s="11"/>
      <c r="L174" s="11"/>
    </row>
    <row r="175">
      <c r="A175" s="11"/>
      <c r="B175" s="12" t="str">
        <f t="shared" si="3"/>
        <v>-</v>
      </c>
      <c r="C175" s="13"/>
      <c r="D175" s="14"/>
      <c r="E175" s="11"/>
      <c r="F175" s="11"/>
      <c r="G175" s="11"/>
      <c r="H175" s="11"/>
      <c r="I175" s="11"/>
      <c r="J175" s="11"/>
      <c r="K175" s="11"/>
      <c r="L175" s="11"/>
    </row>
    <row r="176">
      <c r="A176" s="11"/>
      <c r="B176" s="12" t="str">
        <f t="shared" si="3"/>
        <v>-</v>
      </c>
      <c r="C176" s="13"/>
      <c r="D176" s="14"/>
      <c r="E176" s="11"/>
      <c r="F176" s="11"/>
      <c r="G176" s="11"/>
      <c r="H176" s="11"/>
      <c r="I176" s="11"/>
      <c r="J176" s="11"/>
      <c r="K176" s="11"/>
      <c r="L176" s="11"/>
    </row>
    <row r="177">
      <c r="A177" s="11"/>
      <c r="B177" s="12" t="str">
        <f t="shared" si="3"/>
        <v>-</v>
      </c>
      <c r="C177" s="13"/>
      <c r="D177" s="14"/>
      <c r="E177" s="11"/>
      <c r="F177" s="11"/>
      <c r="G177" s="11"/>
      <c r="H177" s="11"/>
      <c r="I177" s="11"/>
      <c r="J177" s="11"/>
      <c r="K177" s="11"/>
      <c r="L177" s="11"/>
    </row>
    <row r="178">
      <c r="A178" s="11"/>
      <c r="B178" s="12" t="str">
        <f t="shared" si="3"/>
        <v>-</v>
      </c>
      <c r="C178" s="13"/>
      <c r="D178" s="14"/>
      <c r="E178" s="11"/>
      <c r="F178" s="11"/>
      <c r="G178" s="11"/>
      <c r="H178" s="11"/>
      <c r="I178" s="11"/>
      <c r="J178" s="11"/>
      <c r="K178" s="11"/>
      <c r="L178" s="11"/>
    </row>
    <row r="179">
      <c r="A179" s="11"/>
      <c r="B179" s="12" t="str">
        <f t="shared" si="3"/>
        <v>-</v>
      </c>
      <c r="C179" s="13"/>
      <c r="D179" s="14"/>
      <c r="E179" s="11"/>
      <c r="F179" s="11"/>
      <c r="G179" s="11"/>
      <c r="H179" s="11"/>
      <c r="I179" s="11"/>
      <c r="J179" s="11"/>
      <c r="K179" s="11"/>
      <c r="L179" s="11"/>
    </row>
    <row r="180">
      <c r="A180" s="11"/>
      <c r="B180" s="12" t="str">
        <f t="shared" si="3"/>
        <v>-</v>
      </c>
      <c r="C180" s="13"/>
      <c r="D180" s="14"/>
      <c r="E180" s="11"/>
      <c r="F180" s="11"/>
      <c r="G180" s="11"/>
      <c r="H180" s="11"/>
      <c r="I180" s="11"/>
      <c r="J180" s="11"/>
      <c r="K180" s="11"/>
      <c r="L180" s="11"/>
    </row>
    <row r="181">
      <c r="A181" s="11"/>
      <c r="B181" s="12" t="str">
        <f t="shared" si="3"/>
        <v>-</v>
      </c>
      <c r="C181" s="13"/>
      <c r="D181" s="14"/>
      <c r="E181" s="11"/>
      <c r="F181" s="11"/>
      <c r="G181" s="11"/>
      <c r="H181" s="11"/>
      <c r="I181" s="11"/>
      <c r="J181" s="11"/>
      <c r="K181" s="11"/>
      <c r="L181" s="11"/>
    </row>
    <row r="182">
      <c r="A182" s="11"/>
      <c r="B182" s="12" t="str">
        <f t="shared" si="3"/>
        <v>-</v>
      </c>
      <c r="C182" s="13"/>
      <c r="D182" s="14"/>
      <c r="E182" s="11"/>
      <c r="F182" s="11"/>
      <c r="G182" s="11"/>
      <c r="H182" s="11"/>
      <c r="I182" s="11"/>
      <c r="J182" s="11"/>
      <c r="K182" s="11"/>
      <c r="L182" s="11"/>
    </row>
    <row r="183">
      <c r="A183" s="11"/>
      <c r="B183" s="12" t="str">
        <f t="shared" si="3"/>
        <v>-</v>
      </c>
      <c r="C183" s="13"/>
      <c r="D183" s="14"/>
      <c r="E183" s="11"/>
      <c r="F183" s="11"/>
      <c r="G183" s="11"/>
      <c r="H183" s="11"/>
      <c r="I183" s="11"/>
      <c r="J183" s="11"/>
      <c r="K183" s="11"/>
      <c r="L183" s="11"/>
    </row>
    <row r="184">
      <c r="A184" s="11"/>
      <c r="B184" s="12" t="str">
        <f t="shared" si="3"/>
        <v>-</v>
      </c>
      <c r="C184" s="13"/>
      <c r="D184" s="14"/>
      <c r="E184" s="11"/>
      <c r="F184" s="11"/>
      <c r="G184" s="11"/>
      <c r="H184" s="11"/>
      <c r="I184" s="11"/>
      <c r="J184" s="11"/>
      <c r="K184" s="11"/>
      <c r="L184" s="11"/>
    </row>
    <row r="185">
      <c r="A185" s="11"/>
      <c r="B185" s="12" t="str">
        <f t="shared" si="3"/>
        <v>-</v>
      </c>
      <c r="C185" s="13"/>
      <c r="D185" s="14"/>
      <c r="E185" s="11"/>
      <c r="F185" s="11"/>
      <c r="G185" s="11"/>
      <c r="H185" s="11"/>
      <c r="I185" s="11"/>
      <c r="J185" s="11"/>
      <c r="K185" s="11"/>
      <c r="L185" s="11"/>
    </row>
    <row r="186">
      <c r="A186" s="11"/>
      <c r="B186" s="12" t="str">
        <f t="shared" si="3"/>
        <v>-</v>
      </c>
      <c r="C186" s="13"/>
      <c r="D186" s="14"/>
      <c r="E186" s="11"/>
      <c r="F186" s="11"/>
      <c r="G186" s="11"/>
      <c r="H186" s="11"/>
      <c r="I186" s="11"/>
      <c r="J186" s="11"/>
      <c r="K186" s="11"/>
      <c r="L186" s="11"/>
    </row>
    <row r="187">
      <c r="A187" s="11"/>
      <c r="B187" s="12" t="str">
        <f t="shared" si="3"/>
        <v>-</v>
      </c>
      <c r="C187" s="13"/>
      <c r="D187" s="14"/>
      <c r="E187" s="11"/>
      <c r="F187" s="11"/>
      <c r="G187" s="11"/>
      <c r="H187" s="11"/>
      <c r="I187" s="11"/>
      <c r="J187" s="11"/>
      <c r="K187" s="11"/>
      <c r="L187" s="11"/>
    </row>
    <row r="188">
      <c r="A188" s="11"/>
      <c r="B188" s="12" t="str">
        <f t="shared" si="3"/>
        <v>-</v>
      </c>
      <c r="C188" s="13"/>
      <c r="D188" s="14"/>
      <c r="E188" s="11"/>
      <c r="F188" s="11"/>
      <c r="G188" s="11"/>
      <c r="H188" s="11"/>
      <c r="I188" s="11"/>
      <c r="J188" s="11"/>
      <c r="K188" s="11"/>
      <c r="L188" s="11"/>
    </row>
    <row r="189">
      <c r="A189" s="11"/>
      <c r="B189" s="12" t="str">
        <f t="shared" si="3"/>
        <v>-</v>
      </c>
      <c r="C189" s="13"/>
      <c r="D189" s="14"/>
      <c r="E189" s="11"/>
      <c r="F189" s="11"/>
      <c r="G189" s="11"/>
      <c r="H189" s="11"/>
      <c r="I189" s="11"/>
      <c r="J189" s="11"/>
      <c r="K189" s="11"/>
      <c r="L189" s="11"/>
    </row>
    <row r="190">
      <c r="A190" s="11"/>
      <c r="B190" s="12" t="str">
        <f t="shared" si="3"/>
        <v>-</v>
      </c>
      <c r="C190" s="13"/>
      <c r="D190" s="14"/>
      <c r="E190" s="11"/>
      <c r="F190" s="11"/>
      <c r="G190" s="11"/>
      <c r="H190" s="11"/>
      <c r="I190" s="11"/>
      <c r="J190" s="11"/>
      <c r="K190" s="11"/>
      <c r="L190" s="11"/>
    </row>
    <row r="191">
      <c r="A191" s="11"/>
      <c r="B191" s="12" t="str">
        <f t="shared" si="3"/>
        <v>-</v>
      </c>
      <c r="C191" s="13"/>
      <c r="D191" s="14"/>
      <c r="E191" s="11"/>
      <c r="F191" s="11"/>
      <c r="G191" s="11"/>
      <c r="H191" s="11"/>
      <c r="I191" s="11"/>
      <c r="J191" s="11"/>
      <c r="K191" s="11"/>
      <c r="L191" s="11"/>
    </row>
    <row r="192">
      <c r="A192" s="11"/>
      <c r="B192" s="12" t="str">
        <f t="shared" si="3"/>
        <v>-</v>
      </c>
      <c r="C192" s="13"/>
      <c r="D192" s="14"/>
      <c r="E192" s="11"/>
      <c r="F192" s="11"/>
      <c r="G192" s="11"/>
      <c r="H192" s="11"/>
      <c r="I192" s="11"/>
      <c r="J192" s="11"/>
      <c r="K192" s="11"/>
      <c r="L192" s="11"/>
    </row>
    <row r="193">
      <c r="A193" s="11"/>
      <c r="B193" s="12" t="str">
        <f t="shared" si="3"/>
        <v>-</v>
      </c>
      <c r="C193" s="13"/>
      <c r="D193" s="14"/>
      <c r="E193" s="11"/>
      <c r="F193" s="11"/>
      <c r="G193" s="11"/>
      <c r="H193" s="11"/>
      <c r="I193" s="11"/>
      <c r="J193" s="11"/>
      <c r="K193" s="11"/>
      <c r="L193" s="11"/>
    </row>
    <row r="194">
      <c r="A194" s="11"/>
      <c r="B194" s="12" t="str">
        <f t="shared" si="3"/>
        <v>-</v>
      </c>
      <c r="C194" s="13"/>
      <c r="D194" s="14"/>
      <c r="E194" s="11"/>
      <c r="F194" s="11"/>
      <c r="G194" s="11"/>
      <c r="H194" s="11"/>
      <c r="I194" s="11"/>
      <c r="J194" s="11"/>
      <c r="K194" s="11"/>
      <c r="L194" s="11"/>
    </row>
    <row r="195">
      <c r="A195" s="11"/>
      <c r="B195" s="12" t="str">
        <f t="shared" si="3"/>
        <v>-</v>
      </c>
      <c r="C195" s="13"/>
      <c r="D195" s="14"/>
      <c r="E195" s="11"/>
      <c r="F195" s="11"/>
      <c r="G195" s="11"/>
      <c r="H195" s="11"/>
      <c r="I195" s="11"/>
      <c r="J195" s="11"/>
      <c r="K195" s="11"/>
      <c r="L195" s="11"/>
    </row>
    <row r="196">
      <c r="A196" s="11"/>
      <c r="B196" s="12" t="str">
        <f t="shared" si="3"/>
        <v>-</v>
      </c>
      <c r="C196" s="13"/>
      <c r="D196" s="14"/>
      <c r="E196" s="11"/>
      <c r="F196" s="11"/>
      <c r="G196" s="11"/>
      <c r="H196" s="11"/>
      <c r="I196" s="11"/>
      <c r="J196" s="11"/>
      <c r="K196" s="11"/>
      <c r="L196" s="11"/>
    </row>
    <row r="197">
      <c r="A197" s="11"/>
      <c r="B197" s="12" t="str">
        <f t="shared" si="3"/>
        <v>-</v>
      </c>
      <c r="C197" s="13"/>
      <c r="D197" s="14"/>
      <c r="E197" s="11"/>
      <c r="F197" s="11"/>
      <c r="G197" s="11"/>
      <c r="H197" s="11"/>
      <c r="I197" s="11"/>
      <c r="J197" s="11"/>
      <c r="K197" s="11"/>
      <c r="L197" s="11"/>
    </row>
    <row r="198">
      <c r="A198" s="11"/>
      <c r="B198" s="12" t="str">
        <f t="shared" si="3"/>
        <v>-</v>
      </c>
      <c r="C198" s="13"/>
      <c r="D198" s="14"/>
      <c r="E198" s="11"/>
      <c r="F198" s="11"/>
      <c r="G198" s="11"/>
      <c r="H198" s="11"/>
      <c r="I198" s="11"/>
      <c r="J198" s="11"/>
      <c r="K198" s="11"/>
      <c r="L198" s="11"/>
    </row>
    <row r="199">
      <c r="A199" s="11"/>
      <c r="B199" s="12" t="str">
        <f t="shared" si="3"/>
        <v>-</v>
      </c>
      <c r="C199" s="13"/>
      <c r="D199" s="14"/>
      <c r="E199" s="11"/>
      <c r="F199" s="11"/>
      <c r="G199" s="11"/>
      <c r="H199" s="11"/>
      <c r="I199" s="11"/>
      <c r="J199" s="11"/>
      <c r="K199" s="11"/>
      <c r="L199" s="11"/>
    </row>
    <row r="200">
      <c r="A200" s="11"/>
      <c r="B200" s="12" t="str">
        <f t="shared" si="3"/>
        <v>-</v>
      </c>
      <c r="C200" s="13"/>
      <c r="D200" s="14"/>
      <c r="E200" s="11"/>
      <c r="F200" s="11"/>
      <c r="G200" s="11"/>
      <c r="H200" s="11"/>
      <c r="I200" s="11"/>
      <c r="J200" s="11"/>
      <c r="K200" s="11"/>
      <c r="L200" s="11"/>
    </row>
    <row r="201">
      <c r="A201" s="11"/>
      <c r="B201" s="12" t="str">
        <f t="shared" si="3"/>
        <v>-</v>
      </c>
      <c r="C201" s="13"/>
      <c r="D201" s="14"/>
      <c r="E201" s="11"/>
      <c r="F201" s="11"/>
      <c r="G201" s="11"/>
      <c r="H201" s="11"/>
      <c r="I201" s="11"/>
      <c r="J201" s="11"/>
      <c r="K201" s="11"/>
      <c r="L201" s="11"/>
    </row>
    <row r="202">
      <c r="A202" s="11"/>
      <c r="B202" s="12" t="str">
        <f t="shared" ref="B202:B265" si="4">IF($G202="","-",CONCATENATE(F202," ",G202," ",H202," ",I202," ",K202," ",L202))</f>
        <v>-</v>
      </c>
      <c r="C202" s="13"/>
      <c r="D202" s="14"/>
      <c r="E202" s="11"/>
      <c r="F202" s="11"/>
      <c r="G202" s="11"/>
      <c r="H202" s="11"/>
      <c r="I202" s="11"/>
      <c r="J202" s="11"/>
      <c r="K202" s="11"/>
      <c r="L202" s="11"/>
    </row>
    <row r="203">
      <c r="A203" s="11"/>
      <c r="B203" s="12" t="str">
        <f t="shared" si="4"/>
        <v>-</v>
      </c>
      <c r="C203" s="13"/>
      <c r="D203" s="14"/>
      <c r="E203" s="11"/>
      <c r="F203" s="11"/>
      <c r="G203" s="11"/>
      <c r="H203" s="11"/>
      <c r="I203" s="11"/>
      <c r="J203" s="11"/>
      <c r="K203" s="11"/>
      <c r="L203" s="11"/>
    </row>
    <row r="204">
      <c r="A204" s="11"/>
      <c r="B204" s="12" t="str">
        <f t="shared" si="4"/>
        <v>-</v>
      </c>
      <c r="C204" s="13"/>
      <c r="D204" s="14"/>
      <c r="E204" s="11"/>
      <c r="F204" s="11"/>
      <c r="G204" s="11"/>
      <c r="H204" s="11"/>
      <c r="I204" s="11"/>
      <c r="J204" s="11"/>
      <c r="K204" s="11"/>
      <c r="L204" s="11"/>
    </row>
    <row r="205">
      <c r="A205" s="11"/>
      <c r="B205" s="12" t="str">
        <f t="shared" si="4"/>
        <v>-</v>
      </c>
      <c r="C205" s="13"/>
      <c r="D205" s="14"/>
      <c r="E205" s="11"/>
      <c r="F205" s="11"/>
      <c r="G205" s="11"/>
      <c r="H205" s="11"/>
      <c r="I205" s="11"/>
      <c r="J205" s="11"/>
      <c r="K205" s="11"/>
      <c r="L205" s="11"/>
    </row>
    <row r="206">
      <c r="A206" s="11"/>
      <c r="B206" s="12" t="str">
        <f t="shared" si="4"/>
        <v>-</v>
      </c>
      <c r="C206" s="13"/>
      <c r="D206" s="14"/>
      <c r="E206" s="11"/>
      <c r="F206" s="11"/>
      <c r="G206" s="11"/>
      <c r="H206" s="11"/>
      <c r="I206" s="11"/>
      <c r="J206" s="11"/>
      <c r="K206" s="11"/>
      <c r="L206" s="11"/>
    </row>
    <row r="207">
      <c r="A207" s="11"/>
      <c r="B207" s="12" t="str">
        <f t="shared" si="4"/>
        <v>-</v>
      </c>
      <c r="C207" s="13"/>
      <c r="D207" s="14"/>
      <c r="E207" s="11"/>
      <c r="F207" s="11"/>
      <c r="G207" s="11"/>
      <c r="H207" s="11"/>
      <c r="I207" s="11"/>
      <c r="J207" s="11"/>
      <c r="K207" s="11"/>
      <c r="L207" s="11"/>
    </row>
    <row r="208">
      <c r="A208" s="11"/>
      <c r="B208" s="12" t="str">
        <f t="shared" si="4"/>
        <v>-</v>
      </c>
      <c r="C208" s="13"/>
      <c r="D208" s="14"/>
      <c r="E208" s="11"/>
      <c r="F208" s="11"/>
      <c r="G208" s="11"/>
      <c r="H208" s="11"/>
      <c r="I208" s="11"/>
      <c r="J208" s="11"/>
      <c r="K208" s="11"/>
      <c r="L208" s="11"/>
    </row>
    <row r="209">
      <c r="A209" s="11"/>
      <c r="B209" s="12" t="str">
        <f t="shared" si="4"/>
        <v>-</v>
      </c>
      <c r="C209" s="13"/>
      <c r="D209" s="14"/>
      <c r="E209" s="11"/>
      <c r="F209" s="11"/>
      <c r="G209" s="11"/>
      <c r="H209" s="11"/>
      <c r="I209" s="11"/>
      <c r="J209" s="11"/>
      <c r="K209" s="11"/>
      <c r="L209" s="11"/>
    </row>
    <row r="210">
      <c r="A210" s="11"/>
      <c r="B210" s="12" t="str">
        <f t="shared" si="4"/>
        <v>-</v>
      </c>
      <c r="C210" s="13"/>
      <c r="D210" s="14"/>
      <c r="E210" s="11"/>
      <c r="F210" s="11"/>
      <c r="G210" s="11"/>
      <c r="H210" s="11"/>
      <c r="I210" s="11"/>
      <c r="J210" s="11"/>
      <c r="K210" s="11"/>
      <c r="L210" s="11"/>
    </row>
    <row r="211">
      <c r="A211" s="11"/>
      <c r="B211" s="12" t="str">
        <f t="shared" si="4"/>
        <v>-</v>
      </c>
      <c r="C211" s="13"/>
      <c r="D211" s="14"/>
      <c r="E211" s="11"/>
      <c r="F211" s="11"/>
      <c r="G211" s="11"/>
      <c r="H211" s="11"/>
      <c r="I211" s="11"/>
      <c r="J211" s="11"/>
      <c r="K211" s="11"/>
      <c r="L211" s="11"/>
    </row>
    <row r="212">
      <c r="A212" s="11"/>
      <c r="B212" s="12" t="str">
        <f t="shared" si="4"/>
        <v>-</v>
      </c>
      <c r="C212" s="13"/>
      <c r="D212" s="14"/>
      <c r="E212" s="11"/>
      <c r="F212" s="11"/>
      <c r="G212" s="11"/>
      <c r="H212" s="11"/>
      <c r="I212" s="11"/>
      <c r="J212" s="11"/>
      <c r="K212" s="11"/>
      <c r="L212" s="11"/>
    </row>
    <row r="213">
      <c r="A213" s="11"/>
      <c r="B213" s="12" t="str">
        <f t="shared" si="4"/>
        <v>-</v>
      </c>
      <c r="C213" s="13"/>
      <c r="D213" s="14"/>
      <c r="E213" s="11"/>
      <c r="F213" s="11"/>
      <c r="G213" s="11"/>
      <c r="H213" s="11"/>
      <c r="I213" s="11"/>
      <c r="J213" s="11"/>
      <c r="K213" s="11"/>
      <c r="L213" s="11"/>
    </row>
    <row r="214">
      <c r="A214" s="11"/>
      <c r="B214" s="12" t="str">
        <f t="shared" si="4"/>
        <v>-</v>
      </c>
      <c r="C214" s="13"/>
      <c r="D214" s="14"/>
      <c r="E214" s="11"/>
      <c r="F214" s="11"/>
      <c r="G214" s="11"/>
      <c r="H214" s="11"/>
      <c r="I214" s="11"/>
      <c r="J214" s="11"/>
      <c r="K214" s="11"/>
      <c r="L214" s="11"/>
    </row>
    <row r="215">
      <c r="A215" s="11"/>
      <c r="B215" s="12" t="str">
        <f t="shared" si="4"/>
        <v>-</v>
      </c>
      <c r="C215" s="13"/>
      <c r="D215" s="14"/>
      <c r="E215" s="11"/>
      <c r="F215" s="11"/>
      <c r="G215" s="11"/>
      <c r="H215" s="11"/>
      <c r="I215" s="11"/>
      <c r="J215" s="11"/>
      <c r="K215" s="11"/>
      <c r="L215" s="11"/>
    </row>
    <row r="216">
      <c r="A216" s="11"/>
      <c r="B216" s="12" t="str">
        <f t="shared" si="4"/>
        <v>-</v>
      </c>
      <c r="C216" s="13"/>
      <c r="D216" s="14"/>
      <c r="E216" s="11"/>
      <c r="F216" s="11"/>
      <c r="G216" s="11"/>
      <c r="H216" s="11"/>
      <c r="I216" s="11"/>
      <c r="J216" s="11"/>
      <c r="K216" s="11"/>
      <c r="L216" s="11"/>
    </row>
    <row r="217">
      <c r="A217" s="11"/>
      <c r="B217" s="12" t="str">
        <f t="shared" si="4"/>
        <v>-</v>
      </c>
      <c r="C217" s="13"/>
      <c r="D217" s="14"/>
      <c r="E217" s="11"/>
      <c r="F217" s="11"/>
      <c r="G217" s="11"/>
      <c r="H217" s="11"/>
      <c r="I217" s="11"/>
      <c r="J217" s="11"/>
      <c r="K217" s="11"/>
      <c r="L217" s="11"/>
    </row>
    <row r="218">
      <c r="A218" s="11"/>
      <c r="B218" s="12" t="str">
        <f t="shared" si="4"/>
        <v>-</v>
      </c>
      <c r="C218" s="13"/>
      <c r="D218" s="14"/>
      <c r="E218" s="11"/>
      <c r="F218" s="11"/>
      <c r="G218" s="11"/>
      <c r="H218" s="11"/>
      <c r="I218" s="11"/>
      <c r="J218" s="11"/>
      <c r="K218" s="11"/>
      <c r="L218" s="11"/>
    </row>
    <row r="219">
      <c r="A219" s="11"/>
      <c r="B219" s="12" t="str">
        <f t="shared" si="4"/>
        <v>-</v>
      </c>
      <c r="C219" s="13"/>
      <c r="D219" s="14"/>
      <c r="E219" s="11"/>
      <c r="F219" s="11"/>
      <c r="G219" s="11"/>
      <c r="H219" s="11"/>
      <c r="I219" s="11"/>
      <c r="J219" s="11"/>
      <c r="K219" s="11"/>
      <c r="L219" s="11"/>
    </row>
    <row r="220">
      <c r="A220" s="11"/>
      <c r="B220" s="12" t="str">
        <f t="shared" si="4"/>
        <v>-</v>
      </c>
      <c r="C220" s="13"/>
      <c r="D220" s="14"/>
      <c r="E220" s="11"/>
      <c r="F220" s="11"/>
      <c r="G220" s="11"/>
      <c r="H220" s="11"/>
      <c r="I220" s="11"/>
      <c r="J220" s="11"/>
      <c r="K220" s="11"/>
      <c r="L220" s="11"/>
    </row>
    <row r="221">
      <c r="A221" s="11"/>
      <c r="B221" s="12" t="str">
        <f t="shared" si="4"/>
        <v>-</v>
      </c>
      <c r="C221" s="13"/>
      <c r="D221" s="14"/>
      <c r="E221" s="11"/>
      <c r="F221" s="11"/>
      <c r="G221" s="11"/>
      <c r="H221" s="11"/>
      <c r="I221" s="11"/>
      <c r="J221" s="11"/>
      <c r="K221" s="11"/>
      <c r="L221" s="11"/>
    </row>
    <row r="222">
      <c r="A222" s="11"/>
      <c r="B222" s="12" t="str">
        <f t="shared" si="4"/>
        <v>-</v>
      </c>
      <c r="C222" s="13"/>
      <c r="D222" s="14"/>
      <c r="E222" s="11"/>
      <c r="F222" s="11"/>
      <c r="G222" s="11"/>
      <c r="H222" s="11"/>
      <c r="I222" s="11"/>
      <c r="J222" s="11"/>
      <c r="K222" s="11"/>
      <c r="L222" s="11"/>
    </row>
    <row r="223">
      <c r="A223" s="11"/>
      <c r="B223" s="12" t="str">
        <f t="shared" si="4"/>
        <v>-</v>
      </c>
      <c r="C223" s="13"/>
      <c r="D223" s="14"/>
      <c r="E223" s="11"/>
      <c r="F223" s="11"/>
      <c r="G223" s="11"/>
      <c r="H223" s="11"/>
      <c r="I223" s="11"/>
      <c r="J223" s="11"/>
      <c r="K223" s="11"/>
      <c r="L223" s="11"/>
    </row>
    <row r="224">
      <c r="A224" s="11"/>
      <c r="B224" s="12" t="str">
        <f t="shared" si="4"/>
        <v>-</v>
      </c>
      <c r="C224" s="13"/>
      <c r="D224" s="14"/>
      <c r="E224" s="11"/>
      <c r="F224" s="11"/>
      <c r="G224" s="11"/>
      <c r="H224" s="11"/>
      <c r="I224" s="11"/>
      <c r="J224" s="11"/>
      <c r="K224" s="11"/>
      <c r="L224" s="11"/>
    </row>
    <row r="225">
      <c r="A225" s="11"/>
      <c r="B225" s="12" t="str">
        <f t="shared" si="4"/>
        <v>-</v>
      </c>
      <c r="C225" s="13"/>
      <c r="D225" s="14"/>
      <c r="E225" s="11"/>
      <c r="F225" s="11"/>
      <c r="G225" s="11"/>
      <c r="H225" s="11"/>
      <c r="I225" s="11"/>
      <c r="J225" s="11"/>
      <c r="K225" s="11"/>
      <c r="L225" s="11"/>
    </row>
    <row r="226">
      <c r="A226" s="11"/>
      <c r="B226" s="12" t="str">
        <f t="shared" si="4"/>
        <v>-</v>
      </c>
      <c r="C226" s="13"/>
      <c r="D226" s="14"/>
      <c r="E226" s="11"/>
      <c r="F226" s="11"/>
      <c r="G226" s="11"/>
      <c r="H226" s="11"/>
      <c r="I226" s="11"/>
      <c r="J226" s="11"/>
      <c r="K226" s="11"/>
      <c r="L226" s="11"/>
    </row>
    <row r="227">
      <c r="A227" s="11"/>
      <c r="B227" s="12" t="str">
        <f t="shared" si="4"/>
        <v>-</v>
      </c>
      <c r="C227" s="13"/>
      <c r="D227" s="14"/>
      <c r="E227" s="11"/>
      <c r="F227" s="11"/>
      <c r="G227" s="11"/>
      <c r="H227" s="11"/>
      <c r="I227" s="11"/>
      <c r="J227" s="11"/>
      <c r="K227" s="11"/>
      <c r="L227" s="11"/>
    </row>
    <row r="228">
      <c r="A228" s="11"/>
      <c r="B228" s="12" t="str">
        <f t="shared" si="4"/>
        <v>-</v>
      </c>
      <c r="C228" s="13"/>
      <c r="D228" s="14"/>
      <c r="E228" s="11"/>
      <c r="F228" s="11"/>
      <c r="G228" s="11"/>
      <c r="H228" s="11"/>
      <c r="I228" s="11"/>
      <c r="J228" s="11"/>
      <c r="K228" s="11"/>
      <c r="L228" s="11"/>
    </row>
    <row r="229">
      <c r="A229" s="11"/>
      <c r="B229" s="12" t="str">
        <f t="shared" si="4"/>
        <v>-</v>
      </c>
      <c r="C229" s="13"/>
      <c r="D229" s="14"/>
      <c r="E229" s="11"/>
      <c r="F229" s="11"/>
      <c r="G229" s="11"/>
      <c r="H229" s="11"/>
      <c r="I229" s="11"/>
      <c r="J229" s="11"/>
      <c r="K229" s="11"/>
      <c r="L229" s="11"/>
    </row>
    <row r="230">
      <c r="A230" s="11"/>
      <c r="B230" s="12" t="str">
        <f t="shared" si="4"/>
        <v>-</v>
      </c>
      <c r="C230" s="13"/>
      <c r="D230" s="14"/>
      <c r="E230" s="11"/>
      <c r="F230" s="11"/>
      <c r="G230" s="11"/>
      <c r="H230" s="11"/>
      <c r="I230" s="11"/>
      <c r="J230" s="11"/>
      <c r="K230" s="11"/>
      <c r="L230" s="11"/>
    </row>
    <row r="231">
      <c r="A231" s="11"/>
      <c r="B231" s="12" t="str">
        <f t="shared" si="4"/>
        <v>-</v>
      </c>
      <c r="C231" s="13"/>
      <c r="D231" s="14"/>
      <c r="E231" s="11"/>
      <c r="F231" s="11"/>
      <c r="G231" s="11"/>
      <c r="H231" s="11"/>
      <c r="I231" s="11"/>
      <c r="J231" s="11"/>
      <c r="K231" s="11"/>
      <c r="L231" s="11"/>
    </row>
    <row r="232">
      <c r="A232" s="11"/>
      <c r="B232" s="12" t="str">
        <f t="shared" si="4"/>
        <v>-</v>
      </c>
      <c r="C232" s="13"/>
      <c r="D232" s="14"/>
      <c r="E232" s="11"/>
      <c r="F232" s="11"/>
      <c r="G232" s="11"/>
      <c r="H232" s="11"/>
      <c r="I232" s="11"/>
      <c r="J232" s="11"/>
      <c r="K232" s="11"/>
      <c r="L232" s="11"/>
    </row>
    <row r="233">
      <c r="A233" s="11"/>
      <c r="B233" s="12" t="str">
        <f t="shared" si="4"/>
        <v>-</v>
      </c>
      <c r="C233" s="13"/>
      <c r="D233" s="14"/>
      <c r="E233" s="11"/>
      <c r="F233" s="11"/>
      <c r="G233" s="11"/>
      <c r="H233" s="11"/>
      <c r="I233" s="11"/>
      <c r="J233" s="11"/>
      <c r="K233" s="11"/>
      <c r="L233" s="11"/>
    </row>
    <row r="234">
      <c r="A234" s="11"/>
      <c r="B234" s="12" t="str">
        <f t="shared" si="4"/>
        <v>-</v>
      </c>
      <c r="C234" s="13"/>
      <c r="D234" s="14"/>
      <c r="E234" s="11"/>
      <c r="F234" s="11"/>
      <c r="G234" s="11"/>
      <c r="H234" s="11"/>
      <c r="I234" s="11"/>
      <c r="J234" s="11"/>
      <c r="K234" s="11"/>
      <c r="L234" s="11"/>
    </row>
    <row r="235">
      <c r="A235" s="11"/>
      <c r="B235" s="12" t="str">
        <f t="shared" si="4"/>
        <v>-</v>
      </c>
      <c r="C235" s="13"/>
      <c r="D235" s="14"/>
      <c r="E235" s="11"/>
      <c r="F235" s="11"/>
      <c r="G235" s="11"/>
      <c r="H235" s="11"/>
      <c r="I235" s="11"/>
      <c r="J235" s="11"/>
      <c r="K235" s="11"/>
      <c r="L235" s="11"/>
    </row>
    <row r="236">
      <c r="A236" s="11"/>
      <c r="B236" s="12" t="str">
        <f t="shared" si="4"/>
        <v>-</v>
      </c>
      <c r="C236" s="13"/>
      <c r="D236" s="14"/>
      <c r="E236" s="11"/>
      <c r="F236" s="11"/>
      <c r="G236" s="11"/>
      <c r="H236" s="11"/>
      <c r="I236" s="11"/>
      <c r="J236" s="11"/>
      <c r="K236" s="11"/>
      <c r="L236" s="11"/>
    </row>
    <row r="237">
      <c r="A237" s="11"/>
      <c r="B237" s="12" t="str">
        <f t="shared" si="4"/>
        <v>-</v>
      </c>
      <c r="C237" s="13"/>
      <c r="D237" s="14"/>
      <c r="E237" s="11"/>
      <c r="F237" s="11"/>
      <c r="G237" s="11"/>
      <c r="H237" s="11"/>
      <c r="I237" s="11"/>
      <c r="J237" s="11"/>
      <c r="K237" s="11"/>
      <c r="L237" s="11"/>
    </row>
    <row r="238">
      <c r="A238" s="11"/>
      <c r="B238" s="12" t="str">
        <f t="shared" si="4"/>
        <v>-</v>
      </c>
      <c r="C238" s="13"/>
      <c r="D238" s="14"/>
      <c r="E238" s="11"/>
      <c r="F238" s="11"/>
      <c r="G238" s="11"/>
      <c r="H238" s="11"/>
      <c r="I238" s="11"/>
      <c r="J238" s="11"/>
      <c r="K238" s="11"/>
      <c r="L238" s="11"/>
    </row>
    <row r="239">
      <c r="A239" s="11"/>
      <c r="B239" s="12" t="str">
        <f t="shared" si="4"/>
        <v>-</v>
      </c>
      <c r="C239" s="13"/>
      <c r="D239" s="14"/>
      <c r="E239" s="11"/>
      <c r="F239" s="11"/>
      <c r="G239" s="11"/>
      <c r="H239" s="11"/>
      <c r="I239" s="11"/>
      <c r="J239" s="11"/>
      <c r="K239" s="11"/>
      <c r="L239" s="11"/>
    </row>
    <row r="240">
      <c r="A240" s="11"/>
      <c r="B240" s="12" t="str">
        <f t="shared" si="4"/>
        <v>-</v>
      </c>
      <c r="C240" s="13"/>
      <c r="D240" s="14"/>
      <c r="E240" s="11"/>
      <c r="F240" s="11"/>
      <c r="G240" s="11"/>
      <c r="H240" s="11"/>
      <c r="I240" s="11"/>
      <c r="J240" s="11"/>
      <c r="K240" s="11"/>
      <c r="L240" s="11"/>
    </row>
    <row r="241">
      <c r="A241" s="11"/>
      <c r="B241" s="12" t="str">
        <f t="shared" si="4"/>
        <v>-</v>
      </c>
      <c r="C241" s="13"/>
      <c r="D241" s="14"/>
      <c r="E241" s="11"/>
      <c r="F241" s="11"/>
      <c r="G241" s="11"/>
      <c r="H241" s="11"/>
      <c r="I241" s="11"/>
      <c r="J241" s="11"/>
      <c r="K241" s="11"/>
      <c r="L241" s="11"/>
    </row>
    <row r="242">
      <c r="A242" s="11"/>
      <c r="B242" s="12" t="str">
        <f t="shared" si="4"/>
        <v>-</v>
      </c>
      <c r="C242" s="13"/>
      <c r="D242" s="14"/>
      <c r="E242" s="11"/>
      <c r="F242" s="11"/>
      <c r="G242" s="11"/>
      <c r="H242" s="11"/>
      <c r="I242" s="11"/>
      <c r="J242" s="11"/>
      <c r="K242" s="11"/>
      <c r="L242" s="11"/>
    </row>
    <row r="243">
      <c r="A243" s="11"/>
      <c r="B243" s="12" t="str">
        <f t="shared" si="4"/>
        <v>-</v>
      </c>
      <c r="C243" s="13"/>
      <c r="D243" s="14"/>
      <c r="E243" s="11"/>
      <c r="F243" s="11"/>
      <c r="G243" s="11"/>
      <c r="H243" s="11"/>
      <c r="I243" s="11"/>
      <c r="J243" s="11"/>
      <c r="K243" s="11"/>
      <c r="L243" s="11"/>
    </row>
    <row r="244">
      <c r="A244" s="11"/>
      <c r="B244" s="12" t="str">
        <f t="shared" si="4"/>
        <v>-</v>
      </c>
      <c r="C244" s="13"/>
      <c r="D244" s="14"/>
      <c r="E244" s="11"/>
      <c r="F244" s="11"/>
      <c r="G244" s="11"/>
      <c r="H244" s="11"/>
      <c r="I244" s="11"/>
      <c r="J244" s="11"/>
      <c r="K244" s="11"/>
      <c r="L244" s="11"/>
    </row>
    <row r="245">
      <c r="A245" s="11"/>
      <c r="B245" s="12" t="str">
        <f t="shared" si="4"/>
        <v>-</v>
      </c>
      <c r="C245" s="13"/>
      <c r="D245" s="14"/>
      <c r="E245" s="11"/>
      <c r="F245" s="11"/>
      <c r="G245" s="11"/>
      <c r="H245" s="11"/>
      <c r="I245" s="11"/>
      <c r="J245" s="11"/>
      <c r="K245" s="11"/>
      <c r="L245" s="11"/>
    </row>
    <row r="246">
      <c r="A246" s="11"/>
      <c r="B246" s="12" t="str">
        <f t="shared" si="4"/>
        <v>-</v>
      </c>
      <c r="C246" s="13"/>
      <c r="D246" s="14"/>
      <c r="E246" s="11"/>
      <c r="F246" s="11"/>
      <c r="G246" s="11"/>
      <c r="H246" s="11"/>
      <c r="I246" s="11"/>
      <c r="J246" s="11"/>
      <c r="K246" s="11"/>
      <c r="L246" s="11"/>
    </row>
    <row r="247">
      <c r="A247" s="11"/>
      <c r="B247" s="12" t="str">
        <f t="shared" si="4"/>
        <v>-</v>
      </c>
      <c r="C247" s="13"/>
      <c r="D247" s="14"/>
      <c r="E247" s="11"/>
      <c r="F247" s="11"/>
      <c r="G247" s="11"/>
      <c r="H247" s="11"/>
      <c r="I247" s="11"/>
      <c r="J247" s="11"/>
      <c r="K247" s="11"/>
      <c r="L247" s="11"/>
    </row>
    <row r="248">
      <c r="A248" s="11"/>
      <c r="B248" s="12" t="str">
        <f t="shared" si="4"/>
        <v>-</v>
      </c>
      <c r="C248" s="13"/>
      <c r="D248" s="14"/>
      <c r="E248" s="11"/>
      <c r="F248" s="11"/>
      <c r="G248" s="11"/>
      <c r="H248" s="11"/>
      <c r="I248" s="11"/>
      <c r="J248" s="11"/>
      <c r="K248" s="11"/>
      <c r="L248" s="11"/>
    </row>
    <row r="249">
      <c r="A249" s="11"/>
      <c r="B249" s="12" t="str">
        <f t="shared" si="4"/>
        <v>-</v>
      </c>
      <c r="C249" s="13"/>
      <c r="D249" s="14"/>
      <c r="E249" s="11"/>
      <c r="F249" s="11"/>
      <c r="G249" s="11"/>
      <c r="H249" s="11"/>
      <c r="I249" s="11"/>
      <c r="J249" s="11"/>
      <c r="K249" s="11"/>
      <c r="L249" s="11"/>
    </row>
    <row r="250">
      <c r="A250" s="11"/>
      <c r="B250" s="12" t="str">
        <f t="shared" si="4"/>
        <v>-</v>
      </c>
      <c r="C250" s="13"/>
      <c r="D250" s="14"/>
      <c r="E250" s="11"/>
      <c r="F250" s="11"/>
      <c r="G250" s="11"/>
      <c r="H250" s="11"/>
      <c r="I250" s="11"/>
      <c r="J250" s="11"/>
      <c r="K250" s="11"/>
      <c r="L250" s="11"/>
    </row>
    <row r="251">
      <c r="A251" s="11"/>
      <c r="B251" s="12" t="str">
        <f t="shared" si="4"/>
        <v>-</v>
      </c>
      <c r="C251" s="13"/>
      <c r="D251" s="14"/>
      <c r="E251" s="11"/>
      <c r="F251" s="11"/>
      <c r="G251" s="11"/>
      <c r="H251" s="11"/>
      <c r="I251" s="11"/>
      <c r="J251" s="11"/>
      <c r="K251" s="11"/>
      <c r="L251" s="11"/>
    </row>
    <row r="252">
      <c r="A252" s="11"/>
      <c r="B252" s="12" t="str">
        <f t="shared" si="4"/>
        <v>-</v>
      </c>
      <c r="C252" s="13"/>
      <c r="D252" s="14"/>
      <c r="E252" s="11"/>
      <c r="F252" s="11"/>
      <c r="G252" s="11"/>
      <c r="H252" s="11"/>
      <c r="I252" s="11"/>
      <c r="J252" s="11"/>
      <c r="K252" s="11"/>
      <c r="L252" s="11"/>
    </row>
    <row r="253">
      <c r="A253" s="11"/>
      <c r="B253" s="12" t="str">
        <f t="shared" si="4"/>
        <v>-</v>
      </c>
      <c r="C253" s="13"/>
      <c r="D253" s="14"/>
      <c r="E253" s="11"/>
      <c r="F253" s="11"/>
      <c r="G253" s="11"/>
      <c r="H253" s="11"/>
      <c r="I253" s="11"/>
      <c r="J253" s="11"/>
      <c r="K253" s="11"/>
      <c r="L253" s="11"/>
    </row>
    <row r="254">
      <c r="A254" s="11"/>
      <c r="B254" s="12" t="str">
        <f t="shared" si="4"/>
        <v>-</v>
      </c>
      <c r="C254" s="13"/>
      <c r="D254" s="14"/>
      <c r="E254" s="11"/>
      <c r="F254" s="11"/>
      <c r="G254" s="11"/>
      <c r="H254" s="11"/>
      <c r="I254" s="11"/>
      <c r="J254" s="11"/>
      <c r="K254" s="11"/>
      <c r="L254" s="11"/>
    </row>
    <row r="255">
      <c r="A255" s="11"/>
      <c r="B255" s="12" t="str">
        <f t="shared" si="4"/>
        <v>-</v>
      </c>
      <c r="C255" s="13"/>
      <c r="D255" s="14"/>
      <c r="E255" s="11"/>
      <c r="F255" s="11"/>
      <c r="G255" s="11"/>
      <c r="H255" s="11"/>
      <c r="I255" s="11"/>
      <c r="J255" s="11"/>
      <c r="K255" s="11"/>
      <c r="L255" s="11"/>
    </row>
    <row r="256">
      <c r="A256" s="11"/>
      <c r="B256" s="12" t="str">
        <f t="shared" si="4"/>
        <v>-</v>
      </c>
      <c r="C256" s="13"/>
      <c r="D256" s="14"/>
      <c r="E256" s="11"/>
      <c r="F256" s="11"/>
      <c r="G256" s="11"/>
      <c r="H256" s="11"/>
      <c r="I256" s="11"/>
      <c r="J256" s="11"/>
      <c r="K256" s="11"/>
      <c r="L256" s="11"/>
    </row>
    <row r="257">
      <c r="A257" s="11"/>
      <c r="B257" s="12" t="str">
        <f t="shared" si="4"/>
        <v>-</v>
      </c>
      <c r="C257" s="13"/>
      <c r="D257" s="14"/>
      <c r="E257" s="11"/>
      <c r="F257" s="11"/>
      <c r="G257" s="11"/>
      <c r="H257" s="11"/>
      <c r="I257" s="11"/>
      <c r="J257" s="11"/>
      <c r="K257" s="11"/>
      <c r="L257" s="11"/>
    </row>
    <row r="258">
      <c r="A258" s="11"/>
      <c r="B258" s="12" t="str">
        <f t="shared" si="4"/>
        <v>-</v>
      </c>
      <c r="C258" s="13"/>
      <c r="D258" s="14"/>
      <c r="E258" s="11"/>
      <c r="F258" s="11"/>
      <c r="G258" s="11"/>
      <c r="H258" s="11"/>
      <c r="I258" s="11"/>
      <c r="J258" s="11"/>
      <c r="K258" s="11"/>
      <c r="L258" s="11"/>
    </row>
    <row r="259">
      <c r="A259" s="11"/>
      <c r="B259" s="12" t="str">
        <f t="shared" si="4"/>
        <v>-</v>
      </c>
      <c r="C259" s="13"/>
      <c r="D259" s="14"/>
      <c r="E259" s="11"/>
      <c r="F259" s="11"/>
      <c r="G259" s="11"/>
      <c r="H259" s="11"/>
      <c r="I259" s="11"/>
      <c r="J259" s="11"/>
      <c r="K259" s="11"/>
      <c r="L259" s="11"/>
    </row>
    <row r="260">
      <c r="A260" s="11"/>
      <c r="B260" s="12" t="str">
        <f t="shared" si="4"/>
        <v>-</v>
      </c>
      <c r="C260" s="13"/>
      <c r="D260" s="14"/>
      <c r="E260" s="11"/>
      <c r="F260" s="11"/>
      <c r="G260" s="11"/>
      <c r="H260" s="11"/>
      <c r="I260" s="11"/>
      <c r="J260" s="11"/>
      <c r="K260" s="11"/>
      <c r="L260" s="11"/>
    </row>
    <row r="261">
      <c r="A261" s="11"/>
      <c r="B261" s="12" t="str">
        <f t="shared" si="4"/>
        <v>-</v>
      </c>
      <c r="C261" s="13"/>
      <c r="D261" s="14"/>
      <c r="E261" s="11"/>
      <c r="F261" s="11"/>
      <c r="G261" s="11"/>
      <c r="H261" s="11"/>
      <c r="I261" s="11"/>
      <c r="J261" s="11"/>
      <c r="K261" s="11"/>
      <c r="L261" s="11"/>
    </row>
    <row r="262">
      <c r="A262" s="11"/>
      <c r="B262" s="12" t="str">
        <f t="shared" si="4"/>
        <v>-</v>
      </c>
      <c r="C262" s="13"/>
      <c r="D262" s="14"/>
      <c r="E262" s="11"/>
      <c r="F262" s="11"/>
      <c r="G262" s="11"/>
      <c r="H262" s="11"/>
      <c r="I262" s="11"/>
      <c r="J262" s="11"/>
      <c r="K262" s="11"/>
      <c r="L262" s="11"/>
    </row>
    <row r="263">
      <c r="A263" s="11"/>
      <c r="B263" s="12" t="str">
        <f t="shared" si="4"/>
        <v>-</v>
      </c>
      <c r="C263" s="13"/>
      <c r="D263" s="14"/>
      <c r="E263" s="11"/>
      <c r="F263" s="11"/>
      <c r="G263" s="11"/>
      <c r="H263" s="11"/>
      <c r="I263" s="11"/>
      <c r="J263" s="11"/>
      <c r="K263" s="11"/>
      <c r="L263" s="11"/>
    </row>
    <row r="264">
      <c r="A264" s="11"/>
      <c r="B264" s="12" t="str">
        <f t="shared" si="4"/>
        <v>-</v>
      </c>
      <c r="C264" s="13"/>
      <c r="D264" s="14"/>
      <c r="E264" s="11"/>
      <c r="F264" s="11"/>
      <c r="G264" s="11"/>
      <c r="H264" s="11"/>
      <c r="I264" s="11"/>
      <c r="J264" s="11"/>
      <c r="K264" s="11"/>
      <c r="L264" s="11"/>
    </row>
    <row r="265">
      <c r="A265" s="11"/>
      <c r="B265" s="12" t="str">
        <f t="shared" si="4"/>
        <v>-</v>
      </c>
      <c r="C265" s="13"/>
      <c r="D265" s="14"/>
      <c r="E265" s="11"/>
      <c r="F265" s="11"/>
      <c r="G265" s="11"/>
      <c r="H265" s="11"/>
      <c r="I265" s="11"/>
      <c r="J265" s="11"/>
      <c r="K265" s="11"/>
      <c r="L265" s="11"/>
    </row>
    <row r="266">
      <c r="A266" s="11"/>
      <c r="B266" s="12" t="str">
        <f t="shared" ref="B266:B290" si="5">IF($G266="","-",CONCATENATE(F266," ",G266," ",H266," ",I266," ",K266," ",L266))</f>
        <v>-</v>
      </c>
      <c r="C266" s="13"/>
      <c r="D266" s="14"/>
      <c r="E266" s="11"/>
      <c r="F266" s="11"/>
      <c r="G266" s="11"/>
      <c r="H266" s="11"/>
      <c r="I266" s="11"/>
      <c r="J266" s="11"/>
      <c r="K266" s="11"/>
      <c r="L266" s="11"/>
    </row>
    <row r="267">
      <c r="A267" s="11"/>
      <c r="B267" s="12" t="str">
        <f t="shared" si="5"/>
        <v>-</v>
      </c>
      <c r="C267" s="13"/>
      <c r="D267" s="14"/>
      <c r="E267" s="11"/>
      <c r="F267" s="11"/>
      <c r="G267" s="11"/>
      <c r="H267" s="11"/>
      <c r="I267" s="11"/>
      <c r="J267" s="11"/>
      <c r="K267" s="11"/>
      <c r="L267" s="11"/>
    </row>
    <row r="268">
      <c r="A268" s="11"/>
      <c r="B268" s="12" t="str">
        <f t="shared" si="5"/>
        <v>-</v>
      </c>
      <c r="C268" s="13"/>
      <c r="D268" s="14"/>
      <c r="E268" s="11"/>
      <c r="F268" s="11"/>
      <c r="G268" s="11"/>
      <c r="H268" s="11"/>
      <c r="I268" s="11"/>
      <c r="J268" s="11"/>
      <c r="K268" s="11"/>
      <c r="L268" s="11"/>
    </row>
    <row r="269">
      <c r="A269" s="11"/>
      <c r="B269" s="12" t="str">
        <f t="shared" si="5"/>
        <v>-</v>
      </c>
      <c r="C269" s="13"/>
      <c r="D269" s="14"/>
      <c r="E269" s="11"/>
      <c r="F269" s="11"/>
      <c r="G269" s="11"/>
      <c r="H269" s="11"/>
      <c r="I269" s="11"/>
      <c r="J269" s="11"/>
      <c r="K269" s="11"/>
      <c r="L269" s="11"/>
    </row>
    <row r="270">
      <c r="A270" s="11"/>
      <c r="B270" s="12" t="str">
        <f t="shared" si="5"/>
        <v>-</v>
      </c>
      <c r="C270" s="13"/>
      <c r="D270" s="14"/>
      <c r="E270" s="11"/>
      <c r="F270" s="11"/>
      <c r="G270" s="11"/>
      <c r="H270" s="11"/>
      <c r="I270" s="11"/>
      <c r="J270" s="11"/>
      <c r="K270" s="11"/>
      <c r="L270" s="11"/>
    </row>
    <row r="271">
      <c r="A271" s="11"/>
      <c r="B271" s="12" t="str">
        <f t="shared" si="5"/>
        <v>-</v>
      </c>
      <c r="C271" s="13"/>
      <c r="D271" s="14"/>
      <c r="E271" s="11"/>
      <c r="F271" s="11"/>
      <c r="G271" s="11"/>
      <c r="H271" s="11"/>
      <c r="I271" s="11"/>
      <c r="J271" s="11"/>
      <c r="K271" s="11"/>
      <c r="L271" s="11"/>
    </row>
    <row r="272">
      <c r="A272" s="11"/>
      <c r="B272" s="12" t="str">
        <f t="shared" si="5"/>
        <v>-</v>
      </c>
      <c r="C272" s="13"/>
      <c r="D272" s="14"/>
      <c r="E272" s="11"/>
      <c r="F272" s="11"/>
      <c r="G272" s="11"/>
      <c r="H272" s="11"/>
      <c r="I272" s="11"/>
      <c r="J272" s="11"/>
      <c r="K272" s="11"/>
      <c r="L272" s="11"/>
    </row>
    <row r="273">
      <c r="A273" s="11"/>
      <c r="B273" s="12" t="str">
        <f t="shared" si="5"/>
        <v>-</v>
      </c>
      <c r="C273" s="13"/>
      <c r="D273" s="14"/>
      <c r="E273" s="11"/>
      <c r="F273" s="11"/>
      <c r="G273" s="11"/>
      <c r="H273" s="11"/>
      <c r="I273" s="11"/>
      <c r="J273" s="11"/>
      <c r="K273" s="11"/>
      <c r="L273" s="11"/>
    </row>
    <row r="274">
      <c r="A274" s="11"/>
      <c r="B274" s="12" t="str">
        <f t="shared" si="5"/>
        <v>-</v>
      </c>
      <c r="C274" s="13"/>
      <c r="D274" s="14"/>
      <c r="E274" s="11"/>
      <c r="F274" s="11"/>
      <c r="G274" s="11"/>
      <c r="H274" s="11"/>
      <c r="I274" s="11"/>
      <c r="J274" s="11"/>
      <c r="K274" s="11"/>
      <c r="L274" s="11"/>
    </row>
    <row r="275">
      <c r="A275" s="11"/>
      <c r="B275" s="12" t="str">
        <f t="shared" si="5"/>
        <v>-</v>
      </c>
      <c r="C275" s="13"/>
      <c r="D275" s="14"/>
      <c r="E275" s="11"/>
      <c r="F275" s="11"/>
      <c r="G275" s="11"/>
      <c r="H275" s="11"/>
      <c r="I275" s="11"/>
      <c r="J275" s="11"/>
      <c r="K275" s="11"/>
      <c r="L275" s="11"/>
    </row>
    <row r="276">
      <c r="A276" s="11"/>
      <c r="B276" s="12" t="str">
        <f t="shared" si="5"/>
        <v>-</v>
      </c>
      <c r="C276" s="13"/>
      <c r="D276" s="14"/>
      <c r="E276" s="11"/>
      <c r="F276" s="11"/>
      <c r="G276" s="11"/>
      <c r="H276" s="11"/>
      <c r="I276" s="11"/>
      <c r="J276" s="11"/>
      <c r="K276" s="11"/>
      <c r="L276" s="11"/>
    </row>
    <row r="277">
      <c r="A277" s="11"/>
      <c r="B277" s="12" t="str">
        <f t="shared" si="5"/>
        <v>-</v>
      </c>
      <c r="C277" s="13"/>
      <c r="D277" s="14"/>
      <c r="E277" s="11"/>
      <c r="F277" s="11"/>
      <c r="G277" s="11"/>
      <c r="H277" s="11"/>
      <c r="I277" s="11"/>
      <c r="J277" s="11"/>
      <c r="K277" s="11"/>
      <c r="L277" s="11"/>
    </row>
    <row r="278">
      <c r="A278" s="11"/>
      <c r="B278" s="12" t="str">
        <f t="shared" si="5"/>
        <v>-</v>
      </c>
      <c r="C278" s="13"/>
      <c r="D278" s="14"/>
      <c r="E278" s="11"/>
      <c r="F278" s="11"/>
      <c r="G278" s="11"/>
      <c r="H278" s="11"/>
      <c r="I278" s="11"/>
      <c r="J278" s="11"/>
      <c r="K278" s="11"/>
      <c r="L278" s="11"/>
    </row>
    <row r="279">
      <c r="A279" s="11"/>
      <c r="B279" s="12" t="str">
        <f t="shared" si="5"/>
        <v>-</v>
      </c>
      <c r="C279" s="13"/>
      <c r="D279" s="14"/>
      <c r="E279" s="11"/>
      <c r="F279" s="11"/>
      <c r="G279" s="11"/>
      <c r="H279" s="11"/>
      <c r="I279" s="11"/>
      <c r="J279" s="11"/>
      <c r="K279" s="11"/>
      <c r="L279" s="11"/>
    </row>
    <row r="280">
      <c r="A280" s="11"/>
      <c r="B280" s="12" t="str">
        <f t="shared" si="5"/>
        <v>-</v>
      </c>
      <c r="C280" s="13"/>
      <c r="D280" s="14"/>
      <c r="E280" s="11"/>
      <c r="F280" s="11"/>
      <c r="G280" s="11"/>
      <c r="H280" s="11"/>
      <c r="I280" s="11"/>
      <c r="J280" s="11"/>
      <c r="K280" s="11"/>
      <c r="L280" s="11"/>
    </row>
    <row r="281">
      <c r="A281" s="11"/>
      <c r="B281" s="12" t="str">
        <f t="shared" si="5"/>
        <v>-</v>
      </c>
      <c r="C281" s="13"/>
      <c r="D281" s="14"/>
      <c r="E281" s="11"/>
      <c r="F281" s="11"/>
      <c r="G281" s="11"/>
      <c r="H281" s="11"/>
      <c r="I281" s="11"/>
      <c r="J281" s="11"/>
      <c r="K281" s="11"/>
      <c r="L281" s="11"/>
    </row>
    <row r="282">
      <c r="A282" s="11"/>
      <c r="B282" s="12" t="str">
        <f t="shared" si="5"/>
        <v>-</v>
      </c>
      <c r="C282" s="13"/>
      <c r="D282" s="14"/>
      <c r="E282" s="11"/>
      <c r="F282" s="11"/>
      <c r="G282" s="11"/>
      <c r="H282" s="11"/>
      <c r="I282" s="11"/>
      <c r="J282" s="11"/>
      <c r="K282" s="11"/>
      <c r="L282" s="11"/>
    </row>
    <row r="283">
      <c r="A283" s="11"/>
      <c r="B283" s="12" t="str">
        <f t="shared" si="5"/>
        <v>-</v>
      </c>
      <c r="C283" s="13"/>
      <c r="D283" s="14"/>
      <c r="E283" s="11"/>
      <c r="F283" s="11"/>
      <c r="G283" s="11"/>
      <c r="H283" s="11"/>
      <c r="I283" s="11"/>
      <c r="J283" s="11"/>
      <c r="K283" s="11"/>
      <c r="L283" s="11"/>
    </row>
    <row r="284">
      <c r="A284" s="11"/>
      <c r="B284" s="12" t="str">
        <f t="shared" si="5"/>
        <v>-</v>
      </c>
      <c r="C284" s="13"/>
      <c r="D284" s="14"/>
      <c r="E284" s="11"/>
      <c r="F284" s="11"/>
      <c r="G284" s="11"/>
      <c r="H284" s="11"/>
      <c r="I284" s="11"/>
      <c r="J284" s="11"/>
      <c r="K284" s="11"/>
      <c r="L284" s="11"/>
    </row>
    <row r="285">
      <c r="A285" s="11"/>
      <c r="B285" s="12" t="str">
        <f t="shared" si="5"/>
        <v>-</v>
      </c>
      <c r="C285" s="13"/>
      <c r="D285" s="14"/>
      <c r="E285" s="11"/>
      <c r="F285" s="11"/>
      <c r="G285" s="11"/>
      <c r="H285" s="11"/>
      <c r="I285" s="11"/>
      <c r="J285" s="11"/>
      <c r="K285" s="11"/>
      <c r="L285" s="11"/>
    </row>
    <row r="286">
      <c r="A286" s="11"/>
      <c r="B286" s="12" t="str">
        <f t="shared" si="5"/>
        <v>-</v>
      </c>
      <c r="C286" s="13"/>
      <c r="D286" s="14"/>
      <c r="E286" s="11"/>
      <c r="F286" s="11"/>
      <c r="G286" s="11"/>
      <c r="H286" s="11"/>
      <c r="I286" s="11"/>
      <c r="J286" s="11"/>
      <c r="K286" s="11"/>
      <c r="L286" s="11"/>
    </row>
    <row r="287">
      <c r="A287" s="11"/>
      <c r="B287" s="12" t="str">
        <f t="shared" si="5"/>
        <v>-</v>
      </c>
      <c r="C287" s="13"/>
      <c r="D287" s="14"/>
      <c r="E287" s="11"/>
      <c r="F287" s="11"/>
      <c r="G287" s="11"/>
      <c r="H287" s="11"/>
      <c r="I287" s="11"/>
      <c r="J287" s="11"/>
      <c r="K287" s="11"/>
      <c r="L287" s="11"/>
    </row>
    <row r="288">
      <c r="A288" s="11"/>
      <c r="B288" s="12" t="str">
        <f t="shared" si="5"/>
        <v>-</v>
      </c>
      <c r="C288" s="13"/>
      <c r="D288" s="14"/>
      <c r="E288" s="11"/>
      <c r="F288" s="11"/>
      <c r="G288" s="11"/>
      <c r="H288" s="11"/>
      <c r="I288" s="11"/>
      <c r="J288" s="11"/>
      <c r="K288" s="11"/>
      <c r="L288" s="11"/>
    </row>
    <row r="289">
      <c r="A289" s="11"/>
      <c r="B289" s="12" t="str">
        <f t="shared" si="5"/>
        <v>-</v>
      </c>
      <c r="C289" s="13"/>
      <c r="D289" s="14"/>
      <c r="E289" s="11"/>
      <c r="F289" s="11"/>
      <c r="G289" s="11"/>
      <c r="H289" s="11"/>
      <c r="I289" s="11"/>
      <c r="J289" s="11"/>
      <c r="K289" s="11"/>
      <c r="L289" s="11"/>
    </row>
    <row r="290">
      <c r="A290" s="1" t="s">
        <v>229</v>
      </c>
      <c r="B290" s="12" t="str">
        <f t="shared" si="5"/>
        <v xml:space="preserve">END END END END END END</v>
      </c>
      <c r="C290" s="3" t="s">
        <v>229</v>
      </c>
      <c r="D290" s="4" t="s">
        <v>229</v>
      </c>
      <c r="E290" s="1" t="s">
        <v>229</v>
      </c>
      <c r="F290" s="1" t="s">
        <v>229</v>
      </c>
      <c r="G290" s="1" t="s">
        <v>229</v>
      </c>
      <c r="H290" s="1" t="s">
        <v>229</v>
      </c>
      <c r="I290" s="1" t="s">
        <v>229</v>
      </c>
      <c r="K290" s="1" t="s">
        <v>229</v>
      </c>
      <c r="L290" s="1" t="s">
        <v>229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4" zoomScale="100" workbookViewId="0">
      <selection activeCell="F26" activeCellId="0" sqref="F26"/>
    </sheetView>
  </sheetViews>
  <sheetFormatPr defaultRowHeight="14.25"/>
  <cols>
    <col customWidth="1" min="1" max="1" style="18" width="13.125"/>
    <col customWidth="1" min="2" max="2" style="18" width="15.625"/>
    <col bestFit="1" customWidth="1" min="3" max="3" style="18" width="5.25"/>
    <col customWidth="1" min="4" max="4" style="19" width="24.625"/>
    <col customWidth="1" min="5" max="5" style="19" width="20.5"/>
    <col customWidth="1" min="6" max="7" style="19" width="6.625"/>
    <col customWidth="1" min="8" max="8" style="19" width="15.625"/>
    <col customWidth="1" min="9" max="9" style="19" width="5.625"/>
    <col bestFit="1" customWidth="1" min="10" max="10" style="19" width="17.25"/>
    <col bestFit="1" customWidth="1" min="11" max="12" style="19" width="60.5"/>
    <col customWidth="1" min="13" max="13" style="19" width="10.625"/>
    <col min="14" max="16384" style="17" width="9.00390625"/>
  </cols>
  <sheetData>
    <row r="4" ht="33">
      <c r="A4" s="20" t="s">
        <v>230</v>
      </c>
      <c r="B4" s="20"/>
      <c r="C4" s="20"/>
      <c r="D4" s="20"/>
      <c r="E4" s="20"/>
      <c r="F4" s="20"/>
      <c r="G4" s="20"/>
      <c r="H4" s="20"/>
      <c r="I4" s="20"/>
    </row>
    <row r="6" ht="15.75">
      <c r="A6" s="18" t="s">
        <v>231</v>
      </c>
    </row>
    <row r="7" ht="15.75">
      <c r="A7" s="21" t="s">
        <v>232</v>
      </c>
      <c r="B7" s="22" t="s">
        <v>233</v>
      </c>
      <c r="C7" s="23" t="s">
        <v>234</v>
      </c>
      <c r="D7" s="24" t="s">
        <v>235</v>
      </c>
      <c r="E7" s="25"/>
      <c r="F7" s="25"/>
      <c r="G7" s="25"/>
      <c r="H7" s="25"/>
      <c r="I7" s="26"/>
    </row>
    <row r="8" ht="15.75">
      <c r="A8" s="27"/>
      <c r="B8" s="22" t="s">
        <v>236</v>
      </c>
      <c r="C8" s="28" t="s">
        <v>234</v>
      </c>
      <c r="D8" s="29" t="s">
        <v>237</v>
      </c>
    </row>
    <row r="9" ht="15.75">
      <c r="A9" s="30"/>
      <c r="B9" s="22" t="s">
        <v>238</v>
      </c>
      <c r="C9" s="22" t="s">
        <v>234</v>
      </c>
      <c r="D9" s="31">
        <v>46120</v>
      </c>
    </row>
    <row r="10">
      <c r="B10" s="19"/>
      <c r="C10" s="19"/>
    </row>
    <row r="11" ht="15.75">
      <c r="A11" s="21" t="s">
        <v>239</v>
      </c>
      <c r="B11" s="22" t="s">
        <v>240</v>
      </c>
      <c r="C11" s="22" t="s">
        <v>234</v>
      </c>
      <c r="D11" s="32" t="s">
        <v>241</v>
      </c>
    </row>
    <row r="12" ht="15.75">
      <c r="A12" s="30"/>
      <c r="B12" s="22" t="s">
        <v>242</v>
      </c>
      <c r="C12" s="22" t="s">
        <v>234</v>
      </c>
      <c r="D12" s="31">
        <v>46196</v>
      </c>
    </row>
    <row r="13">
      <c r="B13" s="19"/>
      <c r="C13" s="19"/>
    </row>
    <row r="14" ht="15.75">
      <c r="A14" s="21" t="s">
        <v>243</v>
      </c>
      <c r="B14" s="22" t="s">
        <v>244</v>
      </c>
      <c r="C14" s="32" t="s">
        <v>234</v>
      </c>
      <c r="D14" s="31">
        <v>46195</v>
      </c>
    </row>
    <row r="15" ht="15.75">
      <c r="A15" s="27"/>
      <c r="B15" s="22" t="s">
        <v>245</v>
      </c>
      <c r="C15" s="22" t="s">
        <v>234</v>
      </c>
      <c r="D15" s="32">
        <v>2</v>
      </c>
    </row>
    <row r="16" ht="15.75">
      <c r="A16" s="30"/>
      <c r="B16" s="33" t="s">
        <v>246</v>
      </c>
      <c r="C16" s="33" t="s">
        <v>247</v>
      </c>
      <c r="D16" s="34" t="str">
        <f>CONCATENATE("MT-",TEXT(D14,"yyyy"),TEXT(D14,"mm"),TEXT(D14,"dd"),IF(LEN(D15)&lt;2,"0"&amp;D15&amp;"호",D15&amp;"호"))</f>
        <v>MT-2026062202호</v>
      </c>
    </row>
    <row r="17">
      <c r="B17" s="19"/>
      <c r="C17" s="19"/>
    </row>
    <row r="18" ht="15.75">
      <c r="A18" s="21" t="s">
        <v>248</v>
      </c>
      <c r="B18" s="22" t="s">
        <v>249</v>
      </c>
      <c r="C18" s="22" t="s">
        <v>234</v>
      </c>
      <c r="D18" s="32" t="s">
        <v>250</v>
      </c>
    </row>
    <row r="19" ht="15.75">
      <c r="A19" s="27"/>
      <c r="B19" s="22" t="s">
        <v>251</v>
      </c>
      <c r="C19" s="22" t="s">
        <v>234</v>
      </c>
      <c r="D19" s="32">
        <v>6108524413</v>
      </c>
    </row>
    <row r="20" ht="15.75">
      <c r="A20" s="27"/>
      <c r="B20" s="35" t="s">
        <v>252</v>
      </c>
      <c r="C20" s="35" t="s">
        <v>253</v>
      </c>
      <c r="D20" s="35" t="s">
        <v>254</v>
      </c>
    </row>
    <row r="21" ht="15.75">
      <c r="A21" s="30"/>
      <c r="B21" s="35" t="s">
        <v>255</v>
      </c>
      <c r="C21" s="35" t="s">
        <v>253</v>
      </c>
      <c r="D21" s="35" t="s">
        <v>256</v>
      </c>
    </row>
    <row r="22">
      <c r="B22" s="19"/>
      <c r="C22" s="19"/>
    </row>
    <row r="23" ht="15.75">
      <c r="A23" s="36" t="s">
        <v>257</v>
      </c>
      <c r="B23" s="35" t="s">
        <v>258</v>
      </c>
      <c r="C23" s="35" t="s">
        <v>253</v>
      </c>
      <c r="D23" s="35">
        <v>1</v>
      </c>
    </row>
    <row r="24" ht="15.75">
      <c r="B24" s="19"/>
      <c r="C24" s="19"/>
      <c r="J24" s="37" t="s">
        <v>259</v>
      </c>
      <c r="K24" s="38"/>
      <c r="L24" s="39"/>
      <c r="M24" s="40" t="s">
        <v>234</v>
      </c>
    </row>
    <row r="25" ht="15.75">
      <c r="A25" s="36" t="s">
        <v>260</v>
      </c>
      <c r="B25" s="22" t="s">
        <v>261</v>
      </c>
      <c r="C25" s="22" t="s">
        <v>262</v>
      </c>
      <c r="D25" s="22" t="s">
        <v>2</v>
      </c>
      <c r="E25" s="22" t="s">
        <v>263</v>
      </c>
      <c r="F25" s="23" t="s">
        <v>264</v>
      </c>
      <c r="G25" s="23" t="s">
        <v>265</v>
      </c>
      <c r="H25" s="41" t="s">
        <v>266</v>
      </c>
      <c r="J25" s="42" t="s">
        <v>267</v>
      </c>
      <c r="K25" s="42" t="s">
        <v>268</v>
      </c>
      <c r="L25" s="42" t="s">
        <v>269</v>
      </c>
      <c r="M25" s="43" t="s">
        <v>270</v>
      </c>
    </row>
    <row r="26" ht="15.75">
      <c r="B26" s="44" t="s">
        <v>271</v>
      </c>
      <c r="C26" s="32">
        <v>1</v>
      </c>
      <c r="D26" s="32" t="s">
        <v>89</v>
      </c>
      <c r="E26" s="45">
        <f>IF(D26="","-",VLOOKUP($D26,데이터!$A$8:$K$289,3,0))</f>
        <v>2950000</v>
      </c>
      <c r="F26" s="46" t="str">
        <f>IF(E26="","-",VLOOKUP($D26,데이터!$A$8:$K$289,10,0))</f>
        <v>개</v>
      </c>
      <c r="G26" s="47">
        <v>28</v>
      </c>
      <c r="H26" s="48">
        <f t="shared" ref="H26:H35" si="6">E26*G26</f>
        <v>82600000</v>
      </c>
      <c r="J26" s="49" t="str">
        <f>IF($D26="","-",VLOOKUP($D26,데이터!$A$8:$K$289,4,0))</f>
        <v>39111611</v>
      </c>
      <c r="K26" s="49" t="str">
        <f>IF($D26="","-",VLOOKUP($D26,데이터!$A$8:$K$289,2,0))</f>
        <v xml:space="preserve"> LED투광등기구 ARENA-600(3000K) 600W  </v>
      </c>
      <c r="L26" s="49" t="str">
        <f>IF($D26="","-",VLOOKUP($D26,데이터!$A$8:$K$289,5,0))</f>
        <v>투광조명</v>
      </c>
      <c r="M26" s="32" t="s">
        <v>272</v>
      </c>
    </row>
    <row r="27" ht="15.75">
      <c r="C27" s="32">
        <v>2</v>
      </c>
      <c r="D27" s="19" t="s">
        <v>89</v>
      </c>
      <c r="E27" s="45">
        <f>IF(D27="","-",VLOOKUP($D27,데이터!$A$8:$K$289,3,0))</f>
        <v>2950000</v>
      </c>
      <c r="F27" s="46" t="str">
        <f>IF(E27="","-",VLOOKUP($D27,데이터!$A$8:$K$289,10,0))</f>
        <v>개</v>
      </c>
      <c r="G27" s="50">
        <v>28</v>
      </c>
      <c r="H27" s="48">
        <f t="shared" si="6"/>
        <v>82600000</v>
      </c>
      <c r="J27" s="49" t="str">
        <f>IF($D27="","",VLOOKUP($D27,데이터!$A$8:$K$289,4,0))</f>
        <v>39111611</v>
      </c>
      <c r="K27" s="49" t="str">
        <f>IF($D27="","",VLOOKUP($D27,데이터!$A$8:$K$289,2,0))</f>
        <v xml:space="preserve"> LED투광등기구 ARENA-600(3000K) 600W  </v>
      </c>
      <c r="L27" s="49" t="str">
        <f>IF($D27="","",VLOOKUP($D27,데이터!$A$8:$K$289,5,0))</f>
        <v>투광조명</v>
      </c>
      <c r="M27" s="32" t="s">
        <v>272</v>
      </c>
    </row>
    <row r="28" ht="15.75">
      <c r="C28" s="32">
        <v>3</v>
      </c>
      <c r="D28" s="32" t="s">
        <v>89</v>
      </c>
      <c r="E28" s="45">
        <f>IF(D28="","-",VLOOKUP($D28,데이터!$A$8:$K$289,3,0))</f>
        <v>2950000</v>
      </c>
      <c r="F28" s="46" t="str">
        <f>IF(E28="","-",VLOOKUP($D28,데이터!$A$8:$K$289,10,0))</f>
        <v>개</v>
      </c>
      <c r="G28" s="47">
        <v>28</v>
      </c>
      <c r="H28" s="48">
        <f t="shared" si="6"/>
        <v>82600000</v>
      </c>
      <c r="J28" s="49" t="str">
        <f>IF($D28="","",VLOOKUP($D28,데이터!$A$8:$K$289,4,0))</f>
        <v>39111611</v>
      </c>
      <c r="K28" s="49" t="str">
        <f>IF($D28="","",VLOOKUP($D28,데이터!$A$8:$K$289,2,0))</f>
        <v xml:space="preserve"> LED투광등기구 ARENA-600(3000K) 600W  </v>
      </c>
      <c r="L28" s="49" t="str">
        <f>IF($D28="","",VLOOKUP($D28,데이터!$A$8:$K$289,5,0))</f>
        <v>투광조명</v>
      </c>
      <c r="M28" s="32" t="s">
        <v>272</v>
      </c>
    </row>
    <row r="29" ht="15.75">
      <c r="C29" s="32">
        <v>4</v>
      </c>
      <c r="D29" s="19" t="s">
        <v>89</v>
      </c>
      <c r="E29" s="45">
        <f>IF(D29="","-",VLOOKUP($D29,데이터!$A$8:$K$289,3,0))</f>
        <v>2950000</v>
      </c>
      <c r="F29" s="46" t="str">
        <f>IF(E29="","-",VLOOKUP($D29,데이터!$A$8:$K$289,10,0))</f>
        <v>개</v>
      </c>
      <c r="G29" s="47">
        <v>28</v>
      </c>
      <c r="H29" s="48">
        <f t="shared" si="6"/>
        <v>82600000</v>
      </c>
      <c r="J29" s="49" t="str">
        <f>IF($D29="","",VLOOKUP($D29,데이터!$A$8:$K$289,4,0))</f>
        <v>39111611</v>
      </c>
      <c r="K29" s="49" t="str">
        <f>IF($D29="","",VLOOKUP($D29,데이터!$A$8:$K$289,2,0))</f>
        <v xml:space="preserve"> LED투광등기구 ARENA-600(3000K) 600W  </v>
      </c>
      <c r="L29" s="49" t="str">
        <f>IF($D29="","",VLOOKUP($D29,데이터!$A$8:$K$289,5,0))</f>
        <v>투광조명</v>
      </c>
      <c r="M29" s="32" t="s">
        <v>272</v>
      </c>
    </row>
    <row r="30" ht="15.75">
      <c r="C30" s="32">
        <v>5</v>
      </c>
      <c r="D30" s="32"/>
      <c r="E30" s="51"/>
      <c r="F30" s="47"/>
      <c r="G30" s="52"/>
      <c r="H30" s="48">
        <f t="shared" si="6"/>
        <v>0</v>
      </c>
      <c r="J30" s="32"/>
      <c r="K30" s="32"/>
      <c r="L30" s="32"/>
      <c r="M30" s="32"/>
    </row>
    <row r="31" ht="15.75">
      <c r="C31" s="32">
        <v>6</v>
      </c>
      <c r="D31" s="32"/>
      <c r="E31" s="51"/>
      <c r="F31" s="47"/>
      <c r="G31" s="52"/>
      <c r="H31" s="48">
        <f t="shared" si="6"/>
        <v>0</v>
      </c>
      <c r="J31" s="32"/>
      <c r="K31" s="32"/>
      <c r="L31" s="32"/>
      <c r="M31" s="32"/>
    </row>
    <row r="32" ht="15.75">
      <c r="C32" s="32">
        <v>7</v>
      </c>
      <c r="D32" s="32"/>
      <c r="E32" s="51"/>
      <c r="F32" s="47"/>
      <c r="G32" s="53"/>
      <c r="H32" s="48">
        <f t="shared" si="6"/>
        <v>0</v>
      </c>
      <c r="J32" s="32"/>
      <c r="K32" s="32"/>
      <c r="L32" s="32"/>
      <c r="M32" s="32"/>
    </row>
    <row r="33" ht="15.75">
      <c r="C33" s="32">
        <v>8</v>
      </c>
      <c r="D33" s="32"/>
      <c r="E33" s="51"/>
      <c r="F33" s="47"/>
      <c r="G33" s="52"/>
      <c r="H33" s="48">
        <f t="shared" si="6"/>
        <v>0</v>
      </c>
      <c r="J33" s="32"/>
      <c r="K33" s="32"/>
      <c r="L33" s="32"/>
      <c r="M33" s="32"/>
    </row>
    <row r="34" ht="15.75">
      <c r="C34" s="32">
        <v>9</v>
      </c>
      <c r="D34" s="32"/>
      <c r="E34" s="51"/>
      <c r="F34" s="47"/>
      <c r="G34" s="52"/>
      <c r="H34" s="48">
        <f t="shared" si="6"/>
        <v>0</v>
      </c>
      <c r="J34" s="32"/>
      <c r="K34" s="32"/>
      <c r="L34" s="32"/>
      <c r="M34" s="32"/>
    </row>
    <row r="35" ht="15.75">
      <c r="C35" s="32">
        <v>10</v>
      </c>
      <c r="D35" s="32"/>
      <c r="E35" s="51"/>
      <c r="F35" s="47"/>
      <c r="G35" s="52"/>
      <c r="H35" s="48">
        <f t="shared" si="6"/>
        <v>0</v>
      </c>
      <c r="J35" s="32"/>
      <c r="K35" s="32"/>
      <c r="L35" s="32"/>
      <c r="M35" s="32"/>
    </row>
    <row r="36" ht="15.75">
      <c r="C36" s="54" t="s">
        <v>273</v>
      </c>
      <c r="D36" s="54"/>
      <c r="E36" s="55"/>
      <c r="F36" s="56"/>
      <c r="G36" s="57">
        <f>SUM(G26:G35)</f>
        <v>112</v>
      </c>
      <c r="H36" s="58">
        <f>SUM(H26:H35)</f>
        <v>330400000</v>
      </c>
    </row>
    <row r="38" ht="15.75">
      <c r="A38" s="36" t="s">
        <v>274</v>
      </c>
      <c r="B38" s="22" t="s">
        <v>275</v>
      </c>
      <c r="C38" s="22" t="s">
        <v>234</v>
      </c>
      <c r="D38" s="51">
        <v>446040</v>
      </c>
    </row>
    <row r="39">
      <c r="B39" s="19"/>
      <c r="C39" s="19"/>
    </row>
    <row r="40">
      <c r="B40" s="19"/>
      <c r="C40" s="19"/>
    </row>
    <row r="41">
      <c r="B41" s="19"/>
      <c r="C41" s="19"/>
    </row>
    <row r="45" ht="15.75">
      <c r="B45" s="59" t="s">
        <v>276</v>
      </c>
      <c r="C45" s="59" t="s">
        <v>234</v>
      </c>
      <c r="D45" s="51">
        <f>$D$38</f>
        <v>446040</v>
      </c>
    </row>
  </sheetData>
  <mergeCells count="2">
    <mergeCell ref="D7:I7"/>
    <mergeCell ref="J24:L2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DA00DD-0086-4D1E-84CD-00D20083001C}" type="list" allowBlank="1" errorStyle="stop" imeMode="noControl" operator="between" showDropDown="0" showErrorMessage="1" showInputMessage="1">
          <x14:formula1>
            <xm:f>"유, 무"</xm:f>
          </x14:formula1>
          <xm:sqref>D21</xm:sqref>
        </x14:dataValidation>
        <x14:dataValidation xr:uid="{002C00D7-005C-475A-943D-0004000F002C}" type="list" allowBlank="1" errorStyle="stop" imeMode="noControl" operator="between" showDropDown="0" showErrorMessage="1" showInputMessage="1">
          <x14:formula1>
            <xm:f>"청, 기관, 교,  사업소"</xm:f>
          </x14:formula1>
          <xm:sqref>D20</xm:sqref>
        </x14:dataValidation>
        <x14:dataValidation xr:uid="{002D00DA-002B-431A-9A9C-00F900690055}" type="list" allowBlank="1" errorStyle="stop" imeMode="noControl" operator="between" showDropDown="0" showErrorMessage="1" showInputMessage="1">
          <x14:formula1>
            <xm:f>"1,2,3"</xm:f>
          </x14:formula1>
          <xm:sqref>D23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pageBreakPreview" zoomScale="100" workbookViewId="0">
      <selection activeCell="O13" activeCellId="0" sqref="O13"/>
    </sheetView>
  </sheetViews>
  <sheetFormatPr defaultRowHeight="14.25"/>
  <cols>
    <col customWidth="1" min="1" max="12" style="17" width="7.375"/>
    <col min="13" max="16384" style="17" width="9.00390625"/>
  </cols>
  <sheetData>
    <row r="1" ht="45" customHeight="1">
      <c r="A1" s="60" t="s">
        <v>277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ht="53.25" customHeight="1">
      <c r="A2" s="61" t="s">
        <v>278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2"/>
    </row>
    <row r="3">
      <c r="A3" s="19"/>
      <c r="B3" s="19"/>
      <c r="C3" s="19"/>
      <c r="D3" s="19"/>
      <c r="E3" s="19"/>
      <c r="F3" s="19"/>
      <c r="G3" s="19"/>
      <c r="H3" s="19"/>
      <c r="I3" s="19"/>
      <c r="J3" s="17"/>
      <c r="K3" s="17"/>
      <c r="L3" s="17"/>
    </row>
    <row r="4" ht="22.5" customHeight="1">
      <c r="A4" s="17" t="s">
        <v>279</v>
      </c>
      <c r="B4" s="18" t="str">
        <f>'기초 자료 입력'!D18</f>
        <v xml:space="preserve">한국공항공사 울산공항</v>
      </c>
      <c r="C4" s="18"/>
      <c r="D4" s="18"/>
      <c r="E4" s="18"/>
      <c r="F4" s="18"/>
      <c r="G4" s="18"/>
      <c r="H4" s="18"/>
      <c r="I4" s="18"/>
      <c r="J4" s="18"/>
      <c r="K4" s="18"/>
      <c r="L4" s="18"/>
    </row>
    <row r="5" ht="22.5" customHeight="1">
      <c r="A5" s="17" t="s">
        <v>280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ht="22.5" customHeight="1">
      <c r="A6" s="17" t="s">
        <v>281</v>
      </c>
      <c r="B6" s="18" t="str">
        <f>'기초 자료 입력'!D7&amp;" 건의 납품계 제출"</f>
        <v xml:space="preserve">울산공항 계류장조명등 개선공사 관급자재 구매 건의 납품계 제출</v>
      </c>
      <c r="C6" s="18"/>
      <c r="D6" s="18"/>
      <c r="E6" s="18"/>
      <c r="F6" s="18"/>
      <c r="G6" s="18"/>
      <c r="H6" s="18"/>
      <c r="I6" s="18"/>
      <c r="J6" s="18"/>
      <c r="K6" s="18"/>
      <c r="L6" s="18"/>
    </row>
    <row r="7" ht="27" customHeight="1">
      <c r="A7" s="63" t="str">
        <f>CONCATENATE("1. 귀 ",'기초 자료 입력'!$D$20,"의 무궁한 발전을 기원 합니다.")</f>
        <v xml:space="preserve">1. 귀 기관의 무궁한 발전을 기원 합니다.</v>
      </c>
      <c r="B7" s="63"/>
      <c r="C7" s="63"/>
      <c r="D7" s="63"/>
      <c r="E7" s="63"/>
      <c r="F7" s="64"/>
      <c r="G7" s="63"/>
      <c r="H7" s="63"/>
      <c r="I7" s="63"/>
      <c r="J7" s="63"/>
      <c r="K7" s="63"/>
      <c r="L7" s="18"/>
    </row>
    <row r="8" ht="19.5" customHeight="1">
      <c r="A8" s="18"/>
      <c r="B8" s="17"/>
      <c r="C8" s="17"/>
      <c r="D8" s="18"/>
      <c r="E8" s="18"/>
      <c r="F8" s="19"/>
      <c r="G8" s="18"/>
      <c r="H8" s="18"/>
      <c r="I8" s="18"/>
      <c r="J8" s="18"/>
      <c r="K8" s="18"/>
      <c r="L8" s="18"/>
    </row>
    <row r="9" ht="20.100000000000001" customHeight="1">
      <c r="A9" s="65" t="str">
        <f>CONCATENATE("2. ",'기초 자료 입력'!$D$7, "건의 납품을 완료하여")</f>
        <v xml:space="preserve">2. 울산공항 계류장조명등 개선공사 관급자재 구매건의 납품을 완료하여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18"/>
    </row>
    <row r="10" ht="20.100000000000001" customHeight="1">
      <c r="A10" s="18" t="s">
        <v>282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</row>
    <row r="11" ht="20.10000000000000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</row>
    <row r="12" ht="20.100000000000001" customHeight="1">
      <c r="A12" s="66" t="str">
        <f>CONCATENATE("가.  납품요구번호 : ",'기초 자료 입력'!D11)</f>
        <v xml:space="preserve">가.  납품요구번호 : R26TB01782064-00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ht="20.100000000000001" customHeight="1">
      <c r="A13" s="67" t="s">
        <v>283</v>
      </c>
      <c r="B13" s="67"/>
      <c r="C13" s="67" t="str">
        <f>"금"&amp;NUMBERSTRING('기초 자료 입력'!H36,1)&amp;"원"&amp;" (\"&amp;TEXT('기초 자료 입력'!H36,"#,###")&amp;")"</f>
        <v>#NAME?</v>
      </c>
      <c r="D13" s="67"/>
      <c r="E13" s="67"/>
      <c r="F13" s="67"/>
      <c r="G13" s="67"/>
      <c r="H13" s="67"/>
      <c r="I13" s="67"/>
      <c r="J13" s="67"/>
      <c r="K13" s="67"/>
      <c r="L13" s="17"/>
    </row>
    <row r="14" ht="20.100000000000001" customHeight="1">
      <c r="A14" s="17" t="s">
        <v>284</v>
      </c>
      <c r="B14" s="17"/>
      <c r="C14" s="68">
        <f>'기초 자료 입력'!D9</f>
        <v>46120</v>
      </c>
      <c r="D14" s="18"/>
      <c r="E14" s="18"/>
      <c r="F14" s="18"/>
      <c r="G14" s="18"/>
      <c r="H14" s="18"/>
      <c r="I14" s="18"/>
      <c r="J14" s="18"/>
      <c r="K14" s="18"/>
      <c r="L14" s="18"/>
    </row>
    <row r="15" ht="20.100000000000001" customHeight="1">
      <c r="A15" s="17" t="s">
        <v>285</v>
      </c>
      <c r="B15" s="17"/>
      <c r="C15" s="68">
        <f>'기초 자료 입력'!D12</f>
        <v>46196</v>
      </c>
      <c r="D15" s="18"/>
      <c r="E15" s="18"/>
      <c r="F15" s="18"/>
      <c r="G15" s="18"/>
      <c r="H15" s="18"/>
      <c r="I15" s="18"/>
      <c r="J15" s="18"/>
      <c r="K15" s="18"/>
      <c r="L15" s="18"/>
    </row>
    <row r="16" ht="20.100000000000001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ht="20.100000000000001" customHeight="1">
      <c r="A17" s="18" t="s">
        <v>286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8" ht="20.100000000000001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ht="20.100000000000001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</row>
    <row r="20" ht="20.10000000000000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ht="20.10000000000000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</row>
    <row r="22" ht="20.100000000000001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ht="20.100000000000001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</row>
    <row r="24" ht="20.100000000000001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ht="25.5" customHeight="1">
      <c r="A25" s="69" t="s">
        <v>287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</row>
    <row r="26" ht="15.75" customHeight="1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ht="9.75" customHeight="1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2"/>
    </row>
    <row r="29" s="67" customFormat="1" ht="6" customHeight="1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</row>
    <row r="30" ht="19.5" customHeight="1">
      <c r="A30" s="73" t="s">
        <v>288</v>
      </c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</row>
    <row r="31" ht="19.5" customHeight="1">
      <c r="A31" s="73" t="s">
        <v>289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</row>
    <row r="32" ht="19.5" customHeight="1">
      <c r="A32" s="73" t="s">
        <v>290</v>
      </c>
      <c r="B32" s="73"/>
      <c r="C32" s="73" t="str">
        <f>'기초 자료 입력'!D16</f>
        <v>MT-2026062202호</v>
      </c>
      <c r="D32" s="73"/>
      <c r="E32" s="73"/>
      <c r="F32" s="74"/>
      <c r="G32" s="73" t="s">
        <v>291</v>
      </c>
      <c r="H32" s="74"/>
      <c r="I32" s="74"/>
      <c r="J32" s="74"/>
      <c r="K32" s="74"/>
      <c r="L32" s="74"/>
    </row>
    <row r="33" ht="19.5" customHeight="1">
      <c r="A33" s="74" t="s">
        <v>292</v>
      </c>
      <c r="B33" s="74"/>
      <c r="C33" s="74" t="s">
        <v>293</v>
      </c>
      <c r="F33" s="74"/>
      <c r="G33" s="74"/>
      <c r="I33" s="74" t="s">
        <v>294</v>
      </c>
      <c r="J33" s="74"/>
      <c r="K33" s="74"/>
      <c r="L33" s="74"/>
    </row>
    <row r="34" ht="19.5" customHeight="1">
      <c r="A34" s="73" t="s">
        <v>295</v>
      </c>
      <c r="B34" s="73"/>
      <c r="C34" s="73"/>
      <c r="D34" s="73" t="s">
        <v>296</v>
      </c>
      <c r="E34" s="73"/>
      <c r="F34" s="73"/>
      <c r="G34" s="73"/>
      <c r="H34" s="73" t="s">
        <v>297</v>
      </c>
      <c r="I34" s="73"/>
      <c r="J34" s="73"/>
      <c r="K34" s="73"/>
      <c r="L34" s="73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</sheetData>
  <mergeCells count="27">
    <mergeCell ref="A1:K1"/>
    <mergeCell ref="A2:K2"/>
    <mergeCell ref="B4:K4"/>
    <mergeCell ref="B5:K5"/>
    <mergeCell ref="B6:K6"/>
    <mergeCell ref="A9:K9"/>
    <mergeCell ref="A10:K10"/>
    <mergeCell ref="A11:K11"/>
    <mergeCell ref="C14:K14"/>
    <mergeCell ref="C15:K15"/>
    <mergeCell ref="A16:K16"/>
    <mergeCell ref="A17:K17"/>
    <mergeCell ref="A18:K18"/>
    <mergeCell ref="A19:K19"/>
    <mergeCell ref="A20:K20"/>
    <mergeCell ref="A21:K21"/>
    <mergeCell ref="A22:K22"/>
    <mergeCell ref="A23:K23"/>
    <mergeCell ref="A24:K24"/>
    <mergeCell ref="A25:K25"/>
    <mergeCell ref="A26:K26"/>
    <mergeCell ref="A27:K27"/>
    <mergeCell ref="A28:K28"/>
    <mergeCell ref="A30:K30"/>
    <mergeCell ref="A34:C34"/>
    <mergeCell ref="D34:G34"/>
    <mergeCell ref="H34:K34"/>
  </mergeCells>
  <printOptions headings="0" gridLines="0" horizontalCentered="1" verticalCentered="1"/>
  <pageMargins left="0.39370078740157477" right="0.31496062992125984" top="0.19685039370078738" bottom="0.19685039370078738" header="0.31496062992125984" footer="0.31496062992125984"/>
  <pageSetup paperSize="9" scale="100" firstPageNumber="1" fitToWidth="1" fitToHeight="0" pageOrder="downThenOver" orientation="portrait" usePrinterDefaults="1" blackAndWhite="0" draft="0" cellComments="none" useFirstPageNumber="1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4">
    <outlinePr applyStyles="0" summaryBelow="1" summaryRight="1" showOutlineSymbols="1"/>
    <pageSetUpPr autoPageBreaks="1" fitToPage="1"/>
  </sheetPr>
  <sheetViews>
    <sheetView view="pageBreakPreview" zoomScale="100" workbookViewId="0">
      <selection activeCell="O13" activeCellId="0" sqref="O13"/>
    </sheetView>
  </sheetViews>
  <sheetFormatPr defaultRowHeight="14.25"/>
  <cols>
    <col customWidth="1" min="1" max="1" style="75" width="17.25390625"/>
    <col customWidth="1" min="2" max="2" style="75" width="21.00390625"/>
    <col customWidth="1" min="3" max="3" style="75" width="8.75390625"/>
    <col customWidth="1" min="4" max="4" style="75" width="19.125"/>
    <col customWidth="1" min="5" max="5" style="75" width="17.625"/>
    <col customWidth="1" min="6" max="6" style="75" width="5.50390625"/>
    <col min="7" max="8" style="75" width="9"/>
    <col customWidth="1" min="9" max="9" style="75" width="7.125"/>
    <col customWidth="1" min="10" max="10" style="75" width="10.625"/>
    <col customWidth="1" min="11" max="13" style="75" width="7.125"/>
    <col bestFit="1" customWidth="1" min="14" max="16" style="75" width="10.125"/>
    <col customWidth="1" min="17" max="17" style="75" width="6.75"/>
    <col min="18" max="254" style="75" width="9"/>
    <col customWidth="1" min="255" max="255" style="75" width="10.625"/>
    <col customWidth="1" min="256" max="256" style="75" width="7.25"/>
    <col customWidth="1" min="257" max="257" style="75" width="10.75"/>
    <col customWidth="1" min="258" max="258" style="75" width="8.75"/>
    <col customWidth="1" min="259" max="259" style="75" width="17.875"/>
    <col customWidth="1" min="260" max="260" style="75" width="1.625"/>
    <col customWidth="1" min="261" max="261" style="75" width="17.625"/>
    <col customWidth="1" min="262" max="262" style="75" width="17.375"/>
    <col min="263" max="264" style="75" width="9"/>
    <col customWidth="1" min="265" max="265" style="75" width="7.125"/>
    <col customWidth="1" min="266" max="266" style="75" width="10.625"/>
    <col customWidth="1" min="267" max="269" style="75" width="7.125"/>
    <col bestFit="1" customWidth="1" min="270" max="272" style="75" width="10.125"/>
    <col customWidth="1" min="273" max="273" style="75" width="6.75"/>
    <col min="274" max="510" style="75" width="9"/>
    <col customWidth="1" min="511" max="511" style="75" width="10.625"/>
    <col customWidth="1" min="512" max="512" style="75" width="7.25"/>
    <col customWidth="1" min="513" max="513" style="75" width="10.75"/>
    <col customWidth="1" min="514" max="514" style="75" width="8.75"/>
    <col customWidth="1" min="515" max="515" style="75" width="17.875"/>
    <col customWidth="1" min="516" max="516" style="75" width="1.625"/>
    <col customWidth="1" min="517" max="517" style="75" width="17.625"/>
    <col customWidth="1" min="518" max="518" style="75" width="17.375"/>
    <col min="519" max="520" style="75" width="9"/>
    <col customWidth="1" min="521" max="521" style="75" width="7.125"/>
    <col customWidth="1" min="522" max="522" style="75" width="10.625"/>
    <col customWidth="1" min="523" max="525" style="75" width="7.125"/>
    <col bestFit="1" customWidth="1" min="526" max="528" style="75" width="10.125"/>
    <col customWidth="1" min="529" max="529" style="75" width="6.75"/>
    <col min="530" max="766" style="75" width="9"/>
    <col customWidth="1" min="767" max="767" style="75" width="10.625"/>
    <col customWidth="1" min="768" max="768" style="75" width="7.25"/>
    <col customWidth="1" min="769" max="769" style="75" width="10.75"/>
    <col customWidth="1" min="770" max="770" style="75" width="8.75"/>
    <col customWidth="1" min="771" max="771" style="75" width="17.875"/>
    <col customWidth="1" min="772" max="772" style="75" width="1.625"/>
    <col customWidth="1" min="773" max="773" style="75" width="17.625"/>
    <col customWidth="1" min="774" max="774" style="75" width="17.375"/>
    <col min="775" max="776" style="75" width="9"/>
    <col customWidth="1" min="777" max="777" style="75" width="7.125"/>
    <col customWidth="1" min="778" max="778" style="75" width="10.625"/>
    <col customWidth="1" min="779" max="781" style="75" width="7.125"/>
    <col bestFit="1" customWidth="1" min="782" max="784" style="75" width="10.125"/>
    <col customWidth="1" min="785" max="785" style="75" width="6.75"/>
    <col min="786" max="1022" style="75" width="9"/>
    <col customWidth="1" min="1023" max="1023" style="75" width="10.625"/>
    <col customWidth="1" min="1024" max="1024" style="75" width="7.25"/>
    <col customWidth="1" min="1025" max="1025" style="75" width="10.75"/>
    <col customWidth="1" min="1026" max="1026" style="75" width="8.75"/>
    <col customWidth="1" min="1027" max="1027" style="75" width="17.875"/>
    <col customWidth="1" min="1028" max="1028" style="75" width="1.625"/>
    <col customWidth="1" min="1029" max="1029" style="75" width="17.625"/>
    <col customWidth="1" min="1030" max="1030" style="75" width="17.375"/>
    <col min="1031" max="1032" style="75" width="9"/>
    <col customWidth="1" min="1033" max="1033" style="75" width="7.125"/>
    <col customWidth="1" min="1034" max="1034" style="75" width="10.625"/>
    <col customWidth="1" min="1035" max="1037" style="75" width="7.125"/>
    <col bestFit="1" customWidth="1" min="1038" max="1040" style="75" width="10.125"/>
    <col customWidth="1" min="1041" max="1041" style="75" width="6.75"/>
    <col min="1042" max="1278" style="75" width="9"/>
    <col customWidth="1" min="1279" max="1279" style="75" width="10.625"/>
    <col customWidth="1" min="1280" max="1280" style="75" width="7.25"/>
    <col customWidth="1" min="1281" max="1281" style="75" width="10.75"/>
    <col customWidth="1" min="1282" max="1282" style="75" width="8.75"/>
    <col customWidth="1" min="1283" max="1283" style="75" width="17.875"/>
    <col customWidth="1" min="1284" max="1284" style="75" width="1.625"/>
    <col customWidth="1" min="1285" max="1285" style="75" width="17.625"/>
    <col customWidth="1" min="1286" max="1286" style="75" width="17.375"/>
    <col min="1287" max="1288" style="75" width="9"/>
    <col customWidth="1" min="1289" max="1289" style="75" width="7.125"/>
    <col customWidth="1" min="1290" max="1290" style="75" width="10.625"/>
    <col customWidth="1" min="1291" max="1293" style="75" width="7.125"/>
    <col bestFit="1" customWidth="1" min="1294" max="1296" style="75" width="10.125"/>
    <col customWidth="1" min="1297" max="1297" style="75" width="6.75"/>
    <col min="1298" max="1534" style="75" width="9"/>
    <col customWidth="1" min="1535" max="1535" style="75" width="10.625"/>
    <col customWidth="1" min="1536" max="1536" style="75" width="7.25"/>
    <col customWidth="1" min="1537" max="1537" style="75" width="10.75"/>
    <col customWidth="1" min="1538" max="1538" style="75" width="8.75"/>
    <col customWidth="1" min="1539" max="1539" style="75" width="17.875"/>
    <col customWidth="1" min="1540" max="1540" style="75" width="1.625"/>
    <col customWidth="1" min="1541" max="1541" style="75" width="17.625"/>
    <col customWidth="1" min="1542" max="1542" style="75" width="17.375"/>
    <col min="1543" max="1544" style="75" width="9"/>
    <col customWidth="1" min="1545" max="1545" style="75" width="7.125"/>
    <col customWidth="1" min="1546" max="1546" style="75" width="10.625"/>
    <col customWidth="1" min="1547" max="1549" style="75" width="7.125"/>
    <col bestFit="1" customWidth="1" min="1550" max="1552" style="75" width="10.125"/>
    <col customWidth="1" min="1553" max="1553" style="75" width="6.75"/>
    <col min="1554" max="1790" style="75" width="9"/>
    <col customWidth="1" min="1791" max="1791" style="75" width="10.625"/>
    <col customWidth="1" min="1792" max="1792" style="75" width="7.25"/>
    <col customWidth="1" min="1793" max="1793" style="75" width="10.75"/>
    <col customWidth="1" min="1794" max="1794" style="75" width="8.75"/>
    <col customWidth="1" min="1795" max="1795" style="75" width="17.875"/>
    <col customWidth="1" min="1796" max="1796" style="75" width="1.625"/>
    <col customWidth="1" min="1797" max="1797" style="75" width="17.625"/>
    <col customWidth="1" min="1798" max="1798" style="75" width="17.375"/>
    <col min="1799" max="1800" style="75" width="9"/>
    <col customWidth="1" min="1801" max="1801" style="75" width="7.125"/>
    <col customWidth="1" min="1802" max="1802" style="75" width="10.625"/>
    <col customWidth="1" min="1803" max="1805" style="75" width="7.125"/>
    <col bestFit="1" customWidth="1" min="1806" max="1808" style="75" width="10.125"/>
    <col customWidth="1" min="1809" max="1809" style="75" width="6.75"/>
    <col min="1810" max="2046" style="75" width="9"/>
    <col customWidth="1" min="2047" max="2047" style="75" width="10.625"/>
    <col customWidth="1" min="2048" max="2048" style="75" width="7.25"/>
    <col customWidth="1" min="2049" max="2049" style="75" width="10.75"/>
    <col customWidth="1" min="2050" max="2050" style="75" width="8.75"/>
    <col customWidth="1" min="2051" max="2051" style="75" width="17.875"/>
    <col customWidth="1" min="2052" max="2052" style="75" width="1.625"/>
    <col customWidth="1" min="2053" max="2053" style="75" width="17.625"/>
    <col customWidth="1" min="2054" max="2054" style="75" width="17.375"/>
    <col min="2055" max="2056" style="75" width="9"/>
    <col customWidth="1" min="2057" max="2057" style="75" width="7.125"/>
    <col customWidth="1" min="2058" max="2058" style="75" width="10.625"/>
    <col customWidth="1" min="2059" max="2061" style="75" width="7.125"/>
    <col bestFit="1" customWidth="1" min="2062" max="2064" style="75" width="10.125"/>
    <col customWidth="1" min="2065" max="2065" style="75" width="6.75"/>
    <col min="2066" max="2302" style="75" width="9"/>
    <col customWidth="1" min="2303" max="2303" style="75" width="10.625"/>
    <col customWidth="1" min="2304" max="2304" style="75" width="7.25"/>
    <col customWidth="1" min="2305" max="2305" style="75" width="10.75"/>
    <col customWidth="1" min="2306" max="2306" style="75" width="8.75"/>
    <col customWidth="1" min="2307" max="2307" style="75" width="17.875"/>
    <col customWidth="1" min="2308" max="2308" style="75" width="1.625"/>
    <col customWidth="1" min="2309" max="2309" style="75" width="17.625"/>
    <col customWidth="1" min="2310" max="2310" style="75" width="17.375"/>
    <col min="2311" max="2312" style="75" width="9"/>
    <col customWidth="1" min="2313" max="2313" style="75" width="7.125"/>
    <col customWidth="1" min="2314" max="2314" style="75" width="10.625"/>
    <col customWidth="1" min="2315" max="2317" style="75" width="7.125"/>
    <col bestFit="1" customWidth="1" min="2318" max="2320" style="75" width="10.125"/>
    <col customWidth="1" min="2321" max="2321" style="75" width="6.75"/>
    <col min="2322" max="2558" style="75" width="9"/>
    <col customWidth="1" min="2559" max="2559" style="75" width="10.625"/>
    <col customWidth="1" min="2560" max="2560" style="75" width="7.25"/>
    <col customWidth="1" min="2561" max="2561" style="75" width="10.75"/>
    <col customWidth="1" min="2562" max="2562" style="75" width="8.75"/>
    <col customWidth="1" min="2563" max="2563" style="75" width="17.875"/>
    <col customWidth="1" min="2564" max="2564" style="75" width="1.625"/>
    <col customWidth="1" min="2565" max="2565" style="75" width="17.625"/>
    <col customWidth="1" min="2566" max="2566" style="75" width="17.375"/>
    <col min="2567" max="2568" style="75" width="9"/>
    <col customWidth="1" min="2569" max="2569" style="75" width="7.125"/>
    <col customWidth="1" min="2570" max="2570" style="75" width="10.625"/>
    <col customWidth="1" min="2571" max="2573" style="75" width="7.125"/>
    <col bestFit="1" customWidth="1" min="2574" max="2576" style="75" width="10.125"/>
    <col customWidth="1" min="2577" max="2577" style="75" width="6.75"/>
    <col min="2578" max="2814" style="75" width="9"/>
    <col customWidth="1" min="2815" max="2815" style="75" width="10.625"/>
    <col customWidth="1" min="2816" max="2816" style="75" width="7.25"/>
    <col customWidth="1" min="2817" max="2817" style="75" width="10.75"/>
    <col customWidth="1" min="2818" max="2818" style="75" width="8.75"/>
    <col customWidth="1" min="2819" max="2819" style="75" width="17.875"/>
    <col customWidth="1" min="2820" max="2820" style="75" width="1.625"/>
    <col customWidth="1" min="2821" max="2821" style="75" width="17.625"/>
    <col customWidth="1" min="2822" max="2822" style="75" width="17.375"/>
    <col min="2823" max="2824" style="75" width="9"/>
    <col customWidth="1" min="2825" max="2825" style="75" width="7.125"/>
    <col customWidth="1" min="2826" max="2826" style="75" width="10.625"/>
    <col customWidth="1" min="2827" max="2829" style="75" width="7.125"/>
    <col bestFit="1" customWidth="1" min="2830" max="2832" style="75" width="10.125"/>
    <col customWidth="1" min="2833" max="2833" style="75" width="6.75"/>
    <col min="2834" max="3070" style="75" width="9"/>
    <col customWidth="1" min="3071" max="3071" style="75" width="10.625"/>
    <col customWidth="1" min="3072" max="3072" style="75" width="7.25"/>
    <col customWidth="1" min="3073" max="3073" style="75" width="10.75"/>
    <col customWidth="1" min="3074" max="3074" style="75" width="8.75"/>
    <col customWidth="1" min="3075" max="3075" style="75" width="17.875"/>
    <col customWidth="1" min="3076" max="3076" style="75" width="1.625"/>
    <col customWidth="1" min="3077" max="3077" style="75" width="17.625"/>
    <col customWidth="1" min="3078" max="3078" style="75" width="17.375"/>
    <col min="3079" max="3080" style="75" width="9"/>
    <col customWidth="1" min="3081" max="3081" style="75" width="7.125"/>
    <col customWidth="1" min="3082" max="3082" style="75" width="10.625"/>
    <col customWidth="1" min="3083" max="3085" style="75" width="7.125"/>
    <col bestFit="1" customWidth="1" min="3086" max="3088" style="75" width="10.125"/>
    <col customWidth="1" min="3089" max="3089" style="75" width="6.75"/>
    <col min="3090" max="3326" style="75" width="9"/>
    <col customWidth="1" min="3327" max="3327" style="75" width="10.625"/>
    <col customWidth="1" min="3328" max="3328" style="75" width="7.25"/>
    <col customWidth="1" min="3329" max="3329" style="75" width="10.75"/>
    <col customWidth="1" min="3330" max="3330" style="75" width="8.75"/>
    <col customWidth="1" min="3331" max="3331" style="75" width="17.875"/>
    <col customWidth="1" min="3332" max="3332" style="75" width="1.625"/>
    <col customWidth="1" min="3333" max="3333" style="75" width="17.625"/>
    <col customWidth="1" min="3334" max="3334" style="75" width="17.375"/>
    <col min="3335" max="3336" style="75" width="9"/>
    <col customWidth="1" min="3337" max="3337" style="75" width="7.125"/>
    <col customWidth="1" min="3338" max="3338" style="75" width="10.625"/>
    <col customWidth="1" min="3339" max="3341" style="75" width="7.125"/>
    <col bestFit="1" customWidth="1" min="3342" max="3344" style="75" width="10.125"/>
    <col customWidth="1" min="3345" max="3345" style="75" width="6.75"/>
    <col min="3346" max="3582" style="75" width="9"/>
    <col customWidth="1" min="3583" max="3583" style="75" width="10.625"/>
    <col customWidth="1" min="3584" max="3584" style="75" width="7.25"/>
    <col customWidth="1" min="3585" max="3585" style="75" width="10.75"/>
    <col customWidth="1" min="3586" max="3586" style="75" width="8.75"/>
    <col customWidth="1" min="3587" max="3587" style="75" width="17.875"/>
    <col customWidth="1" min="3588" max="3588" style="75" width="1.625"/>
    <col customWidth="1" min="3589" max="3589" style="75" width="17.625"/>
    <col customWidth="1" min="3590" max="3590" style="75" width="17.375"/>
    <col min="3591" max="3592" style="75" width="9"/>
    <col customWidth="1" min="3593" max="3593" style="75" width="7.125"/>
    <col customWidth="1" min="3594" max="3594" style="75" width="10.625"/>
    <col customWidth="1" min="3595" max="3597" style="75" width="7.125"/>
    <col bestFit="1" customWidth="1" min="3598" max="3600" style="75" width="10.125"/>
    <col customWidth="1" min="3601" max="3601" style="75" width="6.75"/>
    <col min="3602" max="3838" style="75" width="9"/>
    <col customWidth="1" min="3839" max="3839" style="75" width="10.625"/>
    <col customWidth="1" min="3840" max="3840" style="75" width="7.25"/>
    <col customWidth="1" min="3841" max="3841" style="75" width="10.75"/>
    <col customWidth="1" min="3842" max="3842" style="75" width="8.75"/>
    <col customWidth="1" min="3843" max="3843" style="75" width="17.875"/>
    <col customWidth="1" min="3844" max="3844" style="75" width="1.625"/>
    <col customWidth="1" min="3845" max="3845" style="75" width="17.625"/>
    <col customWidth="1" min="3846" max="3846" style="75" width="17.375"/>
    <col min="3847" max="3848" style="75" width="9"/>
    <col customWidth="1" min="3849" max="3849" style="75" width="7.125"/>
    <col customWidth="1" min="3850" max="3850" style="75" width="10.625"/>
    <col customWidth="1" min="3851" max="3853" style="75" width="7.125"/>
    <col bestFit="1" customWidth="1" min="3854" max="3856" style="75" width="10.125"/>
    <col customWidth="1" min="3857" max="3857" style="75" width="6.75"/>
    <col min="3858" max="4094" style="75" width="9"/>
    <col customWidth="1" min="4095" max="4095" style="75" width="10.625"/>
    <col customWidth="1" min="4096" max="4096" style="75" width="7.25"/>
    <col customWidth="1" min="4097" max="4097" style="75" width="10.75"/>
    <col customWidth="1" min="4098" max="4098" style="75" width="8.75"/>
    <col customWidth="1" min="4099" max="4099" style="75" width="17.875"/>
    <col customWidth="1" min="4100" max="4100" style="75" width="1.625"/>
    <col customWidth="1" min="4101" max="4101" style="75" width="17.625"/>
    <col customWidth="1" min="4102" max="4102" style="75" width="17.375"/>
    <col min="4103" max="4104" style="75" width="9"/>
    <col customWidth="1" min="4105" max="4105" style="75" width="7.125"/>
    <col customWidth="1" min="4106" max="4106" style="75" width="10.625"/>
    <col customWidth="1" min="4107" max="4109" style="75" width="7.125"/>
    <col bestFit="1" customWidth="1" min="4110" max="4112" style="75" width="10.125"/>
    <col customWidth="1" min="4113" max="4113" style="75" width="6.75"/>
    <col min="4114" max="4350" style="75" width="9"/>
    <col customWidth="1" min="4351" max="4351" style="75" width="10.625"/>
    <col customWidth="1" min="4352" max="4352" style="75" width="7.25"/>
    <col customWidth="1" min="4353" max="4353" style="75" width="10.75"/>
    <col customWidth="1" min="4354" max="4354" style="75" width="8.75"/>
    <col customWidth="1" min="4355" max="4355" style="75" width="17.875"/>
    <col customWidth="1" min="4356" max="4356" style="75" width="1.625"/>
    <col customWidth="1" min="4357" max="4357" style="75" width="17.625"/>
    <col customWidth="1" min="4358" max="4358" style="75" width="17.375"/>
    <col min="4359" max="4360" style="75" width="9"/>
    <col customWidth="1" min="4361" max="4361" style="75" width="7.125"/>
    <col customWidth="1" min="4362" max="4362" style="75" width="10.625"/>
    <col customWidth="1" min="4363" max="4365" style="75" width="7.125"/>
    <col bestFit="1" customWidth="1" min="4366" max="4368" style="75" width="10.125"/>
    <col customWidth="1" min="4369" max="4369" style="75" width="6.75"/>
    <col min="4370" max="4606" style="75" width="9"/>
    <col customWidth="1" min="4607" max="4607" style="75" width="10.625"/>
    <col customWidth="1" min="4608" max="4608" style="75" width="7.25"/>
    <col customWidth="1" min="4609" max="4609" style="75" width="10.75"/>
    <col customWidth="1" min="4610" max="4610" style="75" width="8.75"/>
    <col customWidth="1" min="4611" max="4611" style="75" width="17.875"/>
    <col customWidth="1" min="4612" max="4612" style="75" width="1.625"/>
    <col customWidth="1" min="4613" max="4613" style="75" width="17.625"/>
    <col customWidth="1" min="4614" max="4614" style="75" width="17.375"/>
    <col min="4615" max="4616" style="75" width="9"/>
    <col customWidth="1" min="4617" max="4617" style="75" width="7.125"/>
    <col customWidth="1" min="4618" max="4618" style="75" width="10.625"/>
    <col customWidth="1" min="4619" max="4621" style="75" width="7.125"/>
    <col bestFit="1" customWidth="1" min="4622" max="4624" style="75" width="10.125"/>
    <col customWidth="1" min="4625" max="4625" style="75" width="6.75"/>
    <col min="4626" max="4862" style="75" width="9"/>
    <col customWidth="1" min="4863" max="4863" style="75" width="10.625"/>
    <col customWidth="1" min="4864" max="4864" style="75" width="7.25"/>
    <col customWidth="1" min="4865" max="4865" style="75" width="10.75"/>
    <col customWidth="1" min="4866" max="4866" style="75" width="8.75"/>
    <col customWidth="1" min="4867" max="4867" style="75" width="17.875"/>
    <col customWidth="1" min="4868" max="4868" style="75" width="1.625"/>
    <col customWidth="1" min="4869" max="4869" style="75" width="17.625"/>
    <col customWidth="1" min="4870" max="4870" style="75" width="17.375"/>
    <col min="4871" max="4872" style="75" width="9"/>
    <col customWidth="1" min="4873" max="4873" style="75" width="7.125"/>
    <col customWidth="1" min="4874" max="4874" style="75" width="10.625"/>
    <col customWidth="1" min="4875" max="4877" style="75" width="7.125"/>
    <col bestFit="1" customWidth="1" min="4878" max="4880" style="75" width="10.125"/>
    <col customWidth="1" min="4881" max="4881" style="75" width="6.75"/>
    <col min="4882" max="5118" style="75" width="9"/>
    <col customWidth="1" min="5119" max="5119" style="75" width="10.625"/>
    <col customWidth="1" min="5120" max="5120" style="75" width="7.25"/>
    <col customWidth="1" min="5121" max="5121" style="75" width="10.75"/>
    <col customWidth="1" min="5122" max="5122" style="75" width="8.75"/>
    <col customWidth="1" min="5123" max="5123" style="75" width="17.875"/>
    <col customWidth="1" min="5124" max="5124" style="75" width="1.625"/>
    <col customWidth="1" min="5125" max="5125" style="75" width="17.625"/>
    <col customWidth="1" min="5126" max="5126" style="75" width="17.375"/>
    <col min="5127" max="5128" style="75" width="9"/>
    <col customWidth="1" min="5129" max="5129" style="75" width="7.125"/>
    <col customWidth="1" min="5130" max="5130" style="75" width="10.625"/>
    <col customWidth="1" min="5131" max="5133" style="75" width="7.125"/>
    <col bestFit="1" customWidth="1" min="5134" max="5136" style="75" width="10.125"/>
    <col customWidth="1" min="5137" max="5137" style="75" width="6.75"/>
    <col min="5138" max="5374" style="75" width="9"/>
    <col customWidth="1" min="5375" max="5375" style="75" width="10.625"/>
    <col customWidth="1" min="5376" max="5376" style="75" width="7.25"/>
    <col customWidth="1" min="5377" max="5377" style="75" width="10.75"/>
    <col customWidth="1" min="5378" max="5378" style="75" width="8.75"/>
    <col customWidth="1" min="5379" max="5379" style="75" width="17.875"/>
    <col customWidth="1" min="5380" max="5380" style="75" width="1.625"/>
    <col customWidth="1" min="5381" max="5381" style="75" width="17.625"/>
    <col customWidth="1" min="5382" max="5382" style="75" width="17.375"/>
    <col min="5383" max="5384" style="75" width="9"/>
    <col customWidth="1" min="5385" max="5385" style="75" width="7.125"/>
    <col customWidth="1" min="5386" max="5386" style="75" width="10.625"/>
    <col customWidth="1" min="5387" max="5389" style="75" width="7.125"/>
    <col bestFit="1" customWidth="1" min="5390" max="5392" style="75" width="10.125"/>
    <col customWidth="1" min="5393" max="5393" style="75" width="6.75"/>
    <col min="5394" max="5630" style="75" width="9"/>
    <col customWidth="1" min="5631" max="5631" style="75" width="10.625"/>
    <col customWidth="1" min="5632" max="5632" style="75" width="7.25"/>
    <col customWidth="1" min="5633" max="5633" style="75" width="10.75"/>
    <col customWidth="1" min="5634" max="5634" style="75" width="8.75"/>
    <col customWidth="1" min="5635" max="5635" style="75" width="17.875"/>
    <col customWidth="1" min="5636" max="5636" style="75" width="1.625"/>
    <col customWidth="1" min="5637" max="5637" style="75" width="17.625"/>
    <col customWidth="1" min="5638" max="5638" style="75" width="17.375"/>
    <col min="5639" max="5640" style="75" width="9"/>
    <col customWidth="1" min="5641" max="5641" style="75" width="7.125"/>
    <col customWidth="1" min="5642" max="5642" style="75" width="10.625"/>
    <col customWidth="1" min="5643" max="5645" style="75" width="7.125"/>
    <col bestFit="1" customWidth="1" min="5646" max="5648" style="75" width="10.125"/>
    <col customWidth="1" min="5649" max="5649" style="75" width="6.75"/>
    <col min="5650" max="5886" style="75" width="9"/>
    <col customWidth="1" min="5887" max="5887" style="75" width="10.625"/>
    <col customWidth="1" min="5888" max="5888" style="75" width="7.25"/>
    <col customWidth="1" min="5889" max="5889" style="75" width="10.75"/>
    <col customWidth="1" min="5890" max="5890" style="75" width="8.75"/>
    <col customWidth="1" min="5891" max="5891" style="75" width="17.875"/>
    <col customWidth="1" min="5892" max="5892" style="75" width="1.625"/>
    <col customWidth="1" min="5893" max="5893" style="75" width="17.625"/>
    <col customWidth="1" min="5894" max="5894" style="75" width="17.375"/>
    <col min="5895" max="5896" style="75" width="9"/>
    <col customWidth="1" min="5897" max="5897" style="75" width="7.125"/>
    <col customWidth="1" min="5898" max="5898" style="75" width="10.625"/>
    <col customWidth="1" min="5899" max="5901" style="75" width="7.125"/>
    <col bestFit="1" customWidth="1" min="5902" max="5904" style="75" width="10.125"/>
    <col customWidth="1" min="5905" max="5905" style="75" width="6.75"/>
    <col min="5906" max="6142" style="75" width="9"/>
    <col customWidth="1" min="6143" max="6143" style="75" width="10.625"/>
    <col customWidth="1" min="6144" max="6144" style="75" width="7.25"/>
    <col customWidth="1" min="6145" max="6145" style="75" width="10.75"/>
    <col customWidth="1" min="6146" max="6146" style="75" width="8.75"/>
    <col customWidth="1" min="6147" max="6147" style="75" width="17.875"/>
    <col customWidth="1" min="6148" max="6148" style="75" width="1.625"/>
    <col customWidth="1" min="6149" max="6149" style="75" width="17.625"/>
    <col customWidth="1" min="6150" max="6150" style="75" width="17.375"/>
    <col min="6151" max="6152" style="75" width="9"/>
    <col customWidth="1" min="6153" max="6153" style="75" width="7.125"/>
    <col customWidth="1" min="6154" max="6154" style="75" width="10.625"/>
    <col customWidth="1" min="6155" max="6157" style="75" width="7.125"/>
    <col bestFit="1" customWidth="1" min="6158" max="6160" style="75" width="10.125"/>
    <col customWidth="1" min="6161" max="6161" style="75" width="6.75"/>
    <col min="6162" max="6398" style="75" width="9"/>
    <col customWidth="1" min="6399" max="6399" style="75" width="10.625"/>
    <col customWidth="1" min="6400" max="6400" style="75" width="7.25"/>
    <col customWidth="1" min="6401" max="6401" style="75" width="10.75"/>
    <col customWidth="1" min="6402" max="6402" style="75" width="8.75"/>
    <col customWidth="1" min="6403" max="6403" style="75" width="17.875"/>
    <col customWidth="1" min="6404" max="6404" style="75" width="1.625"/>
    <col customWidth="1" min="6405" max="6405" style="75" width="17.625"/>
    <col customWidth="1" min="6406" max="6406" style="75" width="17.375"/>
    <col min="6407" max="6408" style="75" width="9"/>
    <col customWidth="1" min="6409" max="6409" style="75" width="7.125"/>
    <col customWidth="1" min="6410" max="6410" style="75" width="10.625"/>
    <col customWidth="1" min="6411" max="6413" style="75" width="7.125"/>
    <col bestFit="1" customWidth="1" min="6414" max="6416" style="75" width="10.125"/>
    <col customWidth="1" min="6417" max="6417" style="75" width="6.75"/>
    <col min="6418" max="6654" style="75" width="9"/>
    <col customWidth="1" min="6655" max="6655" style="75" width="10.625"/>
    <col customWidth="1" min="6656" max="6656" style="75" width="7.25"/>
    <col customWidth="1" min="6657" max="6657" style="75" width="10.75"/>
    <col customWidth="1" min="6658" max="6658" style="75" width="8.75"/>
    <col customWidth="1" min="6659" max="6659" style="75" width="17.875"/>
    <col customWidth="1" min="6660" max="6660" style="75" width="1.625"/>
    <col customWidth="1" min="6661" max="6661" style="75" width="17.625"/>
    <col customWidth="1" min="6662" max="6662" style="75" width="17.375"/>
    <col min="6663" max="6664" style="75" width="9"/>
    <col customWidth="1" min="6665" max="6665" style="75" width="7.125"/>
    <col customWidth="1" min="6666" max="6666" style="75" width="10.625"/>
    <col customWidth="1" min="6667" max="6669" style="75" width="7.125"/>
    <col bestFit="1" customWidth="1" min="6670" max="6672" style="75" width="10.125"/>
    <col customWidth="1" min="6673" max="6673" style="75" width="6.75"/>
    <col min="6674" max="6910" style="75" width="9"/>
    <col customWidth="1" min="6911" max="6911" style="75" width="10.625"/>
    <col customWidth="1" min="6912" max="6912" style="75" width="7.25"/>
    <col customWidth="1" min="6913" max="6913" style="75" width="10.75"/>
    <col customWidth="1" min="6914" max="6914" style="75" width="8.75"/>
    <col customWidth="1" min="6915" max="6915" style="75" width="17.875"/>
    <col customWidth="1" min="6916" max="6916" style="75" width="1.625"/>
    <col customWidth="1" min="6917" max="6917" style="75" width="17.625"/>
    <col customWidth="1" min="6918" max="6918" style="75" width="17.375"/>
    <col min="6919" max="6920" style="75" width="9"/>
    <col customWidth="1" min="6921" max="6921" style="75" width="7.125"/>
    <col customWidth="1" min="6922" max="6922" style="75" width="10.625"/>
    <col customWidth="1" min="6923" max="6925" style="75" width="7.125"/>
    <col bestFit="1" customWidth="1" min="6926" max="6928" style="75" width="10.125"/>
    <col customWidth="1" min="6929" max="6929" style="75" width="6.75"/>
    <col min="6930" max="7166" style="75" width="9"/>
    <col customWidth="1" min="7167" max="7167" style="75" width="10.625"/>
    <col customWidth="1" min="7168" max="7168" style="75" width="7.25"/>
    <col customWidth="1" min="7169" max="7169" style="75" width="10.75"/>
    <col customWidth="1" min="7170" max="7170" style="75" width="8.75"/>
    <col customWidth="1" min="7171" max="7171" style="75" width="17.875"/>
    <col customWidth="1" min="7172" max="7172" style="75" width="1.625"/>
    <col customWidth="1" min="7173" max="7173" style="75" width="17.625"/>
    <col customWidth="1" min="7174" max="7174" style="75" width="17.375"/>
    <col min="7175" max="7176" style="75" width="9"/>
    <col customWidth="1" min="7177" max="7177" style="75" width="7.125"/>
    <col customWidth="1" min="7178" max="7178" style="75" width="10.625"/>
    <col customWidth="1" min="7179" max="7181" style="75" width="7.125"/>
    <col bestFit="1" customWidth="1" min="7182" max="7184" style="75" width="10.125"/>
    <col customWidth="1" min="7185" max="7185" style="75" width="6.75"/>
    <col min="7186" max="7422" style="75" width="9"/>
    <col customWidth="1" min="7423" max="7423" style="75" width="10.625"/>
    <col customWidth="1" min="7424" max="7424" style="75" width="7.25"/>
    <col customWidth="1" min="7425" max="7425" style="75" width="10.75"/>
    <col customWidth="1" min="7426" max="7426" style="75" width="8.75"/>
    <col customWidth="1" min="7427" max="7427" style="75" width="17.875"/>
    <col customWidth="1" min="7428" max="7428" style="75" width="1.625"/>
    <col customWidth="1" min="7429" max="7429" style="75" width="17.625"/>
    <col customWidth="1" min="7430" max="7430" style="75" width="17.375"/>
    <col min="7431" max="7432" style="75" width="9"/>
    <col customWidth="1" min="7433" max="7433" style="75" width="7.125"/>
    <col customWidth="1" min="7434" max="7434" style="75" width="10.625"/>
    <col customWidth="1" min="7435" max="7437" style="75" width="7.125"/>
    <col bestFit="1" customWidth="1" min="7438" max="7440" style="75" width="10.125"/>
    <col customWidth="1" min="7441" max="7441" style="75" width="6.75"/>
    <col min="7442" max="7678" style="75" width="9"/>
    <col customWidth="1" min="7679" max="7679" style="75" width="10.625"/>
    <col customWidth="1" min="7680" max="7680" style="75" width="7.25"/>
    <col customWidth="1" min="7681" max="7681" style="75" width="10.75"/>
    <col customWidth="1" min="7682" max="7682" style="75" width="8.75"/>
    <col customWidth="1" min="7683" max="7683" style="75" width="17.875"/>
    <col customWidth="1" min="7684" max="7684" style="75" width="1.625"/>
    <col customWidth="1" min="7685" max="7685" style="75" width="17.625"/>
    <col customWidth="1" min="7686" max="7686" style="75" width="17.375"/>
    <col min="7687" max="7688" style="75" width="9"/>
    <col customWidth="1" min="7689" max="7689" style="75" width="7.125"/>
    <col customWidth="1" min="7690" max="7690" style="75" width="10.625"/>
    <col customWidth="1" min="7691" max="7693" style="75" width="7.125"/>
    <col bestFit="1" customWidth="1" min="7694" max="7696" style="75" width="10.125"/>
    <col customWidth="1" min="7697" max="7697" style="75" width="6.75"/>
    <col min="7698" max="7934" style="75" width="9"/>
    <col customWidth="1" min="7935" max="7935" style="75" width="10.625"/>
    <col customWidth="1" min="7936" max="7936" style="75" width="7.25"/>
    <col customWidth="1" min="7937" max="7937" style="75" width="10.75"/>
    <col customWidth="1" min="7938" max="7938" style="75" width="8.75"/>
    <col customWidth="1" min="7939" max="7939" style="75" width="17.875"/>
    <col customWidth="1" min="7940" max="7940" style="75" width="1.625"/>
    <col customWidth="1" min="7941" max="7941" style="75" width="17.625"/>
    <col customWidth="1" min="7942" max="7942" style="75" width="17.375"/>
    <col min="7943" max="7944" style="75" width="9"/>
    <col customWidth="1" min="7945" max="7945" style="75" width="7.125"/>
    <col customWidth="1" min="7946" max="7946" style="75" width="10.625"/>
    <col customWidth="1" min="7947" max="7949" style="75" width="7.125"/>
    <col bestFit="1" customWidth="1" min="7950" max="7952" style="75" width="10.125"/>
    <col customWidth="1" min="7953" max="7953" style="75" width="6.75"/>
    <col min="7954" max="8190" style="75" width="9"/>
    <col customWidth="1" min="8191" max="8191" style="75" width="10.625"/>
    <col customWidth="1" min="8192" max="8192" style="75" width="7.25"/>
    <col customWidth="1" min="8193" max="8193" style="75" width="10.75"/>
    <col customWidth="1" min="8194" max="8194" style="75" width="8.75"/>
    <col customWidth="1" min="8195" max="8195" style="75" width="17.875"/>
    <col customWidth="1" min="8196" max="8196" style="75" width="1.625"/>
    <col customWidth="1" min="8197" max="8197" style="75" width="17.625"/>
    <col customWidth="1" min="8198" max="8198" style="75" width="17.375"/>
    <col min="8199" max="8200" style="75" width="9"/>
    <col customWidth="1" min="8201" max="8201" style="75" width="7.125"/>
    <col customWidth="1" min="8202" max="8202" style="75" width="10.625"/>
    <col customWidth="1" min="8203" max="8205" style="75" width="7.125"/>
    <col bestFit="1" customWidth="1" min="8206" max="8208" style="75" width="10.125"/>
    <col customWidth="1" min="8209" max="8209" style="75" width="6.75"/>
    <col min="8210" max="8446" style="75" width="9"/>
    <col customWidth="1" min="8447" max="8447" style="75" width="10.625"/>
    <col customWidth="1" min="8448" max="8448" style="75" width="7.25"/>
    <col customWidth="1" min="8449" max="8449" style="75" width="10.75"/>
    <col customWidth="1" min="8450" max="8450" style="75" width="8.75"/>
    <col customWidth="1" min="8451" max="8451" style="75" width="17.875"/>
    <col customWidth="1" min="8452" max="8452" style="75" width="1.625"/>
    <col customWidth="1" min="8453" max="8453" style="75" width="17.625"/>
    <col customWidth="1" min="8454" max="8454" style="75" width="17.375"/>
    <col min="8455" max="8456" style="75" width="9"/>
    <col customWidth="1" min="8457" max="8457" style="75" width="7.125"/>
    <col customWidth="1" min="8458" max="8458" style="75" width="10.625"/>
    <col customWidth="1" min="8459" max="8461" style="75" width="7.125"/>
    <col bestFit="1" customWidth="1" min="8462" max="8464" style="75" width="10.125"/>
    <col customWidth="1" min="8465" max="8465" style="75" width="6.75"/>
    <col min="8466" max="8702" style="75" width="9"/>
    <col customWidth="1" min="8703" max="8703" style="75" width="10.625"/>
    <col customWidth="1" min="8704" max="8704" style="75" width="7.25"/>
    <col customWidth="1" min="8705" max="8705" style="75" width="10.75"/>
    <col customWidth="1" min="8706" max="8706" style="75" width="8.75"/>
    <col customWidth="1" min="8707" max="8707" style="75" width="17.875"/>
    <col customWidth="1" min="8708" max="8708" style="75" width="1.625"/>
    <col customWidth="1" min="8709" max="8709" style="75" width="17.625"/>
    <col customWidth="1" min="8710" max="8710" style="75" width="17.375"/>
    <col min="8711" max="8712" style="75" width="9"/>
    <col customWidth="1" min="8713" max="8713" style="75" width="7.125"/>
    <col customWidth="1" min="8714" max="8714" style="75" width="10.625"/>
    <col customWidth="1" min="8715" max="8717" style="75" width="7.125"/>
    <col bestFit="1" customWidth="1" min="8718" max="8720" style="75" width="10.125"/>
    <col customWidth="1" min="8721" max="8721" style="75" width="6.75"/>
    <col min="8722" max="8958" style="75" width="9"/>
    <col customWidth="1" min="8959" max="8959" style="75" width="10.625"/>
    <col customWidth="1" min="8960" max="8960" style="75" width="7.25"/>
    <col customWidth="1" min="8961" max="8961" style="75" width="10.75"/>
    <col customWidth="1" min="8962" max="8962" style="75" width="8.75"/>
    <col customWidth="1" min="8963" max="8963" style="75" width="17.875"/>
    <col customWidth="1" min="8964" max="8964" style="75" width="1.625"/>
    <col customWidth="1" min="8965" max="8965" style="75" width="17.625"/>
    <col customWidth="1" min="8966" max="8966" style="75" width="17.375"/>
    <col min="8967" max="8968" style="75" width="9"/>
    <col customWidth="1" min="8969" max="8969" style="75" width="7.125"/>
    <col customWidth="1" min="8970" max="8970" style="75" width="10.625"/>
    <col customWidth="1" min="8971" max="8973" style="75" width="7.125"/>
    <col bestFit="1" customWidth="1" min="8974" max="8976" style="75" width="10.125"/>
    <col customWidth="1" min="8977" max="8977" style="75" width="6.75"/>
    <col min="8978" max="9214" style="75" width="9"/>
    <col customWidth="1" min="9215" max="9215" style="75" width="10.625"/>
    <col customWidth="1" min="9216" max="9216" style="75" width="7.25"/>
    <col customWidth="1" min="9217" max="9217" style="75" width="10.75"/>
    <col customWidth="1" min="9218" max="9218" style="75" width="8.75"/>
    <col customWidth="1" min="9219" max="9219" style="75" width="17.875"/>
    <col customWidth="1" min="9220" max="9220" style="75" width="1.625"/>
    <col customWidth="1" min="9221" max="9221" style="75" width="17.625"/>
    <col customWidth="1" min="9222" max="9222" style="75" width="17.375"/>
    <col min="9223" max="9224" style="75" width="9"/>
    <col customWidth="1" min="9225" max="9225" style="75" width="7.125"/>
    <col customWidth="1" min="9226" max="9226" style="75" width="10.625"/>
    <col customWidth="1" min="9227" max="9229" style="75" width="7.125"/>
    <col bestFit="1" customWidth="1" min="9230" max="9232" style="75" width="10.125"/>
    <col customWidth="1" min="9233" max="9233" style="75" width="6.75"/>
    <col min="9234" max="9470" style="75" width="9"/>
    <col customWidth="1" min="9471" max="9471" style="75" width="10.625"/>
    <col customWidth="1" min="9472" max="9472" style="75" width="7.25"/>
    <col customWidth="1" min="9473" max="9473" style="75" width="10.75"/>
    <col customWidth="1" min="9474" max="9474" style="75" width="8.75"/>
    <col customWidth="1" min="9475" max="9475" style="75" width="17.875"/>
    <col customWidth="1" min="9476" max="9476" style="75" width="1.625"/>
    <col customWidth="1" min="9477" max="9477" style="75" width="17.625"/>
    <col customWidth="1" min="9478" max="9478" style="75" width="17.375"/>
    <col min="9479" max="9480" style="75" width="9"/>
    <col customWidth="1" min="9481" max="9481" style="75" width="7.125"/>
    <col customWidth="1" min="9482" max="9482" style="75" width="10.625"/>
    <col customWidth="1" min="9483" max="9485" style="75" width="7.125"/>
    <col bestFit="1" customWidth="1" min="9486" max="9488" style="75" width="10.125"/>
    <col customWidth="1" min="9489" max="9489" style="75" width="6.75"/>
    <col min="9490" max="9726" style="75" width="9"/>
    <col customWidth="1" min="9727" max="9727" style="75" width="10.625"/>
    <col customWidth="1" min="9728" max="9728" style="75" width="7.25"/>
    <col customWidth="1" min="9729" max="9729" style="75" width="10.75"/>
    <col customWidth="1" min="9730" max="9730" style="75" width="8.75"/>
    <col customWidth="1" min="9731" max="9731" style="75" width="17.875"/>
    <col customWidth="1" min="9732" max="9732" style="75" width="1.625"/>
    <col customWidth="1" min="9733" max="9733" style="75" width="17.625"/>
    <col customWidth="1" min="9734" max="9734" style="75" width="17.375"/>
    <col min="9735" max="9736" style="75" width="9"/>
    <col customWidth="1" min="9737" max="9737" style="75" width="7.125"/>
    <col customWidth="1" min="9738" max="9738" style="75" width="10.625"/>
    <col customWidth="1" min="9739" max="9741" style="75" width="7.125"/>
    <col bestFit="1" customWidth="1" min="9742" max="9744" style="75" width="10.125"/>
    <col customWidth="1" min="9745" max="9745" style="75" width="6.75"/>
    <col min="9746" max="9982" style="75" width="9"/>
    <col customWidth="1" min="9983" max="9983" style="75" width="10.625"/>
    <col customWidth="1" min="9984" max="9984" style="75" width="7.25"/>
    <col customWidth="1" min="9985" max="9985" style="75" width="10.75"/>
    <col customWidth="1" min="9986" max="9986" style="75" width="8.75"/>
    <col customWidth="1" min="9987" max="9987" style="75" width="17.875"/>
    <col customWidth="1" min="9988" max="9988" style="75" width="1.625"/>
    <col customWidth="1" min="9989" max="9989" style="75" width="17.625"/>
    <col customWidth="1" min="9990" max="9990" style="75" width="17.375"/>
    <col min="9991" max="9992" style="75" width="9"/>
    <col customWidth="1" min="9993" max="9993" style="75" width="7.125"/>
    <col customWidth="1" min="9994" max="9994" style="75" width="10.625"/>
    <col customWidth="1" min="9995" max="9997" style="75" width="7.125"/>
    <col bestFit="1" customWidth="1" min="9998" max="10000" style="75" width="10.125"/>
    <col customWidth="1" min="10001" max="10001" style="75" width="6.75"/>
    <col min="10002" max="10238" style="75" width="9"/>
    <col customWidth="1" min="10239" max="10239" style="75" width="10.625"/>
    <col customWidth="1" min="10240" max="10240" style="75" width="7.25"/>
    <col customWidth="1" min="10241" max="10241" style="75" width="10.75"/>
    <col customWidth="1" min="10242" max="10242" style="75" width="8.75"/>
    <col customWidth="1" min="10243" max="10243" style="75" width="17.875"/>
    <col customWidth="1" min="10244" max="10244" style="75" width="1.625"/>
    <col customWidth="1" min="10245" max="10245" style="75" width="17.625"/>
    <col customWidth="1" min="10246" max="10246" style="75" width="17.375"/>
    <col min="10247" max="10248" style="75" width="9"/>
    <col customWidth="1" min="10249" max="10249" style="75" width="7.125"/>
    <col customWidth="1" min="10250" max="10250" style="75" width="10.625"/>
    <col customWidth="1" min="10251" max="10253" style="75" width="7.125"/>
    <col bestFit="1" customWidth="1" min="10254" max="10256" style="75" width="10.125"/>
    <col customWidth="1" min="10257" max="10257" style="75" width="6.75"/>
    <col min="10258" max="10494" style="75" width="9"/>
    <col customWidth="1" min="10495" max="10495" style="75" width="10.625"/>
    <col customWidth="1" min="10496" max="10496" style="75" width="7.25"/>
    <col customWidth="1" min="10497" max="10497" style="75" width="10.75"/>
    <col customWidth="1" min="10498" max="10498" style="75" width="8.75"/>
    <col customWidth="1" min="10499" max="10499" style="75" width="17.875"/>
    <col customWidth="1" min="10500" max="10500" style="75" width="1.625"/>
    <col customWidth="1" min="10501" max="10501" style="75" width="17.625"/>
    <col customWidth="1" min="10502" max="10502" style="75" width="17.375"/>
    <col min="10503" max="10504" style="75" width="9"/>
    <col customWidth="1" min="10505" max="10505" style="75" width="7.125"/>
    <col customWidth="1" min="10506" max="10506" style="75" width="10.625"/>
    <col customWidth="1" min="10507" max="10509" style="75" width="7.125"/>
    <col bestFit="1" customWidth="1" min="10510" max="10512" style="75" width="10.125"/>
    <col customWidth="1" min="10513" max="10513" style="75" width="6.75"/>
    <col min="10514" max="10750" style="75" width="9"/>
    <col customWidth="1" min="10751" max="10751" style="75" width="10.625"/>
    <col customWidth="1" min="10752" max="10752" style="75" width="7.25"/>
    <col customWidth="1" min="10753" max="10753" style="75" width="10.75"/>
    <col customWidth="1" min="10754" max="10754" style="75" width="8.75"/>
    <col customWidth="1" min="10755" max="10755" style="75" width="17.875"/>
    <col customWidth="1" min="10756" max="10756" style="75" width="1.625"/>
    <col customWidth="1" min="10757" max="10757" style="75" width="17.625"/>
    <col customWidth="1" min="10758" max="10758" style="75" width="17.375"/>
    <col min="10759" max="10760" style="75" width="9"/>
    <col customWidth="1" min="10761" max="10761" style="75" width="7.125"/>
    <col customWidth="1" min="10762" max="10762" style="75" width="10.625"/>
    <col customWidth="1" min="10763" max="10765" style="75" width="7.125"/>
    <col bestFit="1" customWidth="1" min="10766" max="10768" style="75" width="10.125"/>
    <col customWidth="1" min="10769" max="10769" style="75" width="6.75"/>
    <col min="10770" max="11006" style="75" width="9"/>
    <col customWidth="1" min="11007" max="11007" style="75" width="10.625"/>
    <col customWidth="1" min="11008" max="11008" style="75" width="7.25"/>
    <col customWidth="1" min="11009" max="11009" style="75" width="10.75"/>
    <col customWidth="1" min="11010" max="11010" style="75" width="8.75"/>
    <col customWidth="1" min="11011" max="11011" style="75" width="17.875"/>
    <col customWidth="1" min="11012" max="11012" style="75" width="1.625"/>
    <col customWidth="1" min="11013" max="11013" style="75" width="17.625"/>
    <col customWidth="1" min="11014" max="11014" style="75" width="17.375"/>
    <col min="11015" max="11016" style="75" width="9"/>
    <col customWidth="1" min="11017" max="11017" style="75" width="7.125"/>
    <col customWidth="1" min="11018" max="11018" style="75" width="10.625"/>
    <col customWidth="1" min="11019" max="11021" style="75" width="7.125"/>
    <col bestFit="1" customWidth="1" min="11022" max="11024" style="75" width="10.125"/>
    <col customWidth="1" min="11025" max="11025" style="75" width="6.75"/>
    <col min="11026" max="11262" style="75" width="9"/>
    <col customWidth="1" min="11263" max="11263" style="75" width="10.625"/>
    <col customWidth="1" min="11264" max="11264" style="75" width="7.25"/>
    <col customWidth="1" min="11265" max="11265" style="75" width="10.75"/>
    <col customWidth="1" min="11266" max="11266" style="75" width="8.75"/>
    <col customWidth="1" min="11267" max="11267" style="75" width="17.875"/>
    <col customWidth="1" min="11268" max="11268" style="75" width="1.625"/>
    <col customWidth="1" min="11269" max="11269" style="75" width="17.625"/>
    <col customWidth="1" min="11270" max="11270" style="75" width="17.375"/>
    <col min="11271" max="11272" style="75" width="9"/>
    <col customWidth="1" min="11273" max="11273" style="75" width="7.125"/>
    <col customWidth="1" min="11274" max="11274" style="75" width="10.625"/>
    <col customWidth="1" min="11275" max="11277" style="75" width="7.125"/>
    <col bestFit="1" customWidth="1" min="11278" max="11280" style="75" width="10.125"/>
    <col customWidth="1" min="11281" max="11281" style="75" width="6.75"/>
    <col min="11282" max="11518" style="75" width="9"/>
    <col customWidth="1" min="11519" max="11519" style="75" width="10.625"/>
    <col customWidth="1" min="11520" max="11520" style="75" width="7.25"/>
    <col customWidth="1" min="11521" max="11521" style="75" width="10.75"/>
    <col customWidth="1" min="11522" max="11522" style="75" width="8.75"/>
    <col customWidth="1" min="11523" max="11523" style="75" width="17.875"/>
    <col customWidth="1" min="11524" max="11524" style="75" width="1.625"/>
    <col customWidth="1" min="11525" max="11525" style="75" width="17.625"/>
    <col customWidth="1" min="11526" max="11526" style="75" width="17.375"/>
    <col min="11527" max="11528" style="75" width="9"/>
    <col customWidth="1" min="11529" max="11529" style="75" width="7.125"/>
    <col customWidth="1" min="11530" max="11530" style="75" width="10.625"/>
    <col customWidth="1" min="11531" max="11533" style="75" width="7.125"/>
    <col bestFit="1" customWidth="1" min="11534" max="11536" style="75" width="10.125"/>
    <col customWidth="1" min="11537" max="11537" style="75" width="6.75"/>
    <col min="11538" max="11774" style="75" width="9"/>
    <col customWidth="1" min="11775" max="11775" style="75" width="10.625"/>
    <col customWidth="1" min="11776" max="11776" style="75" width="7.25"/>
    <col customWidth="1" min="11777" max="11777" style="75" width="10.75"/>
    <col customWidth="1" min="11778" max="11778" style="75" width="8.75"/>
    <col customWidth="1" min="11779" max="11779" style="75" width="17.875"/>
    <col customWidth="1" min="11780" max="11780" style="75" width="1.625"/>
    <col customWidth="1" min="11781" max="11781" style="75" width="17.625"/>
    <col customWidth="1" min="11782" max="11782" style="75" width="17.375"/>
    <col min="11783" max="11784" style="75" width="9"/>
    <col customWidth="1" min="11785" max="11785" style="75" width="7.125"/>
    <col customWidth="1" min="11786" max="11786" style="75" width="10.625"/>
    <col customWidth="1" min="11787" max="11789" style="75" width="7.125"/>
    <col bestFit="1" customWidth="1" min="11790" max="11792" style="75" width="10.125"/>
    <col customWidth="1" min="11793" max="11793" style="75" width="6.75"/>
    <col min="11794" max="12030" style="75" width="9"/>
    <col customWidth="1" min="12031" max="12031" style="75" width="10.625"/>
    <col customWidth="1" min="12032" max="12032" style="75" width="7.25"/>
    <col customWidth="1" min="12033" max="12033" style="75" width="10.75"/>
    <col customWidth="1" min="12034" max="12034" style="75" width="8.75"/>
    <col customWidth="1" min="12035" max="12035" style="75" width="17.875"/>
    <col customWidth="1" min="12036" max="12036" style="75" width="1.625"/>
    <col customWidth="1" min="12037" max="12037" style="75" width="17.625"/>
    <col customWidth="1" min="12038" max="12038" style="75" width="17.375"/>
    <col min="12039" max="12040" style="75" width="9"/>
    <col customWidth="1" min="12041" max="12041" style="75" width="7.125"/>
    <col customWidth="1" min="12042" max="12042" style="75" width="10.625"/>
    <col customWidth="1" min="12043" max="12045" style="75" width="7.125"/>
    <col bestFit="1" customWidth="1" min="12046" max="12048" style="75" width="10.125"/>
    <col customWidth="1" min="12049" max="12049" style="75" width="6.75"/>
    <col min="12050" max="12286" style="75" width="9"/>
    <col customWidth="1" min="12287" max="12287" style="75" width="10.625"/>
    <col customWidth="1" min="12288" max="12288" style="75" width="7.25"/>
    <col customWidth="1" min="12289" max="12289" style="75" width="10.75"/>
    <col customWidth="1" min="12290" max="12290" style="75" width="8.75"/>
    <col customWidth="1" min="12291" max="12291" style="75" width="17.875"/>
    <col customWidth="1" min="12292" max="12292" style="75" width="1.625"/>
    <col customWidth="1" min="12293" max="12293" style="75" width="17.625"/>
    <col customWidth="1" min="12294" max="12294" style="75" width="17.375"/>
    <col min="12295" max="12296" style="75" width="9"/>
    <col customWidth="1" min="12297" max="12297" style="75" width="7.125"/>
    <col customWidth="1" min="12298" max="12298" style="75" width="10.625"/>
    <col customWidth="1" min="12299" max="12301" style="75" width="7.125"/>
    <col bestFit="1" customWidth="1" min="12302" max="12304" style="75" width="10.125"/>
    <col customWidth="1" min="12305" max="12305" style="75" width="6.75"/>
    <col min="12306" max="12542" style="75" width="9"/>
    <col customWidth="1" min="12543" max="12543" style="75" width="10.625"/>
    <col customWidth="1" min="12544" max="12544" style="75" width="7.25"/>
    <col customWidth="1" min="12545" max="12545" style="75" width="10.75"/>
    <col customWidth="1" min="12546" max="12546" style="75" width="8.75"/>
    <col customWidth="1" min="12547" max="12547" style="75" width="17.875"/>
    <col customWidth="1" min="12548" max="12548" style="75" width="1.625"/>
    <col customWidth="1" min="12549" max="12549" style="75" width="17.625"/>
    <col customWidth="1" min="12550" max="12550" style="75" width="17.375"/>
    <col min="12551" max="12552" style="75" width="9"/>
    <col customWidth="1" min="12553" max="12553" style="75" width="7.125"/>
    <col customWidth="1" min="12554" max="12554" style="75" width="10.625"/>
    <col customWidth="1" min="12555" max="12557" style="75" width="7.125"/>
    <col bestFit="1" customWidth="1" min="12558" max="12560" style="75" width="10.125"/>
    <col customWidth="1" min="12561" max="12561" style="75" width="6.75"/>
    <col min="12562" max="12798" style="75" width="9"/>
    <col customWidth="1" min="12799" max="12799" style="75" width="10.625"/>
    <col customWidth="1" min="12800" max="12800" style="75" width="7.25"/>
    <col customWidth="1" min="12801" max="12801" style="75" width="10.75"/>
    <col customWidth="1" min="12802" max="12802" style="75" width="8.75"/>
    <col customWidth="1" min="12803" max="12803" style="75" width="17.875"/>
    <col customWidth="1" min="12804" max="12804" style="75" width="1.625"/>
    <col customWidth="1" min="12805" max="12805" style="75" width="17.625"/>
    <col customWidth="1" min="12806" max="12806" style="75" width="17.375"/>
    <col min="12807" max="12808" style="75" width="9"/>
    <col customWidth="1" min="12809" max="12809" style="75" width="7.125"/>
    <col customWidth="1" min="12810" max="12810" style="75" width="10.625"/>
    <col customWidth="1" min="12811" max="12813" style="75" width="7.125"/>
    <col bestFit="1" customWidth="1" min="12814" max="12816" style="75" width="10.125"/>
    <col customWidth="1" min="12817" max="12817" style="75" width="6.75"/>
    <col min="12818" max="13054" style="75" width="9"/>
    <col customWidth="1" min="13055" max="13055" style="75" width="10.625"/>
    <col customWidth="1" min="13056" max="13056" style="75" width="7.25"/>
    <col customWidth="1" min="13057" max="13057" style="75" width="10.75"/>
    <col customWidth="1" min="13058" max="13058" style="75" width="8.75"/>
    <col customWidth="1" min="13059" max="13059" style="75" width="17.875"/>
    <col customWidth="1" min="13060" max="13060" style="75" width="1.625"/>
    <col customWidth="1" min="13061" max="13061" style="75" width="17.625"/>
    <col customWidth="1" min="13062" max="13062" style="75" width="17.375"/>
    <col min="13063" max="13064" style="75" width="9"/>
    <col customWidth="1" min="13065" max="13065" style="75" width="7.125"/>
    <col customWidth="1" min="13066" max="13066" style="75" width="10.625"/>
    <col customWidth="1" min="13067" max="13069" style="75" width="7.125"/>
    <col bestFit="1" customWidth="1" min="13070" max="13072" style="75" width="10.125"/>
    <col customWidth="1" min="13073" max="13073" style="75" width="6.75"/>
    <col min="13074" max="13310" style="75" width="9"/>
    <col customWidth="1" min="13311" max="13311" style="75" width="10.625"/>
    <col customWidth="1" min="13312" max="13312" style="75" width="7.25"/>
    <col customWidth="1" min="13313" max="13313" style="75" width="10.75"/>
    <col customWidth="1" min="13314" max="13314" style="75" width="8.75"/>
    <col customWidth="1" min="13315" max="13315" style="75" width="17.875"/>
    <col customWidth="1" min="13316" max="13316" style="75" width="1.625"/>
    <col customWidth="1" min="13317" max="13317" style="75" width="17.625"/>
    <col customWidth="1" min="13318" max="13318" style="75" width="17.375"/>
    <col min="13319" max="13320" style="75" width="9"/>
    <col customWidth="1" min="13321" max="13321" style="75" width="7.125"/>
    <col customWidth="1" min="13322" max="13322" style="75" width="10.625"/>
    <col customWidth="1" min="13323" max="13325" style="75" width="7.125"/>
    <col bestFit="1" customWidth="1" min="13326" max="13328" style="75" width="10.125"/>
    <col customWidth="1" min="13329" max="13329" style="75" width="6.75"/>
    <col min="13330" max="13566" style="75" width="9"/>
    <col customWidth="1" min="13567" max="13567" style="75" width="10.625"/>
    <col customWidth="1" min="13568" max="13568" style="75" width="7.25"/>
    <col customWidth="1" min="13569" max="13569" style="75" width="10.75"/>
    <col customWidth="1" min="13570" max="13570" style="75" width="8.75"/>
    <col customWidth="1" min="13571" max="13571" style="75" width="17.875"/>
    <col customWidth="1" min="13572" max="13572" style="75" width="1.625"/>
    <col customWidth="1" min="13573" max="13573" style="75" width="17.625"/>
    <col customWidth="1" min="13574" max="13574" style="75" width="17.375"/>
    <col min="13575" max="13576" style="75" width="9"/>
    <col customWidth="1" min="13577" max="13577" style="75" width="7.125"/>
    <col customWidth="1" min="13578" max="13578" style="75" width="10.625"/>
    <col customWidth="1" min="13579" max="13581" style="75" width="7.125"/>
    <col bestFit="1" customWidth="1" min="13582" max="13584" style="75" width="10.125"/>
    <col customWidth="1" min="13585" max="13585" style="75" width="6.75"/>
    <col min="13586" max="13822" style="75" width="9"/>
    <col customWidth="1" min="13823" max="13823" style="75" width="10.625"/>
    <col customWidth="1" min="13824" max="13824" style="75" width="7.25"/>
    <col customWidth="1" min="13825" max="13825" style="75" width="10.75"/>
    <col customWidth="1" min="13826" max="13826" style="75" width="8.75"/>
    <col customWidth="1" min="13827" max="13827" style="75" width="17.875"/>
    <col customWidth="1" min="13828" max="13828" style="75" width="1.625"/>
    <col customWidth="1" min="13829" max="13829" style="75" width="17.625"/>
    <col customWidth="1" min="13830" max="13830" style="75" width="17.375"/>
    <col min="13831" max="13832" style="75" width="9"/>
    <col customWidth="1" min="13833" max="13833" style="75" width="7.125"/>
    <col customWidth="1" min="13834" max="13834" style="75" width="10.625"/>
    <col customWidth="1" min="13835" max="13837" style="75" width="7.125"/>
    <col bestFit="1" customWidth="1" min="13838" max="13840" style="75" width="10.125"/>
    <col customWidth="1" min="13841" max="13841" style="75" width="6.75"/>
    <col min="13842" max="14078" style="75" width="9"/>
    <col customWidth="1" min="14079" max="14079" style="75" width="10.625"/>
    <col customWidth="1" min="14080" max="14080" style="75" width="7.25"/>
    <col customWidth="1" min="14081" max="14081" style="75" width="10.75"/>
    <col customWidth="1" min="14082" max="14082" style="75" width="8.75"/>
    <col customWidth="1" min="14083" max="14083" style="75" width="17.875"/>
    <col customWidth="1" min="14084" max="14084" style="75" width="1.625"/>
    <col customWidth="1" min="14085" max="14085" style="75" width="17.625"/>
    <col customWidth="1" min="14086" max="14086" style="75" width="17.375"/>
    <col min="14087" max="14088" style="75" width="9"/>
    <col customWidth="1" min="14089" max="14089" style="75" width="7.125"/>
    <col customWidth="1" min="14090" max="14090" style="75" width="10.625"/>
    <col customWidth="1" min="14091" max="14093" style="75" width="7.125"/>
    <col bestFit="1" customWidth="1" min="14094" max="14096" style="75" width="10.125"/>
    <col customWidth="1" min="14097" max="14097" style="75" width="6.75"/>
    <col min="14098" max="14334" style="75" width="9"/>
    <col customWidth="1" min="14335" max="14335" style="75" width="10.625"/>
    <col customWidth="1" min="14336" max="14336" style="75" width="7.25"/>
    <col customWidth="1" min="14337" max="14337" style="75" width="10.75"/>
    <col customWidth="1" min="14338" max="14338" style="75" width="8.75"/>
    <col customWidth="1" min="14339" max="14339" style="75" width="17.875"/>
    <col customWidth="1" min="14340" max="14340" style="75" width="1.625"/>
    <col customWidth="1" min="14341" max="14341" style="75" width="17.625"/>
    <col customWidth="1" min="14342" max="14342" style="75" width="17.375"/>
    <col min="14343" max="14344" style="75" width="9"/>
    <col customWidth="1" min="14345" max="14345" style="75" width="7.125"/>
    <col customWidth="1" min="14346" max="14346" style="75" width="10.625"/>
    <col customWidth="1" min="14347" max="14349" style="75" width="7.125"/>
    <col bestFit="1" customWidth="1" min="14350" max="14352" style="75" width="10.125"/>
    <col customWidth="1" min="14353" max="14353" style="75" width="6.75"/>
    <col min="14354" max="14590" style="75" width="9"/>
    <col customWidth="1" min="14591" max="14591" style="75" width="10.625"/>
    <col customWidth="1" min="14592" max="14592" style="75" width="7.25"/>
    <col customWidth="1" min="14593" max="14593" style="75" width="10.75"/>
    <col customWidth="1" min="14594" max="14594" style="75" width="8.75"/>
    <col customWidth="1" min="14595" max="14595" style="75" width="17.875"/>
    <col customWidth="1" min="14596" max="14596" style="75" width="1.625"/>
    <col customWidth="1" min="14597" max="14597" style="75" width="17.625"/>
    <col customWidth="1" min="14598" max="14598" style="75" width="17.375"/>
    <col min="14599" max="14600" style="75" width="9"/>
    <col customWidth="1" min="14601" max="14601" style="75" width="7.125"/>
    <col customWidth="1" min="14602" max="14602" style="75" width="10.625"/>
    <col customWidth="1" min="14603" max="14605" style="75" width="7.125"/>
    <col bestFit="1" customWidth="1" min="14606" max="14608" style="75" width="10.125"/>
    <col customWidth="1" min="14609" max="14609" style="75" width="6.75"/>
    <col min="14610" max="14846" style="75" width="9"/>
    <col customWidth="1" min="14847" max="14847" style="75" width="10.625"/>
    <col customWidth="1" min="14848" max="14848" style="75" width="7.25"/>
    <col customWidth="1" min="14849" max="14849" style="75" width="10.75"/>
    <col customWidth="1" min="14850" max="14850" style="75" width="8.75"/>
    <col customWidth="1" min="14851" max="14851" style="75" width="17.875"/>
    <col customWidth="1" min="14852" max="14852" style="75" width="1.625"/>
    <col customWidth="1" min="14853" max="14853" style="75" width="17.625"/>
    <col customWidth="1" min="14854" max="14854" style="75" width="17.375"/>
    <col min="14855" max="14856" style="75" width="9"/>
    <col customWidth="1" min="14857" max="14857" style="75" width="7.125"/>
    <col customWidth="1" min="14858" max="14858" style="75" width="10.625"/>
    <col customWidth="1" min="14859" max="14861" style="75" width="7.125"/>
    <col bestFit="1" customWidth="1" min="14862" max="14864" style="75" width="10.125"/>
    <col customWidth="1" min="14865" max="14865" style="75" width="6.75"/>
    <col min="14866" max="15102" style="75" width="9"/>
    <col customWidth="1" min="15103" max="15103" style="75" width="10.625"/>
    <col customWidth="1" min="15104" max="15104" style="75" width="7.25"/>
    <col customWidth="1" min="15105" max="15105" style="75" width="10.75"/>
    <col customWidth="1" min="15106" max="15106" style="75" width="8.75"/>
    <col customWidth="1" min="15107" max="15107" style="75" width="17.875"/>
    <col customWidth="1" min="15108" max="15108" style="75" width="1.625"/>
    <col customWidth="1" min="15109" max="15109" style="75" width="17.625"/>
    <col customWidth="1" min="15110" max="15110" style="75" width="17.375"/>
    <col min="15111" max="15112" style="75" width="9"/>
    <col customWidth="1" min="15113" max="15113" style="75" width="7.125"/>
    <col customWidth="1" min="15114" max="15114" style="75" width="10.625"/>
    <col customWidth="1" min="15115" max="15117" style="75" width="7.125"/>
    <col bestFit="1" customWidth="1" min="15118" max="15120" style="75" width="10.125"/>
    <col customWidth="1" min="15121" max="15121" style="75" width="6.75"/>
    <col min="15122" max="15358" style="75" width="9"/>
    <col customWidth="1" min="15359" max="15359" style="75" width="10.625"/>
    <col customWidth="1" min="15360" max="15360" style="75" width="7.25"/>
    <col customWidth="1" min="15361" max="15361" style="75" width="10.75"/>
    <col customWidth="1" min="15362" max="15362" style="75" width="8.75"/>
    <col customWidth="1" min="15363" max="15363" style="75" width="17.875"/>
    <col customWidth="1" min="15364" max="15364" style="75" width="1.625"/>
    <col customWidth="1" min="15365" max="15365" style="75" width="17.625"/>
    <col customWidth="1" min="15366" max="15366" style="75" width="17.375"/>
    <col min="15367" max="15368" style="75" width="9"/>
    <col customWidth="1" min="15369" max="15369" style="75" width="7.125"/>
    <col customWidth="1" min="15370" max="15370" style="75" width="10.625"/>
    <col customWidth="1" min="15371" max="15373" style="75" width="7.125"/>
    <col bestFit="1" customWidth="1" min="15374" max="15376" style="75" width="10.125"/>
    <col customWidth="1" min="15377" max="15377" style="75" width="6.75"/>
    <col min="15378" max="15614" style="75" width="9"/>
    <col customWidth="1" min="15615" max="15615" style="75" width="10.625"/>
    <col customWidth="1" min="15616" max="15616" style="75" width="7.25"/>
    <col customWidth="1" min="15617" max="15617" style="75" width="10.75"/>
    <col customWidth="1" min="15618" max="15618" style="75" width="8.75"/>
    <col customWidth="1" min="15619" max="15619" style="75" width="17.875"/>
    <col customWidth="1" min="15620" max="15620" style="75" width="1.625"/>
    <col customWidth="1" min="15621" max="15621" style="75" width="17.625"/>
    <col customWidth="1" min="15622" max="15622" style="75" width="17.375"/>
    <col min="15623" max="15624" style="75" width="9"/>
    <col customWidth="1" min="15625" max="15625" style="75" width="7.125"/>
    <col customWidth="1" min="15626" max="15626" style="75" width="10.625"/>
    <col customWidth="1" min="15627" max="15629" style="75" width="7.125"/>
    <col bestFit="1" customWidth="1" min="15630" max="15632" style="75" width="10.125"/>
    <col customWidth="1" min="15633" max="15633" style="75" width="6.75"/>
    <col min="15634" max="15870" style="75" width="9"/>
    <col customWidth="1" min="15871" max="15871" style="75" width="10.625"/>
    <col customWidth="1" min="15872" max="15872" style="75" width="7.25"/>
    <col customWidth="1" min="15873" max="15873" style="75" width="10.75"/>
    <col customWidth="1" min="15874" max="15874" style="75" width="8.75"/>
    <col customWidth="1" min="15875" max="15875" style="75" width="17.875"/>
    <col customWidth="1" min="15876" max="15876" style="75" width="1.625"/>
    <col customWidth="1" min="15877" max="15877" style="75" width="17.625"/>
    <col customWidth="1" min="15878" max="15878" style="75" width="17.375"/>
    <col min="15879" max="15880" style="75" width="9"/>
    <col customWidth="1" min="15881" max="15881" style="75" width="7.125"/>
    <col customWidth="1" min="15882" max="15882" style="75" width="10.625"/>
    <col customWidth="1" min="15883" max="15885" style="75" width="7.125"/>
    <col bestFit="1" customWidth="1" min="15886" max="15888" style="75" width="10.125"/>
    <col customWidth="1" min="15889" max="15889" style="75" width="6.75"/>
    <col min="15890" max="16126" style="75" width="9"/>
    <col customWidth="1" min="16127" max="16127" style="75" width="10.625"/>
    <col customWidth="1" min="16128" max="16128" style="75" width="7.25"/>
    <col customWidth="1" min="16129" max="16129" style="75" width="10.75"/>
    <col customWidth="1" min="16130" max="16130" style="75" width="8.75"/>
    <col customWidth="1" min="16131" max="16131" style="75" width="17.875"/>
    <col customWidth="1" min="16132" max="16132" style="75" width="1.625"/>
    <col customWidth="1" min="16133" max="16133" style="75" width="17.625"/>
    <col customWidth="1" min="16134" max="16134" style="75" width="17.375"/>
    <col min="16135" max="16136" style="75" width="9"/>
    <col customWidth="1" min="16137" max="16137" style="75" width="7.125"/>
    <col customWidth="1" min="16138" max="16138" style="75" width="10.625"/>
    <col customWidth="1" min="16139" max="16141" style="75" width="7.125"/>
    <col bestFit="1" customWidth="1" min="16142" max="16144" style="75" width="10.125"/>
    <col customWidth="1" min="16145" max="16145" style="75" width="6.75"/>
    <col min="16146" max="16384" style="75" width="9"/>
  </cols>
  <sheetData>
    <row r="1" ht="24" customHeight="1"/>
    <row r="2" ht="55.5" customHeight="1">
      <c r="A2" s="76" t="s">
        <v>298</v>
      </c>
      <c r="B2" s="76"/>
      <c r="C2" s="76"/>
      <c r="D2" s="76"/>
      <c r="E2" s="76"/>
      <c r="F2" s="76"/>
    </row>
    <row r="3" ht="27" customHeight="1">
      <c r="D3" s="77" t="s">
        <v>299</v>
      </c>
      <c r="E3" s="77"/>
      <c r="F3" s="78"/>
    </row>
    <row r="4" ht="16.5" customHeight="1">
      <c r="D4" s="78"/>
      <c r="E4" s="78"/>
      <c r="F4" s="78"/>
    </row>
    <row r="5" ht="15.75" customHeight="1">
      <c r="D5" s="78"/>
      <c r="E5" s="78"/>
      <c r="F5" s="78"/>
    </row>
    <row r="6" ht="15.75" customHeight="1">
      <c r="D6" s="78"/>
      <c r="E6" s="78"/>
      <c r="F6" s="78"/>
    </row>
    <row r="7" ht="20.100000000000001" customHeight="1">
      <c r="A7" s="75" t="s">
        <v>300</v>
      </c>
      <c r="B7" s="79" t="str">
        <f>'기초 자료 입력'!$D$11</f>
        <v>R26TB01782064-00</v>
      </c>
      <c r="C7" s="79"/>
      <c r="D7" s="79"/>
      <c r="E7" s="79"/>
      <c r="F7" s="79"/>
      <c r="H7" s="80"/>
    </row>
    <row r="8" ht="20.100000000000001" customHeight="1">
      <c r="A8" s="75" t="s">
        <v>301</v>
      </c>
      <c r="B8" s="81" t="str">
        <f>'기초 자료 입력'!$D$7</f>
        <v xml:space="preserve">울산공항 계류장조명등 개선공사 관급자재 구매</v>
      </c>
      <c r="C8" s="81"/>
      <c r="D8" s="81"/>
      <c r="E8" s="81"/>
      <c r="F8" s="81"/>
      <c r="H8" s="80"/>
    </row>
    <row r="9" ht="20.100000000000001" customHeight="1">
      <c r="A9" s="75" t="s">
        <v>302</v>
      </c>
      <c r="B9" s="79" t="str">
        <f>공문!$C$13</f>
        <v>#NAME?</v>
      </c>
      <c r="C9" s="79"/>
      <c r="D9" s="79"/>
      <c r="E9" s="79"/>
      <c r="F9" s="79"/>
    </row>
    <row r="10" ht="20.100000000000001" customHeight="1">
      <c r="A10" s="75" t="s">
        <v>303</v>
      </c>
      <c r="B10" s="82">
        <f>'기초 자료 입력'!$D$9</f>
        <v>46120</v>
      </c>
      <c r="C10" s="82"/>
      <c r="D10" s="68"/>
      <c r="E10" s="68"/>
      <c r="F10" s="68"/>
    </row>
    <row r="11" ht="20.100000000000001" customHeight="1">
      <c r="A11" s="75" t="s">
        <v>304</v>
      </c>
      <c r="B11" s="82">
        <f>'기초 자료 입력'!$D$12</f>
        <v>46196</v>
      </c>
      <c r="C11" s="82"/>
      <c r="D11" s="68"/>
      <c r="E11" s="68"/>
      <c r="F11" s="68"/>
    </row>
    <row r="12" ht="20.100000000000001" customHeight="1">
      <c r="A12" s="75" t="s">
        <v>305</v>
      </c>
      <c r="B12" s="82">
        <f>'기초 자료 입력'!$D$14</f>
        <v>46195</v>
      </c>
      <c r="C12" s="82"/>
      <c r="D12" s="68"/>
      <c r="E12" s="68"/>
      <c r="F12" s="68"/>
    </row>
    <row r="13" ht="20.100000000000001" customHeight="1">
      <c r="B13" s="79"/>
      <c r="C13" s="79"/>
      <c r="D13" s="18"/>
      <c r="E13" s="18"/>
      <c r="F13" s="18"/>
    </row>
    <row r="14" ht="20.100000000000001" customHeight="1">
      <c r="A14" s="80" t="s">
        <v>306</v>
      </c>
      <c r="B14" s="80"/>
      <c r="C14" s="80"/>
      <c r="D14" s="80"/>
      <c r="E14" s="80"/>
      <c r="F14" s="80"/>
    </row>
    <row r="15" ht="20.100000000000001" customHeight="1">
      <c r="A15" s="80"/>
      <c r="B15" s="80"/>
      <c r="C15" s="80"/>
      <c r="D15" s="80"/>
      <c r="E15" s="80"/>
      <c r="F15" s="80"/>
    </row>
    <row r="16" ht="20.100000000000001" customHeight="1">
      <c r="A16" s="80"/>
      <c r="B16" s="80"/>
      <c r="C16" s="80"/>
      <c r="D16" s="80"/>
      <c r="E16" s="80"/>
      <c r="F16" s="80"/>
    </row>
    <row r="17" ht="20.100000000000001" customHeight="1">
      <c r="A17" s="79" t="s">
        <v>307</v>
      </c>
      <c r="B17" s="79"/>
      <c r="C17" s="79"/>
      <c r="D17" s="79"/>
      <c r="E17" s="79"/>
      <c r="F17" s="79"/>
    </row>
    <row r="18" ht="20.100000000000001" customHeight="1">
      <c r="A18" s="79" t="s">
        <v>308</v>
      </c>
      <c r="B18" s="79"/>
      <c r="C18" s="79"/>
      <c r="D18" s="79"/>
      <c r="E18" s="79"/>
      <c r="F18" s="79"/>
    </row>
    <row r="19" ht="20.100000000000001" customHeight="1">
      <c r="A19" s="79" t="s">
        <v>309</v>
      </c>
      <c r="B19" s="79"/>
      <c r="C19" s="79"/>
      <c r="D19" s="79"/>
      <c r="E19" s="79"/>
      <c r="F19" s="79"/>
    </row>
    <row r="20" ht="20.100000000000001" customHeight="1">
      <c r="A20" s="79" t="s">
        <v>310</v>
      </c>
      <c r="B20" s="79"/>
      <c r="C20" s="79"/>
      <c r="D20" s="79"/>
      <c r="E20" s="79"/>
      <c r="F20" s="79"/>
    </row>
    <row r="21" ht="20.100000000000001" customHeight="1">
      <c r="A21" s="79"/>
      <c r="B21" s="79"/>
      <c r="C21" s="79"/>
      <c r="D21" s="79"/>
      <c r="E21" s="79"/>
      <c r="F21" s="79"/>
    </row>
    <row r="22" ht="20.100000000000001" customHeight="1">
      <c r="A22" s="79"/>
      <c r="B22" s="79"/>
      <c r="C22" s="79"/>
      <c r="D22" s="79"/>
      <c r="E22" s="79"/>
      <c r="F22" s="79"/>
    </row>
    <row r="23" ht="20.100000000000001" customHeight="1">
      <c r="A23" s="83">
        <f>B12</f>
        <v>46195</v>
      </c>
      <c r="B23" s="83"/>
      <c r="C23" s="83"/>
      <c r="D23" s="83"/>
      <c r="E23" s="83"/>
      <c r="F23" s="83"/>
    </row>
    <row r="24" ht="20.100000000000001" customHeight="1">
      <c r="A24" s="79"/>
      <c r="B24" s="79"/>
      <c r="C24" s="79"/>
      <c r="D24" s="79"/>
      <c r="E24" s="79"/>
      <c r="F24" s="79"/>
      <c r="H24" s="75"/>
      <c r="J24" s="79" t="s">
        <v>311</v>
      </c>
      <c r="K24" s="79"/>
      <c r="L24" s="79"/>
      <c r="M24" s="79"/>
    </row>
    <row r="25" ht="20.100000000000001" customHeight="1">
      <c r="A25" s="75"/>
      <c r="B25" s="75"/>
      <c r="C25" s="79" t="s">
        <v>312</v>
      </c>
      <c r="D25" s="75"/>
      <c r="E25" s="75"/>
      <c r="F25" s="75"/>
      <c r="H25" s="75"/>
      <c r="J25" s="79" t="s">
        <v>313</v>
      </c>
      <c r="K25" s="79"/>
      <c r="L25" s="79"/>
      <c r="M25" s="79"/>
    </row>
    <row r="26" ht="20.100000000000001" customHeight="1">
      <c r="A26" s="75"/>
      <c r="B26" s="75"/>
      <c r="C26" s="84" t="s">
        <v>314</v>
      </c>
      <c r="D26" s="79" t="s">
        <v>315</v>
      </c>
      <c r="E26" s="79"/>
      <c r="F26" s="75"/>
      <c r="H26" s="75"/>
      <c r="J26" s="79" t="s">
        <v>316</v>
      </c>
      <c r="K26" s="79"/>
      <c r="L26" s="79"/>
      <c r="M26" s="79"/>
    </row>
    <row r="27" ht="20.100000000000001" customHeight="1">
      <c r="A27" s="75"/>
      <c r="B27" s="75"/>
      <c r="C27" s="84" t="s">
        <v>317</v>
      </c>
      <c r="D27" s="79" t="s">
        <v>318</v>
      </c>
      <c r="E27" s="79"/>
      <c r="F27" s="75"/>
      <c r="H27" s="75"/>
      <c r="J27" s="79" t="s">
        <v>319</v>
      </c>
      <c r="K27" s="79"/>
      <c r="L27" s="79"/>
      <c r="M27" s="79"/>
    </row>
    <row r="28" ht="20.100000000000001" customHeight="1">
      <c r="A28" s="75"/>
      <c r="B28" s="75"/>
      <c r="C28" s="84" t="s">
        <v>320</v>
      </c>
      <c r="D28" s="79" t="s">
        <v>321</v>
      </c>
      <c r="E28" s="79" t="s">
        <v>322</v>
      </c>
      <c r="F28" s="75"/>
    </row>
    <row r="29" ht="20.100000000000001" customHeight="1">
      <c r="A29" s="79"/>
      <c r="B29" s="18"/>
      <c r="C29" s="18"/>
      <c r="D29" s="18"/>
      <c r="E29" s="18"/>
      <c r="F29" s="18"/>
    </row>
    <row r="30" ht="20.100000000000001" customHeight="1">
      <c r="A30" s="79"/>
      <c r="B30" s="18"/>
      <c r="C30" s="18"/>
      <c r="D30" s="18"/>
      <c r="E30" s="18"/>
      <c r="F30" s="18"/>
    </row>
    <row r="31" ht="20.100000000000001" customHeight="1">
      <c r="A31" s="79"/>
      <c r="B31" s="18"/>
      <c r="C31" s="18"/>
      <c r="D31" s="18"/>
      <c r="E31" s="18"/>
      <c r="F31" s="18"/>
    </row>
    <row r="32" ht="20.100000000000001" customHeight="1">
      <c r="A32" s="79"/>
      <c r="B32" s="18"/>
      <c r="C32" s="18"/>
      <c r="D32" s="18"/>
      <c r="E32" s="18"/>
      <c r="F32" s="18"/>
    </row>
    <row r="33" ht="20.100000000000001" customHeight="1">
      <c r="A33" s="85" t="str">
        <f>공문!B4&amp;" 귀중"</f>
        <v xml:space="preserve">한국공항공사 울산공항 귀중</v>
      </c>
      <c r="B33" s="85"/>
      <c r="C33" s="85"/>
      <c r="D33" s="85"/>
      <c r="E33" s="85"/>
      <c r="F33" s="85"/>
    </row>
  </sheetData>
  <mergeCells count="22">
    <mergeCell ref="A2:F2"/>
    <mergeCell ref="D3:F6"/>
    <mergeCell ref="B7:F7"/>
    <mergeCell ref="B8:F8"/>
    <mergeCell ref="B9:F9"/>
    <mergeCell ref="B10:F10"/>
    <mergeCell ref="B11:F11"/>
    <mergeCell ref="B12:F12"/>
    <mergeCell ref="A14:F14"/>
    <mergeCell ref="A17:F17"/>
    <mergeCell ref="A18:F18"/>
    <mergeCell ref="A19:F19"/>
    <mergeCell ref="A20:F20"/>
    <mergeCell ref="A23:F23"/>
    <mergeCell ref="J24:M24"/>
    <mergeCell ref="J25:M25"/>
    <mergeCell ref="D26:E26"/>
    <mergeCell ref="J26:M26"/>
    <mergeCell ref="D27:E27"/>
    <mergeCell ref="J27:M27"/>
    <mergeCell ref="A32:F32"/>
    <mergeCell ref="A33:F33"/>
  </mergeCells>
  <printOptions headings="0" gridLines="0" horizontalCentered="1"/>
  <pageMargins left="0.19685039370078738" right="0.19685039370078738" top="0.59055118110236249" bottom="0.19685039370078738" header="0.31496062992125984" footer="0.31496062992125984"/>
  <pageSetup paperSize="9" scale="100" fitToWidth="1" fitToHeight="0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pageBreakPreview" topLeftCell="A29" zoomScale="85" workbookViewId="0">
      <selection activeCell="O13" activeCellId="0" sqref="O13"/>
    </sheetView>
  </sheetViews>
  <sheetFormatPr defaultRowHeight="14.25"/>
  <cols>
    <col customWidth="1" min="1" max="1" style="86" width="5.125"/>
    <col customWidth="1" min="2" max="2" style="86" width="12.375"/>
    <col customWidth="1" min="3" max="3" style="86" width="8.25"/>
    <col customWidth="1" min="4" max="4" style="86" width="17"/>
    <col customWidth="1" min="5" max="5" style="86" width="10"/>
    <col customWidth="1" min="6" max="7" style="86" width="3.625"/>
    <col customWidth="1" min="8" max="8" style="86" width="5.875"/>
    <col customWidth="1" min="9" max="9" style="86" width="22.625"/>
    <col customWidth="1" min="10" max="13" style="86" width="5.625"/>
    <col customWidth="1" min="14" max="14" style="86" width="3.625"/>
    <col customWidth="1" min="15" max="15" style="86" width="6.5"/>
    <col customWidth="1" min="16" max="16" style="86" width="4.75"/>
    <col min="17" max="16384" style="86" width="9.00390625"/>
  </cols>
  <sheetData>
    <row r="2" ht="30" customHeight="1">
      <c r="A2" s="87" t="s">
        <v>323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</row>
    <row r="3" ht="15">
      <c r="A3" s="89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</row>
    <row r="4" ht="22.5" customHeight="1">
      <c r="A4" s="91" t="s">
        <v>324</v>
      </c>
      <c r="B4" s="92"/>
      <c r="C4" s="93"/>
      <c r="D4" s="94"/>
      <c r="E4" s="95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</row>
    <row r="5" ht="22.5" customHeight="1">
      <c r="A5" s="97" t="s">
        <v>325</v>
      </c>
      <c r="B5" s="98"/>
      <c r="C5" s="99" t="str">
        <f>_xlfn.CONCAT('기초 자료 입력'!D8,"호")</f>
        <v>R25TA00498993-00호</v>
      </c>
      <c r="D5" s="100"/>
      <c r="E5" s="93" t="s">
        <v>326</v>
      </c>
      <c r="F5" s="101"/>
      <c r="G5" s="101"/>
      <c r="H5" s="92"/>
      <c r="I5" s="102" t="str">
        <f>'기초 자료 입력'!D11</f>
        <v>R26TB01782064-00</v>
      </c>
      <c r="J5" s="93" t="s">
        <v>327</v>
      </c>
      <c r="K5" s="101"/>
      <c r="L5" s="92"/>
      <c r="M5" s="103" t="str">
        <f>TEXT('기초 자료 입력'!D12,"yyyy. Mm. dd.")</f>
        <v xml:space="preserve">2026. 06. 23.</v>
      </c>
      <c r="N5" s="104"/>
      <c r="O5" s="104"/>
      <c r="P5" s="105"/>
    </row>
    <row r="6" ht="22.5" customHeight="1">
      <c r="A6" s="97" t="s">
        <v>328</v>
      </c>
      <c r="B6" s="98"/>
      <c r="C6" s="106" t="str">
        <f>TEXT('기초 자료 입력'!D9,"yyyy. Mm. dd.")</f>
        <v xml:space="preserve">2026. 04. 08.</v>
      </c>
      <c r="D6" s="107"/>
      <c r="E6" s="108" t="s">
        <v>329</v>
      </c>
      <c r="F6" s="109"/>
      <c r="G6" s="109"/>
      <c r="H6" s="98"/>
      <c r="I6" s="110" t="str">
        <f>TEXT('기초 자료 입력'!D9,"yyyy. Mm. dd.")</f>
        <v xml:space="preserve">2026. 04. 08.</v>
      </c>
      <c r="J6" s="108" t="s">
        <v>330</v>
      </c>
      <c r="K6" s="109"/>
      <c r="L6" s="98"/>
      <c r="M6" s="111"/>
      <c r="N6" s="112"/>
      <c r="O6" s="112"/>
      <c r="P6" s="113"/>
    </row>
    <row r="7" ht="22.5" customHeight="1">
      <c r="A7" s="97" t="s">
        <v>331</v>
      </c>
      <c r="B7" s="98"/>
      <c r="C7" s="114" t="str">
        <f>'기초 자료 입력'!D18</f>
        <v xml:space="preserve">한국공항공사 울산공항</v>
      </c>
      <c r="D7" s="100"/>
      <c r="E7" s="108" t="s">
        <v>332</v>
      </c>
      <c r="F7" s="109"/>
      <c r="G7" s="109"/>
      <c r="H7" s="98"/>
      <c r="I7" s="115">
        <f>'기초 자료 입력'!D19</f>
        <v>6108524413</v>
      </c>
      <c r="J7" s="108" t="s">
        <v>333</v>
      </c>
      <c r="K7" s="109"/>
      <c r="L7" s="98"/>
      <c r="M7" s="111"/>
      <c r="N7" s="112"/>
      <c r="O7" s="112"/>
      <c r="P7" s="113"/>
    </row>
    <row r="8" ht="22.5" customHeight="1">
      <c r="A8" s="116" t="s">
        <v>334</v>
      </c>
      <c r="B8" s="117"/>
      <c r="C8" s="118">
        <f>J41</f>
        <v>247799999.99999997</v>
      </c>
      <c r="D8" s="107"/>
      <c r="E8" s="108" t="s">
        <v>335</v>
      </c>
      <c r="F8" s="109"/>
      <c r="G8" s="109"/>
      <c r="H8" s="98"/>
      <c r="I8" s="115"/>
      <c r="J8" s="108" t="s">
        <v>336</v>
      </c>
      <c r="K8" s="109"/>
      <c r="L8" s="98"/>
      <c r="M8" s="111"/>
      <c r="N8" s="112"/>
      <c r="O8" s="112"/>
      <c r="P8" s="113"/>
    </row>
    <row r="9" ht="22.5" customHeight="1">
      <c r="A9" s="97" t="s">
        <v>337</v>
      </c>
      <c r="B9" s="98"/>
      <c r="C9" s="111"/>
      <c r="D9" s="107"/>
      <c r="E9" s="108" t="s">
        <v>338</v>
      </c>
      <c r="F9" s="109"/>
      <c r="G9" s="109"/>
      <c r="H9" s="98"/>
      <c r="I9" s="115"/>
      <c r="J9" s="108" t="s">
        <v>339</v>
      </c>
      <c r="K9" s="109"/>
      <c r="L9" s="98"/>
      <c r="M9" s="118">
        <f>J41</f>
        <v>247799999.99999997</v>
      </c>
      <c r="N9" s="112"/>
      <c r="O9" s="112"/>
      <c r="P9" s="113"/>
    </row>
    <row r="10" ht="22.5" customHeight="1">
      <c r="A10" s="119" t="s">
        <v>340</v>
      </c>
      <c r="B10" s="120"/>
      <c r="C10" s="121">
        <f>J41</f>
        <v>247799999.99999997</v>
      </c>
      <c r="D10" s="122"/>
      <c r="E10" s="123" t="s">
        <v>341</v>
      </c>
      <c r="F10" s="124"/>
      <c r="G10" s="124"/>
      <c r="H10" s="120"/>
      <c r="I10" s="125">
        <f>'기초 자료 입력'!D45</f>
        <v>446040</v>
      </c>
      <c r="J10" s="123" t="s">
        <v>342</v>
      </c>
      <c r="K10" s="124"/>
      <c r="L10" s="120"/>
      <c r="M10" s="121">
        <f>SUM(C10,I10)</f>
        <v>248246039.99999997</v>
      </c>
      <c r="N10" s="126"/>
      <c r="O10" s="126"/>
      <c r="P10" s="127"/>
    </row>
    <row r="11" ht="22.5" customHeight="1">
      <c r="A11" s="128" t="s">
        <v>343</v>
      </c>
      <c r="B11" s="107"/>
      <c r="C11" s="111"/>
      <c r="D11" s="112"/>
      <c r="E11" s="112"/>
      <c r="F11" s="107"/>
      <c r="G11" s="129"/>
      <c r="H11" s="122"/>
      <c r="I11" s="130" t="s">
        <v>344</v>
      </c>
      <c r="J11" s="129"/>
      <c r="K11" s="126"/>
      <c r="L11" s="126"/>
      <c r="M11" s="126"/>
      <c r="N11" s="126"/>
      <c r="O11" s="122"/>
      <c r="P11" s="131"/>
    </row>
    <row r="12" ht="22.5" customHeight="1">
      <c r="A12" s="132"/>
      <c r="B12" s="126"/>
      <c r="C12" s="126"/>
      <c r="D12" s="126"/>
      <c r="E12" s="126"/>
      <c r="F12" s="126"/>
      <c r="G12" s="133"/>
      <c r="H12" s="134"/>
      <c r="I12" s="135"/>
      <c r="J12" s="136"/>
      <c r="K12" s="137"/>
      <c r="L12" s="137"/>
      <c r="M12" s="137"/>
      <c r="N12" s="137"/>
      <c r="O12" s="138"/>
      <c r="P12" s="139"/>
    </row>
    <row r="13" ht="22.5" customHeight="1">
      <c r="A13" s="140"/>
      <c r="B13" s="133"/>
      <c r="C13" s="133"/>
      <c r="D13" s="133"/>
      <c r="E13" s="133"/>
      <c r="F13" s="133"/>
      <c r="G13" s="133"/>
      <c r="H13" s="134"/>
      <c r="I13" s="129"/>
      <c r="J13" s="126"/>
      <c r="K13" s="126"/>
      <c r="L13" s="126"/>
      <c r="M13" s="126"/>
      <c r="N13" s="126"/>
      <c r="O13" s="126"/>
      <c r="P13" s="141"/>
    </row>
    <row r="14" ht="22.5" customHeight="1">
      <c r="A14" s="142" t="s">
        <v>345</v>
      </c>
      <c r="B14" s="143"/>
      <c r="C14" s="143"/>
      <c r="D14" s="143"/>
      <c r="E14" s="143"/>
      <c r="F14" s="143"/>
      <c r="G14" s="143"/>
      <c r="H14" s="144"/>
      <c r="I14" s="145" t="s">
        <v>346</v>
      </c>
      <c r="J14" s="143"/>
      <c r="K14" s="143"/>
      <c r="L14" s="143"/>
      <c r="M14" s="143"/>
      <c r="N14" s="143"/>
      <c r="O14" s="143"/>
      <c r="P14" s="146"/>
    </row>
    <row r="15" ht="22.5" customHeight="1">
      <c r="A15" s="142" t="s">
        <v>347</v>
      </c>
      <c r="B15" s="143"/>
      <c r="C15" s="143"/>
      <c r="D15" s="143"/>
      <c r="E15" s="143"/>
      <c r="F15" s="143"/>
      <c r="G15" s="143"/>
      <c r="H15" s="144"/>
      <c r="I15" s="147"/>
      <c r="J15" s="148"/>
      <c r="K15" s="148"/>
      <c r="L15" s="148"/>
      <c r="M15" s="148"/>
      <c r="N15" s="148"/>
      <c r="O15" s="148"/>
      <c r="P15" s="149"/>
    </row>
    <row r="16" ht="22.5" customHeight="1">
      <c r="A16" s="150"/>
      <c r="B16" s="151"/>
      <c r="C16" s="152">
        <f>'기초 자료 입력'!D14</f>
        <v>46195</v>
      </c>
      <c r="D16" s="152"/>
      <c r="E16" s="152"/>
      <c r="F16" s="152"/>
      <c r="G16" s="152"/>
      <c r="H16" s="153"/>
      <c r="I16" s="154" t="s">
        <v>348</v>
      </c>
      <c r="J16" s="155">
        <f>C16</f>
        <v>46195</v>
      </c>
      <c r="K16" s="155"/>
      <c r="L16" s="155"/>
      <c r="M16" s="155"/>
      <c r="N16" s="155"/>
      <c r="O16" s="155"/>
      <c r="P16" s="156"/>
    </row>
    <row r="17" ht="22.5" customHeight="1">
      <c r="A17" s="157" t="s">
        <v>349</v>
      </c>
      <c r="B17" s="158"/>
      <c r="C17" s="158"/>
      <c r="D17" s="158"/>
      <c r="E17" s="158"/>
      <c r="F17" s="158"/>
      <c r="G17" s="158"/>
      <c r="H17" s="159"/>
      <c r="I17" s="154"/>
      <c r="J17" s="160"/>
      <c r="K17" s="161"/>
      <c r="L17" s="162"/>
      <c r="M17" s="162"/>
      <c r="N17" s="162"/>
      <c r="O17" s="162"/>
      <c r="P17" s="156"/>
    </row>
    <row r="18" ht="22.5" customHeight="1">
      <c r="A18" s="163" t="s">
        <v>350</v>
      </c>
      <c r="B18" s="164"/>
      <c r="C18" s="164"/>
      <c r="D18" s="164"/>
      <c r="E18" s="164"/>
      <c r="F18" s="164"/>
      <c r="G18" s="164"/>
      <c r="H18" s="165"/>
      <c r="I18" s="166" t="s">
        <v>351</v>
      </c>
      <c r="J18" s="167" t="s">
        <v>352</v>
      </c>
      <c r="K18" s="167"/>
      <c r="L18" s="167"/>
      <c r="M18" s="167"/>
      <c r="N18" s="167"/>
      <c r="O18" s="167"/>
      <c r="P18" s="168"/>
    </row>
    <row r="19" ht="22.5" customHeight="1">
      <c r="A19" s="163"/>
      <c r="B19" s="164"/>
      <c r="C19" s="164"/>
      <c r="D19" s="164"/>
      <c r="E19" s="164"/>
      <c r="F19" s="164"/>
      <c r="G19" s="164"/>
      <c r="H19" s="165"/>
      <c r="I19" s="166" t="s">
        <v>353</v>
      </c>
      <c r="J19" s="169"/>
      <c r="K19" s="169"/>
      <c r="L19" s="169"/>
      <c r="M19" s="169"/>
      <c r="N19" s="169"/>
      <c r="O19" s="169"/>
      <c r="P19" s="170"/>
    </row>
    <row r="20" ht="22.5" customHeight="1">
      <c r="A20" s="163" t="s">
        <v>354</v>
      </c>
      <c r="B20" s="164"/>
      <c r="C20" s="164"/>
      <c r="D20" s="164"/>
      <c r="E20" s="164"/>
      <c r="F20" s="164"/>
      <c r="G20" s="164"/>
      <c r="H20" s="165"/>
      <c r="I20" s="166" t="s">
        <v>355</v>
      </c>
      <c r="J20" s="167" t="s">
        <v>352</v>
      </c>
      <c r="K20" s="167"/>
      <c r="L20" s="167"/>
      <c r="M20" s="167"/>
      <c r="N20" s="167"/>
      <c r="O20" s="167"/>
      <c r="P20" s="168"/>
    </row>
    <row r="21" ht="22.5" customHeight="1">
      <c r="A21" s="163"/>
      <c r="B21" s="164"/>
      <c r="C21" s="164"/>
      <c r="D21" s="164"/>
      <c r="E21" s="164"/>
      <c r="F21" s="164"/>
      <c r="G21" s="164"/>
      <c r="H21" s="165"/>
      <c r="I21" s="166"/>
      <c r="J21" s="171"/>
      <c r="K21" s="172"/>
      <c r="L21" s="172"/>
      <c r="M21" s="172"/>
      <c r="N21" s="172"/>
      <c r="O21" s="172"/>
      <c r="P21" s="168"/>
    </row>
    <row r="22" ht="22.5" customHeight="1">
      <c r="A22" s="163" t="s">
        <v>356</v>
      </c>
      <c r="B22" s="164"/>
      <c r="C22" s="164"/>
      <c r="D22" s="164"/>
      <c r="E22" s="164"/>
      <c r="F22" s="164"/>
      <c r="G22" s="164"/>
      <c r="H22" s="165"/>
      <c r="I22" s="154" t="s">
        <v>357</v>
      </c>
      <c r="J22" s="173" t="s">
        <v>358</v>
      </c>
      <c r="K22" s="173"/>
      <c r="L22" s="173"/>
      <c r="M22" s="173"/>
      <c r="N22" s="173"/>
      <c r="O22" s="173"/>
      <c r="P22" s="156"/>
    </row>
    <row r="23" ht="22.5" customHeight="1">
      <c r="A23" s="157" t="s">
        <v>359</v>
      </c>
      <c r="B23" s="158"/>
      <c r="C23" s="158"/>
      <c r="D23" s="158"/>
      <c r="E23" s="158"/>
      <c r="F23" s="158"/>
      <c r="G23" s="158"/>
      <c r="H23" s="159"/>
      <c r="I23" s="154"/>
      <c r="J23" s="160"/>
      <c r="K23" s="162"/>
      <c r="L23" s="162"/>
      <c r="M23" s="162"/>
      <c r="N23" s="162"/>
      <c r="O23" s="162"/>
      <c r="P23" s="156"/>
    </row>
    <row r="24" ht="22.5" customHeight="1">
      <c r="A24" s="163" t="s">
        <v>360</v>
      </c>
      <c r="B24" s="164"/>
      <c r="C24" s="164"/>
      <c r="D24" s="164"/>
      <c r="E24" s="164"/>
      <c r="F24" s="164"/>
      <c r="G24" s="164"/>
      <c r="H24" s="165"/>
      <c r="I24" s="154" t="s">
        <v>361</v>
      </c>
      <c r="J24" s="171"/>
      <c r="K24" s="162" t="s">
        <v>362</v>
      </c>
      <c r="L24" s="162"/>
      <c r="M24" s="162"/>
      <c r="N24" s="162"/>
      <c r="O24" s="162"/>
      <c r="P24" s="174"/>
    </row>
    <row r="25" ht="22.5" customHeight="1">
      <c r="A25" s="175"/>
      <c r="B25" s="176"/>
      <c r="C25" s="176"/>
      <c r="D25" s="176"/>
      <c r="E25" s="176"/>
      <c r="F25" s="176"/>
      <c r="G25" s="176"/>
      <c r="H25" s="177"/>
      <c r="I25" s="178"/>
      <c r="J25" s="179"/>
      <c r="K25" s="180"/>
      <c r="L25" s="180"/>
      <c r="M25" s="180"/>
      <c r="N25" s="180"/>
      <c r="O25" s="180"/>
      <c r="P25" s="181"/>
    </row>
    <row r="26" ht="22.5" customHeight="1">
      <c r="A26" s="182" t="s">
        <v>363</v>
      </c>
      <c r="B26" s="183"/>
      <c r="C26" s="183"/>
      <c r="D26" s="183"/>
      <c r="E26" s="183"/>
      <c r="F26" s="183"/>
      <c r="G26" s="183"/>
      <c r="H26" s="184"/>
      <c r="I26" s="185" t="s">
        <v>364</v>
      </c>
      <c r="J26" s="183"/>
      <c r="K26" s="183"/>
      <c r="L26" s="183"/>
      <c r="M26" s="183"/>
      <c r="N26" s="183"/>
      <c r="O26" s="183"/>
      <c r="P26" s="186"/>
    </row>
    <row r="27" ht="22.5" customHeight="1">
      <c r="A27" s="142" t="s">
        <v>365</v>
      </c>
      <c r="B27" s="143"/>
      <c r="C27" s="143"/>
      <c r="D27" s="143"/>
      <c r="E27" s="143"/>
      <c r="F27" s="143"/>
      <c r="G27" s="143"/>
      <c r="H27" s="144"/>
      <c r="I27" s="187" t="s">
        <v>366</v>
      </c>
      <c r="J27" s="188"/>
      <c r="K27" s="188"/>
      <c r="L27" s="188"/>
      <c r="M27" s="188"/>
      <c r="N27" s="188"/>
      <c r="O27" s="188"/>
      <c r="P27" s="189"/>
    </row>
    <row r="28" ht="22.5" customHeight="1">
      <c r="A28" s="150"/>
      <c r="B28" s="151"/>
      <c r="C28" s="151"/>
      <c r="D28" s="151"/>
      <c r="E28" s="151"/>
      <c r="F28" s="151"/>
      <c r="G28" s="151"/>
      <c r="H28" s="190"/>
      <c r="I28" s="191"/>
      <c r="J28" s="192"/>
      <c r="K28" s="192"/>
      <c r="L28" s="192"/>
      <c r="M28" s="192"/>
      <c r="N28" s="192"/>
      <c r="O28" s="192"/>
      <c r="P28" s="174"/>
    </row>
    <row r="29" ht="22.5" customHeight="1">
      <c r="A29" s="150"/>
      <c r="B29" s="151"/>
      <c r="C29" s="193" t="s">
        <v>367</v>
      </c>
      <c r="D29" s="193"/>
      <c r="E29" s="193"/>
      <c r="F29" s="193"/>
      <c r="G29" s="193"/>
      <c r="H29" s="190"/>
      <c r="I29" s="154" t="s">
        <v>368</v>
      </c>
      <c r="J29" s="173" t="s">
        <v>369</v>
      </c>
      <c r="K29" s="173"/>
      <c r="L29" s="173"/>
      <c r="M29" s="173"/>
      <c r="N29" s="173"/>
      <c r="O29" s="173"/>
      <c r="P29" s="194"/>
    </row>
    <row r="30" ht="22.5" customHeight="1">
      <c r="A30" s="150"/>
      <c r="B30" s="151"/>
      <c r="C30" s="151"/>
      <c r="D30" s="151"/>
      <c r="E30" s="151"/>
      <c r="F30" s="151"/>
      <c r="G30" s="151"/>
      <c r="H30" s="190"/>
      <c r="I30" s="195" t="s">
        <v>370</v>
      </c>
      <c r="J30" s="196" t="s">
        <v>371</v>
      </c>
      <c r="K30" s="196"/>
      <c r="L30" s="196"/>
      <c r="M30" s="196"/>
      <c r="N30" s="196"/>
      <c r="O30" s="196"/>
      <c r="P30" s="197"/>
    </row>
    <row r="31" ht="22.5" customHeight="1">
      <c r="A31" s="150"/>
      <c r="B31" s="198" t="s">
        <v>372</v>
      </c>
      <c r="C31" s="198"/>
      <c r="D31" s="151"/>
      <c r="E31" s="151"/>
      <c r="F31" s="151"/>
      <c r="G31" s="193" t="s">
        <v>373</v>
      </c>
      <c r="H31" s="190"/>
      <c r="I31" s="154" t="s">
        <v>374</v>
      </c>
      <c r="J31" s="160"/>
      <c r="K31" s="162"/>
      <c r="L31" s="162"/>
      <c r="M31" s="162"/>
      <c r="N31" s="162"/>
      <c r="O31" s="162"/>
      <c r="P31" s="174"/>
    </row>
    <row r="32" ht="22.5" customHeight="1">
      <c r="A32" s="199"/>
      <c r="B32" s="200"/>
      <c r="C32" s="200"/>
      <c r="D32" s="200"/>
      <c r="E32" s="200"/>
      <c r="F32" s="200"/>
      <c r="G32" s="200"/>
      <c r="H32" s="201"/>
      <c r="I32" s="154" t="s">
        <v>375</v>
      </c>
      <c r="J32" s="160"/>
      <c r="K32" s="162" t="s">
        <v>362</v>
      </c>
      <c r="L32" s="162"/>
      <c r="M32" s="162"/>
      <c r="N32" s="162"/>
      <c r="O32" s="162"/>
      <c r="P32" s="174"/>
    </row>
    <row r="33" ht="22.5" customHeight="1">
      <c r="A33" s="202"/>
      <c r="B33" s="203"/>
      <c r="C33" s="203"/>
      <c r="D33" s="203"/>
      <c r="E33" s="203"/>
      <c r="F33" s="203"/>
      <c r="G33" s="203"/>
      <c r="H33" s="204"/>
      <c r="I33" s="205"/>
      <c r="J33" s="206"/>
      <c r="K33" s="206"/>
      <c r="L33" s="206"/>
      <c r="M33" s="206"/>
      <c r="N33" s="206"/>
      <c r="O33" s="206"/>
      <c r="P33" s="207"/>
    </row>
    <row r="34" ht="24.75" customHeight="1">
      <c r="A34" s="208" t="s">
        <v>376</v>
      </c>
      <c r="B34" s="209" t="s">
        <v>377</v>
      </c>
      <c r="C34" s="210"/>
      <c r="D34" s="209" t="s">
        <v>378</v>
      </c>
      <c r="E34" s="210"/>
      <c r="F34" s="209" t="s">
        <v>379</v>
      </c>
      <c r="G34" s="210"/>
      <c r="H34" s="211" t="s">
        <v>380</v>
      </c>
      <c r="I34" s="211" t="s">
        <v>381</v>
      </c>
      <c r="J34" s="209" t="s">
        <v>382</v>
      </c>
      <c r="K34" s="212"/>
      <c r="L34" s="212"/>
      <c r="M34" s="212"/>
      <c r="N34" s="210"/>
      <c r="O34" s="209" t="s">
        <v>383</v>
      </c>
      <c r="P34" s="213"/>
    </row>
    <row r="35" ht="24.75" customHeight="1">
      <c r="A35" s="214"/>
      <c r="B35" s="215"/>
      <c r="C35" s="216"/>
      <c r="D35" s="215" t="s">
        <v>384</v>
      </c>
      <c r="E35" s="216"/>
      <c r="F35" s="215"/>
      <c r="G35" s="216"/>
      <c r="H35" s="217"/>
      <c r="I35" s="217"/>
      <c r="J35" s="215"/>
      <c r="K35" s="218"/>
      <c r="L35" s="218"/>
      <c r="M35" s="218"/>
      <c r="N35" s="216"/>
      <c r="O35" s="215"/>
      <c r="P35" s="219"/>
    </row>
    <row r="36" ht="64.5" customHeight="1">
      <c r="A36" s="208">
        <v>1</v>
      </c>
      <c r="B36" s="209" t="str">
        <f>VLOOKUP('기초 자료 입력'!D26,데이터!$A$8:$E$139,4,0)</f>
        <v>39111611</v>
      </c>
      <c r="C36" s="210"/>
      <c r="D36" s="209" t="str">
        <f>VLOOKUP('기초 자료 입력'!D26,데이터!$A$8:$E$139,2,0)</f>
        <v xml:space="preserve"> LED투광등기구 ARENA-600(3000K) 600W  </v>
      </c>
      <c r="E36" s="210"/>
      <c r="F36" s="220" t="str">
        <f>검수내역서!C7</f>
        <v>개</v>
      </c>
      <c r="G36" s="210"/>
      <c r="H36" s="221">
        <f>검수내역서!E7</f>
        <v>28</v>
      </c>
      <c r="I36" s="222">
        <f>검수내역서!D7</f>
        <v>2950000</v>
      </c>
      <c r="J36" s="223">
        <f>H36*I36</f>
        <v>82600000</v>
      </c>
      <c r="K36" s="224"/>
      <c r="L36" s="224"/>
      <c r="M36" s="224"/>
      <c r="N36" s="225"/>
      <c r="O36" s="209" t="str">
        <f t="shared" ref="O36:O38" si="7">IF(D36="","","대한민국")</f>
        <v>대한민국</v>
      </c>
      <c r="P36" s="213"/>
    </row>
    <row r="37" ht="64.5" customHeight="1">
      <c r="A37" s="208" t="str">
        <f>IF(B37="","","2")</f>
        <v>2</v>
      </c>
      <c r="B37" s="209" t="str">
        <f>IF(ISERROR(VLOOKUP('기초 자료 입력'!D27,데이터!$A$8:$E$139,4,0)),"",VLOOKUP('기초 자료 입력'!D27,데이터!$A$8:$E$139,4,0))</f>
        <v>39111611</v>
      </c>
      <c r="C37" s="210"/>
      <c r="D37" s="209" t="str">
        <f>IF(ISERROR(VLOOKUP('기초 자료 입력'!D27,데이터!$A$8:$E$139,2,0)),"",VLOOKUP('기초 자료 입력'!D27,데이터!$A$8:$E$139,2,0))</f>
        <v xml:space="preserve"> LED투광등기구 ARENA-600(3000K) 600W  </v>
      </c>
      <c r="E37" s="210"/>
      <c r="F37" s="220" t="str">
        <f>IF('기초 자료 입력'!F27="","",'기초 자료 입력'!F27)</f>
        <v>개</v>
      </c>
      <c r="G37" s="210"/>
      <c r="H37" s="221">
        <f>IF('기초 자료 입력'!G27="","",'기초 자료 입력'!G27)</f>
        <v>28</v>
      </c>
      <c r="I37" s="222">
        <f>IF('기초 자료 입력'!E27="","",'기초 자료 입력'!E27)</f>
        <v>2950000</v>
      </c>
      <c r="J37" s="223">
        <f t="shared" ref="J37:J38" si="8">IF(B37="","",H37*I37)</f>
        <v>82600000</v>
      </c>
      <c r="K37" s="224"/>
      <c r="L37" s="224"/>
      <c r="M37" s="224"/>
      <c r="N37" s="225"/>
      <c r="O37" s="209" t="str">
        <f t="shared" si="7"/>
        <v>대한민국</v>
      </c>
      <c r="P37" s="213"/>
    </row>
    <row r="38" ht="64.5" customHeight="1">
      <c r="A38" s="208" t="str">
        <f>IF(B38="","","3")</f>
        <v>3</v>
      </c>
      <c r="B38" s="209" t="str">
        <f>IF(ISERROR(VLOOKUP('기초 자료 입력'!D28,데이터!$A$8:$E$139,4,0)),"",VLOOKUP('기초 자료 입력'!D28,데이터!$A$8:$E$139,4,0))</f>
        <v>39111611</v>
      </c>
      <c r="C38" s="210"/>
      <c r="D38" s="209" t="str">
        <f>IF(ISERROR(VLOOKUP('기초 자료 입력'!D28,데이터!$A$8:$E$139,2,0)),"",VLOOKUP('기초 자료 입력'!D28,데이터!$A$8:$E$139,2,0))</f>
        <v xml:space="preserve"> LED투광등기구 ARENA-600(3000K) 600W  </v>
      </c>
      <c r="E38" s="210"/>
      <c r="F38" s="220" t="str">
        <f>IF('기초 자료 입력'!F28="","",'기초 자료 입력'!F28)</f>
        <v>개</v>
      </c>
      <c r="G38" s="226"/>
      <c r="H38" s="221">
        <f>IF('기초 자료 입력'!G28="","",'기초 자료 입력'!G28)</f>
        <v>28</v>
      </c>
      <c r="I38" s="222">
        <f>IF('기초 자료 입력'!E28="","",'기초 자료 입력'!E28)</f>
        <v>2950000</v>
      </c>
      <c r="J38" s="223">
        <f t="shared" si="8"/>
        <v>82600000</v>
      </c>
      <c r="K38" s="224"/>
      <c r="L38" s="224"/>
      <c r="M38" s="224"/>
      <c r="N38" s="225"/>
      <c r="O38" s="209" t="str">
        <f t="shared" si="7"/>
        <v>대한민국</v>
      </c>
      <c r="P38" s="213"/>
    </row>
    <row r="39" ht="19.5">
      <c r="A39" s="227"/>
      <c r="B39" s="228"/>
      <c r="C39" s="229"/>
      <c r="D39" s="228"/>
      <c r="E39" s="229"/>
      <c r="F39" s="228"/>
      <c r="G39" s="229"/>
      <c r="H39" s="230"/>
      <c r="I39" s="231" t="s">
        <v>385</v>
      </c>
      <c r="J39" s="232">
        <f>SUM(J36:N38)/1.1</f>
        <v>225272727.27272725</v>
      </c>
      <c r="K39" s="233"/>
      <c r="L39" s="233"/>
      <c r="M39" s="233"/>
      <c r="N39" s="233"/>
      <c r="O39" s="233"/>
      <c r="P39" s="234"/>
    </row>
    <row r="40" ht="19.5">
      <c r="A40" s="235"/>
      <c r="B40" s="236"/>
      <c r="C40" s="237"/>
      <c r="D40" s="236"/>
      <c r="E40" s="237"/>
      <c r="F40" s="236"/>
      <c r="G40" s="237"/>
      <c r="H40" s="238"/>
      <c r="I40" s="231" t="s">
        <v>386</v>
      </c>
      <c r="J40" s="232">
        <f>J39*0.1</f>
        <v>22527272.727272727</v>
      </c>
      <c r="K40" s="233"/>
      <c r="L40" s="233"/>
      <c r="M40" s="233"/>
      <c r="N40" s="233"/>
      <c r="O40" s="233"/>
      <c r="P40" s="234"/>
    </row>
    <row r="41" ht="19.5">
      <c r="A41" s="239"/>
      <c r="B41" s="240"/>
      <c r="C41" s="241"/>
      <c r="D41" s="240"/>
      <c r="E41" s="241"/>
      <c r="F41" s="240"/>
      <c r="G41" s="241"/>
      <c r="H41" s="242"/>
      <c r="I41" s="231" t="s">
        <v>387</v>
      </c>
      <c r="J41" s="243">
        <f>J39+J40</f>
        <v>247799999.99999997</v>
      </c>
      <c r="K41" s="244"/>
      <c r="L41" s="244"/>
      <c r="M41" s="244"/>
      <c r="N41" s="244"/>
      <c r="O41" s="244"/>
      <c r="P41" s="245"/>
    </row>
    <row r="42" ht="18">
      <c r="A42" s="246" t="s">
        <v>388</v>
      </c>
      <c r="B42" s="247"/>
      <c r="C42" s="248"/>
      <c r="D42" s="249" t="s">
        <v>389</v>
      </c>
      <c r="E42" s="250"/>
      <c r="F42" s="250"/>
      <c r="G42" s="250"/>
      <c r="H42" s="251"/>
      <c r="I42" s="252" t="s">
        <v>390</v>
      </c>
      <c r="J42" s="248"/>
      <c r="K42" s="250" t="s">
        <v>389</v>
      </c>
      <c r="L42" s="250"/>
      <c r="M42" s="250"/>
      <c r="N42" s="250"/>
      <c r="O42" s="250"/>
      <c r="P42" s="253"/>
    </row>
    <row r="43" ht="19.5">
      <c r="A43" s="254" t="str">
        <f>_xlfn.CONCAT("사 업 명 : ",'기초 자료 입력'!$D$7:$I$7)</f>
        <v xml:space="preserve">사 업 명 : 울산공항 계류장조명등 개선공사 관급자재 구매</v>
      </c>
      <c r="B43" s="254"/>
      <c r="C43" s="254"/>
      <c r="D43" s="254"/>
      <c r="E43" s="254"/>
      <c r="F43" s="254"/>
      <c r="G43" s="254"/>
      <c r="H43" s="254"/>
      <c r="I43" s="254"/>
      <c r="J43" s="254"/>
      <c r="K43" s="254"/>
      <c r="L43" s="254"/>
      <c r="M43" s="254"/>
      <c r="N43" s="254"/>
      <c r="O43" s="254"/>
      <c r="P43" s="254"/>
    </row>
  </sheetData>
  <mergeCells count="122">
    <mergeCell ref="A2:P2"/>
    <mergeCell ref="A4:B4"/>
    <mergeCell ref="C4:D4"/>
    <mergeCell ref="E4:H4"/>
    <mergeCell ref="J4:M4"/>
    <mergeCell ref="N4:P4"/>
    <mergeCell ref="A5:B5"/>
    <mergeCell ref="C5:D5"/>
    <mergeCell ref="E5:H5"/>
    <mergeCell ref="J5:L5"/>
    <mergeCell ref="M5:P5"/>
    <mergeCell ref="A6:B6"/>
    <mergeCell ref="C6:D6"/>
    <mergeCell ref="E6:H6"/>
    <mergeCell ref="J6:L6"/>
    <mergeCell ref="M6:P6"/>
    <mergeCell ref="A7:B7"/>
    <mergeCell ref="C7:D7"/>
    <mergeCell ref="E7:H7"/>
    <mergeCell ref="J7:L7"/>
    <mergeCell ref="M7:P7"/>
    <mergeCell ref="A8:B8"/>
    <mergeCell ref="C8:D8"/>
    <mergeCell ref="E8:H8"/>
    <mergeCell ref="J8:L8"/>
    <mergeCell ref="M8:P8"/>
    <mergeCell ref="A9:B9"/>
    <mergeCell ref="C9:D9"/>
    <mergeCell ref="E9:H9"/>
    <mergeCell ref="J9:L9"/>
    <mergeCell ref="M9:P9"/>
    <mergeCell ref="A10:B10"/>
    <mergeCell ref="C10:D10"/>
    <mergeCell ref="E10:H10"/>
    <mergeCell ref="J10:L10"/>
    <mergeCell ref="M10:P10"/>
    <mergeCell ref="A11:B11"/>
    <mergeCell ref="C11:F11"/>
    <mergeCell ref="G11:H11"/>
    <mergeCell ref="I11:I12"/>
    <mergeCell ref="J11:O12"/>
    <mergeCell ref="P11:P12"/>
    <mergeCell ref="A12:B13"/>
    <mergeCell ref="C12:F13"/>
    <mergeCell ref="G12:H13"/>
    <mergeCell ref="I13:J13"/>
    <mergeCell ref="K13:O13"/>
    <mergeCell ref="A14:H14"/>
    <mergeCell ref="I14:P14"/>
    <mergeCell ref="A15:H15"/>
    <mergeCell ref="I15:P15"/>
    <mergeCell ref="C16:H16"/>
    <mergeCell ref="J16:O16"/>
    <mergeCell ref="A17:H17"/>
    <mergeCell ref="K17:O17"/>
    <mergeCell ref="A18:H18"/>
    <mergeCell ref="J18:O18"/>
    <mergeCell ref="A19:H19"/>
    <mergeCell ref="I19:P19"/>
    <mergeCell ref="A20:H20"/>
    <mergeCell ref="J20:O20"/>
    <mergeCell ref="A21:H21"/>
    <mergeCell ref="K21:O21"/>
    <mergeCell ref="A22:H22"/>
    <mergeCell ref="J22:O22"/>
    <mergeCell ref="A23:H23"/>
    <mergeCell ref="K23:O23"/>
    <mergeCell ref="A24:H24"/>
    <mergeCell ref="K24:O24"/>
    <mergeCell ref="A26:H26"/>
    <mergeCell ref="I26:P26"/>
    <mergeCell ref="A27:H27"/>
    <mergeCell ref="I27:P27"/>
    <mergeCell ref="A28:H28"/>
    <mergeCell ref="I28:P28"/>
    <mergeCell ref="C29:G29"/>
    <mergeCell ref="J29:P29"/>
    <mergeCell ref="A30:H30"/>
    <mergeCell ref="J30:P30"/>
    <mergeCell ref="B31:C31"/>
    <mergeCell ref="K31:O31"/>
    <mergeCell ref="A32:H32"/>
    <mergeCell ref="K32:O32"/>
    <mergeCell ref="A33:H33"/>
    <mergeCell ref="I33:P33"/>
    <mergeCell ref="A34:A35"/>
    <mergeCell ref="B34:C35"/>
    <mergeCell ref="D34:E34"/>
    <mergeCell ref="F34:G35"/>
    <mergeCell ref="H34:H35"/>
    <mergeCell ref="I34:I35"/>
    <mergeCell ref="J34:N35"/>
    <mergeCell ref="O34:P35"/>
    <mergeCell ref="D35:E35"/>
    <mergeCell ref="B36:C36"/>
    <mergeCell ref="D36:E36"/>
    <mergeCell ref="F36:G36"/>
    <mergeCell ref="J36:N36"/>
    <mergeCell ref="O36:P36"/>
    <mergeCell ref="B37:C37"/>
    <mergeCell ref="D37:E37"/>
    <mergeCell ref="F37:G37"/>
    <mergeCell ref="J37:N37"/>
    <mergeCell ref="O37:P37"/>
    <mergeCell ref="B38:C38"/>
    <mergeCell ref="D38:E38"/>
    <mergeCell ref="F38:G38"/>
    <mergeCell ref="J38:N38"/>
    <mergeCell ref="O38:P38"/>
    <mergeCell ref="A39:A41"/>
    <mergeCell ref="B39:C41"/>
    <mergeCell ref="D39:E41"/>
    <mergeCell ref="F39:G41"/>
    <mergeCell ref="H39:H41"/>
    <mergeCell ref="J39:P39"/>
    <mergeCell ref="J40:P40"/>
    <mergeCell ref="J41:P41"/>
    <mergeCell ref="A42:C42"/>
    <mergeCell ref="D42:H42"/>
    <mergeCell ref="I42:J42"/>
    <mergeCell ref="K42:P42"/>
    <mergeCell ref="A43:P43"/>
  </mergeCells>
  <printOptions headings="0" gridLines="0" horizontalCentered="1"/>
  <pageMargins left="0.19685039370078738" right="0.19685039370078738" top="0.59055118110236249" bottom="0.19685039370078738" header="0.31496062992125984" footer="0.31496062992125984"/>
  <pageSetup paperSize="9" scale="72" fitToWidth="1" fitToHeight="0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6">
    <outlinePr applyStyles="0" summaryBelow="1" summaryRight="1" showOutlineSymbols="1"/>
    <pageSetUpPr autoPageBreaks="1" fitToPage="1"/>
  </sheetPr>
  <sheetViews>
    <sheetView view="pageBreakPreview" topLeftCell="A2" zoomScale="85" workbookViewId="0">
      <selection activeCell="O13" activeCellId="0" sqref="O13"/>
    </sheetView>
  </sheetViews>
  <sheetFormatPr defaultRowHeight="14.25"/>
  <cols>
    <col customWidth="1" min="1" max="1" style="255" width="11.75"/>
    <col customWidth="1" min="2" max="2" style="255" width="30.875"/>
    <col customWidth="1" min="3" max="3" style="255" width="6.25"/>
    <col customWidth="1" min="4" max="8" style="255" width="11.25"/>
    <col min="9" max="256" style="255" width="9"/>
    <col customWidth="1" min="257" max="257" style="255" width="11.875"/>
    <col customWidth="1" min="258" max="258" style="255" width="32.625"/>
    <col bestFit="1" customWidth="1" min="259" max="259" style="255" width="5.25"/>
    <col customWidth="1" min="260" max="260" style="255" width="14.625"/>
    <col customWidth="1" min="261" max="264" style="255" width="12.625"/>
    <col min="265" max="512" style="255" width="9"/>
    <col customWidth="1" min="513" max="513" style="255" width="11.875"/>
    <col customWidth="1" min="514" max="514" style="255" width="32.625"/>
    <col bestFit="1" customWidth="1" min="515" max="515" style="255" width="5.25"/>
    <col customWidth="1" min="516" max="516" style="255" width="14.625"/>
    <col customWidth="1" min="517" max="520" style="255" width="12.625"/>
    <col min="521" max="768" style="255" width="9"/>
    <col customWidth="1" min="769" max="769" style="255" width="11.875"/>
    <col customWidth="1" min="770" max="770" style="255" width="32.625"/>
    <col bestFit="1" customWidth="1" min="771" max="771" style="255" width="5.25"/>
    <col customWidth="1" min="772" max="772" style="255" width="14.625"/>
    <col customWidth="1" min="773" max="776" style="255" width="12.625"/>
    <col min="777" max="1024" style="255" width="9"/>
    <col customWidth="1" min="1025" max="1025" style="255" width="11.875"/>
    <col customWidth="1" min="1026" max="1026" style="255" width="32.625"/>
    <col bestFit="1" customWidth="1" min="1027" max="1027" style="255" width="5.25"/>
    <col customWidth="1" min="1028" max="1028" style="255" width="14.625"/>
    <col customWidth="1" min="1029" max="1032" style="255" width="12.625"/>
    <col min="1033" max="1280" style="255" width="9"/>
    <col customWidth="1" min="1281" max="1281" style="255" width="11.875"/>
    <col customWidth="1" min="1282" max="1282" style="255" width="32.625"/>
    <col bestFit="1" customWidth="1" min="1283" max="1283" style="255" width="5.25"/>
    <col customWidth="1" min="1284" max="1284" style="255" width="14.625"/>
    <col customWidth="1" min="1285" max="1288" style="255" width="12.625"/>
    <col min="1289" max="1536" style="255" width="9"/>
    <col customWidth="1" min="1537" max="1537" style="255" width="11.875"/>
    <col customWidth="1" min="1538" max="1538" style="255" width="32.625"/>
    <col bestFit="1" customWidth="1" min="1539" max="1539" style="255" width="5.25"/>
    <col customWidth="1" min="1540" max="1540" style="255" width="14.625"/>
    <col customWidth="1" min="1541" max="1544" style="255" width="12.625"/>
    <col min="1545" max="1792" style="255" width="9"/>
    <col customWidth="1" min="1793" max="1793" style="255" width="11.875"/>
    <col customWidth="1" min="1794" max="1794" style="255" width="32.625"/>
    <col bestFit="1" customWidth="1" min="1795" max="1795" style="255" width="5.25"/>
    <col customWidth="1" min="1796" max="1796" style="255" width="14.625"/>
    <col customWidth="1" min="1797" max="1800" style="255" width="12.625"/>
    <col min="1801" max="2048" style="255" width="9"/>
    <col customWidth="1" min="2049" max="2049" style="255" width="11.875"/>
    <col customWidth="1" min="2050" max="2050" style="255" width="32.625"/>
    <col bestFit="1" customWidth="1" min="2051" max="2051" style="255" width="5.25"/>
    <col customWidth="1" min="2052" max="2052" style="255" width="14.625"/>
    <col customWidth="1" min="2053" max="2056" style="255" width="12.625"/>
    <col min="2057" max="2304" style="255" width="9"/>
    <col customWidth="1" min="2305" max="2305" style="255" width="11.875"/>
    <col customWidth="1" min="2306" max="2306" style="255" width="32.625"/>
    <col bestFit="1" customWidth="1" min="2307" max="2307" style="255" width="5.25"/>
    <col customWidth="1" min="2308" max="2308" style="255" width="14.625"/>
    <col customWidth="1" min="2309" max="2312" style="255" width="12.625"/>
    <col min="2313" max="2560" style="255" width="9"/>
    <col customWidth="1" min="2561" max="2561" style="255" width="11.875"/>
    <col customWidth="1" min="2562" max="2562" style="255" width="32.625"/>
    <col bestFit="1" customWidth="1" min="2563" max="2563" style="255" width="5.25"/>
    <col customWidth="1" min="2564" max="2564" style="255" width="14.625"/>
    <col customWidth="1" min="2565" max="2568" style="255" width="12.625"/>
    <col min="2569" max="2816" style="255" width="9"/>
    <col customWidth="1" min="2817" max="2817" style="255" width="11.875"/>
    <col customWidth="1" min="2818" max="2818" style="255" width="32.625"/>
    <col bestFit="1" customWidth="1" min="2819" max="2819" style="255" width="5.25"/>
    <col customWidth="1" min="2820" max="2820" style="255" width="14.625"/>
    <col customWidth="1" min="2821" max="2824" style="255" width="12.625"/>
    <col min="2825" max="3072" style="255" width="9"/>
    <col customWidth="1" min="3073" max="3073" style="255" width="11.875"/>
    <col customWidth="1" min="3074" max="3074" style="255" width="32.625"/>
    <col bestFit="1" customWidth="1" min="3075" max="3075" style="255" width="5.25"/>
    <col customWidth="1" min="3076" max="3076" style="255" width="14.625"/>
    <col customWidth="1" min="3077" max="3080" style="255" width="12.625"/>
    <col min="3081" max="3328" style="255" width="9"/>
    <col customWidth="1" min="3329" max="3329" style="255" width="11.875"/>
    <col customWidth="1" min="3330" max="3330" style="255" width="32.625"/>
    <col bestFit="1" customWidth="1" min="3331" max="3331" style="255" width="5.25"/>
    <col customWidth="1" min="3332" max="3332" style="255" width="14.625"/>
    <col customWidth="1" min="3333" max="3336" style="255" width="12.625"/>
    <col min="3337" max="3584" style="255" width="9"/>
    <col customWidth="1" min="3585" max="3585" style="255" width="11.875"/>
    <col customWidth="1" min="3586" max="3586" style="255" width="32.625"/>
    <col bestFit="1" customWidth="1" min="3587" max="3587" style="255" width="5.25"/>
    <col customWidth="1" min="3588" max="3588" style="255" width="14.625"/>
    <col customWidth="1" min="3589" max="3592" style="255" width="12.625"/>
    <col min="3593" max="3840" style="255" width="9"/>
    <col customWidth="1" min="3841" max="3841" style="255" width="11.875"/>
    <col customWidth="1" min="3842" max="3842" style="255" width="32.625"/>
    <col bestFit="1" customWidth="1" min="3843" max="3843" style="255" width="5.25"/>
    <col customWidth="1" min="3844" max="3844" style="255" width="14.625"/>
    <col customWidth="1" min="3845" max="3848" style="255" width="12.625"/>
    <col min="3849" max="4096" style="255" width="9"/>
    <col customWidth="1" min="4097" max="4097" style="255" width="11.875"/>
    <col customWidth="1" min="4098" max="4098" style="255" width="32.625"/>
    <col bestFit="1" customWidth="1" min="4099" max="4099" style="255" width="5.25"/>
    <col customWidth="1" min="4100" max="4100" style="255" width="14.625"/>
    <col customWidth="1" min="4101" max="4104" style="255" width="12.625"/>
    <col min="4105" max="4352" style="255" width="9"/>
    <col customWidth="1" min="4353" max="4353" style="255" width="11.875"/>
    <col customWidth="1" min="4354" max="4354" style="255" width="32.625"/>
    <col bestFit="1" customWidth="1" min="4355" max="4355" style="255" width="5.25"/>
    <col customWidth="1" min="4356" max="4356" style="255" width="14.625"/>
    <col customWidth="1" min="4357" max="4360" style="255" width="12.625"/>
    <col min="4361" max="4608" style="255" width="9"/>
    <col customWidth="1" min="4609" max="4609" style="255" width="11.875"/>
    <col customWidth="1" min="4610" max="4610" style="255" width="32.625"/>
    <col bestFit="1" customWidth="1" min="4611" max="4611" style="255" width="5.25"/>
    <col customWidth="1" min="4612" max="4612" style="255" width="14.625"/>
    <col customWidth="1" min="4613" max="4616" style="255" width="12.625"/>
    <col min="4617" max="4864" style="255" width="9"/>
    <col customWidth="1" min="4865" max="4865" style="255" width="11.875"/>
    <col customWidth="1" min="4866" max="4866" style="255" width="32.625"/>
    <col bestFit="1" customWidth="1" min="4867" max="4867" style="255" width="5.25"/>
    <col customWidth="1" min="4868" max="4868" style="255" width="14.625"/>
    <col customWidth="1" min="4869" max="4872" style="255" width="12.625"/>
    <col min="4873" max="5120" style="255" width="9"/>
    <col customWidth="1" min="5121" max="5121" style="255" width="11.875"/>
    <col customWidth="1" min="5122" max="5122" style="255" width="32.625"/>
    <col bestFit="1" customWidth="1" min="5123" max="5123" style="255" width="5.25"/>
    <col customWidth="1" min="5124" max="5124" style="255" width="14.625"/>
    <col customWidth="1" min="5125" max="5128" style="255" width="12.625"/>
    <col min="5129" max="5376" style="255" width="9"/>
    <col customWidth="1" min="5377" max="5377" style="255" width="11.875"/>
    <col customWidth="1" min="5378" max="5378" style="255" width="32.625"/>
    <col bestFit="1" customWidth="1" min="5379" max="5379" style="255" width="5.25"/>
    <col customWidth="1" min="5380" max="5380" style="255" width="14.625"/>
    <col customWidth="1" min="5381" max="5384" style="255" width="12.625"/>
    <col min="5385" max="5632" style="255" width="9"/>
    <col customWidth="1" min="5633" max="5633" style="255" width="11.875"/>
    <col customWidth="1" min="5634" max="5634" style="255" width="32.625"/>
    <col bestFit="1" customWidth="1" min="5635" max="5635" style="255" width="5.25"/>
    <col customWidth="1" min="5636" max="5636" style="255" width="14.625"/>
    <col customWidth="1" min="5637" max="5640" style="255" width="12.625"/>
    <col min="5641" max="5888" style="255" width="9"/>
    <col customWidth="1" min="5889" max="5889" style="255" width="11.875"/>
    <col customWidth="1" min="5890" max="5890" style="255" width="32.625"/>
    <col bestFit="1" customWidth="1" min="5891" max="5891" style="255" width="5.25"/>
    <col customWidth="1" min="5892" max="5892" style="255" width="14.625"/>
    <col customWidth="1" min="5893" max="5896" style="255" width="12.625"/>
    <col min="5897" max="6144" style="255" width="9"/>
    <col customWidth="1" min="6145" max="6145" style="255" width="11.875"/>
    <col customWidth="1" min="6146" max="6146" style="255" width="32.625"/>
    <col bestFit="1" customWidth="1" min="6147" max="6147" style="255" width="5.25"/>
    <col customWidth="1" min="6148" max="6148" style="255" width="14.625"/>
    <col customWidth="1" min="6149" max="6152" style="255" width="12.625"/>
    <col min="6153" max="6400" style="255" width="9"/>
    <col customWidth="1" min="6401" max="6401" style="255" width="11.875"/>
    <col customWidth="1" min="6402" max="6402" style="255" width="32.625"/>
    <col bestFit="1" customWidth="1" min="6403" max="6403" style="255" width="5.25"/>
    <col customWidth="1" min="6404" max="6404" style="255" width="14.625"/>
    <col customWidth="1" min="6405" max="6408" style="255" width="12.625"/>
    <col min="6409" max="6656" style="255" width="9"/>
    <col customWidth="1" min="6657" max="6657" style="255" width="11.875"/>
    <col customWidth="1" min="6658" max="6658" style="255" width="32.625"/>
    <col bestFit="1" customWidth="1" min="6659" max="6659" style="255" width="5.25"/>
    <col customWidth="1" min="6660" max="6660" style="255" width="14.625"/>
    <col customWidth="1" min="6661" max="6664" style="255" width="12.625"/>
    <col min="6665" max="6912" style="255" width="9"/>
    <col customWidth="1" min="6913" max="6913" style="255" width="11.875"/>
    <col customWidth="1" min="6914" max="6914" style="255" width="32.625"/>
    <col bestFit="1" customWidth="1" min="6915" max="6915" style="255" width="5.25"/>
    <col customWidth="1" min="6916" max="6916" style="255" width="14.625"/>
    <col customWidth="1" min="6917" max="6920" style="255" width="12.625"/>
    <col min="6921" max="7168" style="255" width="9"/>
    <col customWidth="1" min="7169" max="7169" style="255" width="11.875"/>
    <col customWidth="1" min="7170" max="7170" style="255" width="32.625"/>
    <col bestFit="1" customWidth="1" min="7171" max="7171" style="255" width="5.25"/>
    <col customWidth="1" min="7172" max="7172" style="255" width="14.625"/>
    <col customWidth="1" min="7173" max="7176" style="255" width="12.625"/>
    <col min="7177" max="7424" style="255" width="9"/>
    <col customWidth="1" min="7425" max="7425" style="255" width="11.875"/>
    <col customWidth="1" min="7426" max="7426" style="255" width="32.625"/>
    <col bestFit="1" customWidth="1" min="7427" max="7427" style="255" width="5.25"/>
    <col customWidth="1" min="7428" max="7428" style="255" width="14.625"/>
    <col customWidth="1" min="7429" max="7432" style="255" width="12.625"/>
    <col min="7433" max="7680" style="255" width="9"/>
    <col customWidth="1" min="7681" max="7681" style="255" width="11.875"/>
    <col customWidth="1" min="7682" max="7682" style="255" width="32.625"/>
    <col bestFit="1" customWidth="1" min="7683" max="7683" style="255" width="5.25"/>
    <col customWidth="1" min="7684" max="7684" style="255" width="14.625"/>
    <col customWidth="1" min="7685" max="7688" style="255" width="12.625"/>
    <col min="7689" max="7936" style="255" width="9"/>
    <col customWidth="1" min="7937" max="7937" style="255" width="11.875"/>
    <col customWidth="1" min="7938" max="7938" style="255" width="32.625"/>
    <col bestFit="1" customWidth="1" min="7939" max="7939" style="255" width="5.25"/>
    <col customWidth="1" min="7940" max="7940" style="255" width="14.625"/>
    <col customWidth="1" min="7941" max="7944" style="255" width="12.625"/>
    <col min="7945" max="8192" style="255" width="9"/>
    <col customWidth="1" min="8193" max="8193" style="255" width="11.875"/>
    <col customWidth="1" min="8194" max="8194" style="255" width="32.625"/>
    <col bestFit="1" customWidth="1" min="8195" max="8195" style="255" width="5.25"/>
    <col customWidth="1" min="8196" max="8196" style="255" width="14.625"/>
    <col customWidth="1" min="8197" max="8200" style="255" width="12.625"/>
    <col min="8201" max="8448" style="255" width="9"/>
    <col customWidth="1" min="8449" max="8449" style="255" width="11.875"/>
    <col customWidth="1" min="8450" max="8450" style="255" width="32.625"/>
    <col bestFit="1" customWidth="1" min="8451" max="8451" style="255" width="5.25"/>
    <col customWidth="1" min="8452" max="8452" style="255" width="14.625"/>
    <col customWidth="1" min="8453" max="8456" style="255" width="12.625"/>
    <col min="8457" max="8704" style="255" width="9"/>
    <col customWidth="1" min="8705" max="8705" style="255" width="11.875"/>
    <col customWidth="1" min="8706" max="8706" style="255" width="32.625"/>
    <col bestFit="1" customWidth="1" min="8707" max="8707" style="255" width="5.25"/>
    <col customWidth="1" min="8708" max="8708" style="255" width="14.625"/>
    <col customWidth="1" min="8709" max="8712" style="255" width="12.625"/>
    <col min="8713" max="8960" style="255" width="9"/>
    <col customWidth="1" min="8961" max="8961" style="255" width="11.875"/>
    <col customWidth="1" min="8962" max="8962" style="255" width="32.625"/>
    <col bestFit="1" customWidth="1" min="8963" max="8963" style="255" width="5.25"/>
    <col customWidth="1" min="8964" max="8964" style="255" width="14.625"/>
    <col customWidth="1" min="8965" max="8968" style="255" width="12.625"/>
    <col min="8969" max="9216" style="255" width="9"/>
    <col customWidth="1" min="9217" max="9217" style="255" width="11.875"/>
    <col customWidth="1" min="9218" max="9218" style="255" width="32.625"/>
    <col bestFit="1" customWidth="1" min="9219" max="9219" style="255" width="5.25"/>
    <col customWidth="1" min="9220" max="9220" style="255" width="14.625"/>
    <col customWidth="1" min="9221" max="9224" style="255" width="12.625"/>
    <col min="9225" max="9472" style="255" width="9"/>
    <col customWidth="1" min="9473" max="9473" style="255" width="11.875"/>
    <col customWidth="1" min="9474" max="9474" style="255" width="32.625"/>
    <col bestFit="1" customWidth="1" min="9475" max="9475" style="255" width="5.25"/>
    <col customWidth="1" min="9476" max="9476" style="255" width="14.625"/>
    <col customWidth="1" min="9477" max="9480" style="255" width="12.625"/>
    <col min="9481" max="9728" style="255" width="9"/>
    <col customWidth="1" min="9729" max="9729" style="255" width="11.875"/>
    <col customWidth="1" min="9730" max="9730" style="255" width="32.625"/>
    <col bestFit="1" customWidth="1" min="9731" max="9731" style="255" width="5.25"/>
    <col customWidth="1" min="9732" max="9732" style="255" width="14.625"/>
    <col customWidth="1" min="9733" max="9736" style="255" width="12.625"/>
    <col min="9737" max="9984" style="255" width="9"/>
    <col customWidth="1" min="9985" max="9985" style="255" width="11.875"/>
    <col customWidth="1" min="9986" max="9986" style="255" width="32.625"/>
    <col bestFit="1" customWidth="1" min="9987" max="9987" style="255" width="5.25"/>
    <col customWidth="1" min="9988" max="9988" style="255" width="14.625"/>
    <col customWidth="1" min="9989" max="9992" style="255" width="12.625"/>
    <col min="9993" max="10240" style="255" width="9"/>
    <col customWidth="1" min="10241" max="10241" style="255" width="11.875"/>
    <col customWidth="1" min="10242" max="10242" style="255" width="32.625"/>
    <col bestFit="1" customWidth="1" min="10243" max="10243" style="255" width="5.25"/>
    <col customWidth="1" min="10244" max="10244" style="255" width="14.625"/>
    <col customWidth="1" min="10245" max="10248" style="255" width="12.625"/>
    <col min="10249" max="10496" style="255" width="9"/>
    <col customWidth="1" min="10497" max="10497" style="255" width="11.875"/>
    <col customWidth="1" min="10498" max="10498" style="255" width="32.625"/>
    <col bestFit="1" customWidth="1" min="10499" max="10499" style="255" width="5.25"/>
    <col customWidth="1" min="10500" max="10500" style="255" width="14.625"/>
    <col customWidth="1" min="10501" max="10504" style="255" width="12.625"/>
    <col min="10505" max="10752" style="255" width="9"/>
    <col customWidth="1" min="10753" max="10753" style="255" width="11.875"/>
    <col customWidth="1" min="10754" max="10754" style="255" width="32.625"/>
    <col bestFit="1" customWidth="1" min="10755" max="10755" style="255" width="5.25"/>
    <col customWidth="1" min="10756" max="10756" style="255" width="14.625"/>
    <col customWidth="1" min="10757" max="10760" style="255" width="12.625"/>
    <col min="10761" max="11008" style="255" width="9"/>
    <col customWidth="1" min="11009" max="11009" style="255" width="11.875"/>
    <col customWidth="1" min="11010" max="11010" style="255" width="32.625"/>
    <col bestFit="1" customWidth="1" min="11011" max="11011" style="255" width="5.25"/>
    <col customWidth="1" min="11012" max="11012" style="255" width="14.625"/>
    <col customWidth="1" min="11013" max="11016" style="255" width="12.625"/>
    <col min="11017" max="11264" style="255" width="9"/>
    <col customWidth="1" min="11265" max="11265" style="255" width="11.875"/>
    <col customWidth="1" min="11266" max="11266" style="255" width="32.625"/>
    <col bestFit="1" customWidth="1" min="11267" max="11267" style="255" width="5.25"/>
    <col customWidth="1" min="11268" max="11268" style="255" width="14.625"/>
    <col customWidth="1" min="11269" max="11272" style="255" width="12.625"/>
    <col min="11273" max="11520" style="255" width="9"/>
    <col customWidth="1" min="11521" max="11521" style="255" width="11.875"/>
    <col customWidth="1" min="11522" max="11522" style="255" width="32.625"/>
    <col bestFit="1" customWidth="1" min="11523" max="11523" style="255" width="5.25"/>
    <col customWidth="1" min="11524" max="11524" style="255" width="14.625"/>
    <col customWidth="1" min="11525" max="11528" style="255" width="12.625"/>
    <col min="11529" max="11776" style="255" width="9"/>
    <col customWidth="1" min="11777" max="11777" style="255" width="11.875"/>
    <col customWidth="1" min="11778" max="11778" style="255" width="32.625"/>
    <col bestFit="1" customWidth="1" min="11779" max="11779" style="255" width="5.25"/>
    <col customWidth="1" min="11780" max="11780" style="255" width="14.625"/>
    <col customWidth="1" min="11781" max="11784" style="255" width="12.625"/>
    <col min="11785" max="12032" style="255" width="9"/>
    <col customWidth="1" min="12033" max="12033" style="255" width="11.875"/>
    <col customWidth="1" min="12034" max="12034" style="255" width="32.625"/>
    <col bestFit="1" customWidth="1" min="12035" max="12035" style="255" width="5.25"/>
    <col customWidth="1" min="12036" max="12036" style="255" width="14.625"/>
    <col customWidth="1" min="12037" max="12040" style="255" width="12.625"/>
    <col min="12041" max="12288" style="255" width="9"/>
    <col customWidth="1" min="12289" max="12289" style="255" width="11.875"/>
    <col customWidth="1" min="12290" max="12290" style="255" width="32.625"/>
    <col bestFit="1" customWidth="1" min="12291" max="12291" style="255" width="5.25"/>
    <col customWidth="1" min="12292" max="12292" style="255" width="14.625"/>
    <col customWidth="1" min="12293" max="12296" style="255" width="12.625"/>
    <col min="12297" max="12544" style="255" width="9"/>
    <col customWidth="1" min="12545" max="12545" style="255" width="11.875"/>
    <col customWidth="1" min="12546" max="12546" style="255" width="32.625"/>
    <col bestFit="1" customWidth="1" min="12547" max="12547" style="255" width="5.25"/>
    <col customWidth="1" min="12548" max="12548" style="255" width="14.625"/>
    <col customWidth="1" min="12549" max="12552" style="255" width="12.625"/>
    <col min="12553" max="12800" style="255" width="9"/>
    <col customWidth="1" min="12801" max="12801" style="255" width="11.875"/>
    <col customWidth="1" min="12802" max="12802" style="255" width="32.625"/>
    <col bestFit="1" customWidth="1" min="12803" max="12803" style="255" width="5.25"/>
    <col customWidth="1" min="12804" max="12804" style="255" width="14.625"/>
    <col customWidth="1" min="12805" max="12808" style="255" width="12.625"/>
    <col min="12809" max="13056" style="255" width="9"/>
    <col customWidth="1" min="13057" max="13057" style="255" width="11.875"/>
    <col customWidth="1" min="13058" max="13058" style="255" width="32.625"/>
    <col bestFit="1" customWidth="1" min="13059" max="13059" style="255" width="5.25"/>
    <col customWidth="1" min="13060" max="13060" style="255" width="14.625"/>
    <col customWidth="1" min="13061" max="13064" style="255" width="12.625"/>
    <col min="13065" max="13312" style="255" width="9"/>
    <col customWidth="1" min="13313" max="13313" style="255" width="11.875"/>
    <col customWidth="1" min="13314" max="13314" style="255" width="32.625"/>
    <col bestFit="1" customWidth="1" min="13315" max="13315" style="255" width="5.25"/>
    <col customWidth="1" min="13316" max="13316" style="255" width="14.625"/>
    <col customWidth="1" min="13317" max="13320" style="255" width="12.625"/>
    <col min="13321" max="13568" style="255" width="9"/>
    <col customWidth="1" min="13569" max="13569" style="255" width="11.875"/>
    <col customWidth="1" min="13570" max="13570" style="255" width="32.625"/>
    <col bestFit="1" customWidth="1" min="13571" max="13571" style="255" width="5.25"/>
    <col customWidth="1" min="13572" max="13572" style="255" width="14.625"/>
    <col customWidth="1" min="13573" max="13576" style="255" width="12.625"/>
    <col min="13577" max="13824" style="255" width="9"/>
    <col customWidth="1" min="13825" max="13825" style="255" width="11.875"/>
    <col customWidth="1" min="13826" max="13826" style="255" width="32.625"/>
    <col bestFit="1" customWidth="1" min="13827" max="13827" style="255" width="5.25"/>
    <col customWidth="1" min="13828" max="13828" style="255" width="14.625"/>
    <col customWidth="1" min="13829" max="13832" style="255" width="12.625"/>
    <col min="13833" max="14080" style="255" width="9"/>
    <col customWidth="1" min="14081" max="14081" style="255" width="11.875"/>
    <col customWidth="1" min="14082" max="14082" style="255" width="32.625"/>
    <col bestFit="1" customWidth="1" min="14083" max="14083" style="255" width="5.25"/>
    <col customWidth="1" min="14084" max="14084" style="255" width="14.625"/>
    <col customWidth="1" min="14085" max="14088" style="255" width="12.625"/>
    <col min="14089" max="14336" style="255" width="9"/>
    <col customWidth="1" min="14337" max="14337" style="255" width="11.875"/>
    <col customWidth="1" min="14338" max="14338" style="255" width="32.625"/>
    <col bestFit="1" customWidth="1" min="14339" max="14339" style="255" width="5.25"/>
    <col customWidth="1" min="14340" max="14340" style="255" width="14.625"/>
    <col customWidth="1" min="14341" max="14344" style="255" width="12.625"/>
    <col min="14345" max="14592" style="255" width="9"/>
    <col customWidth="1" min="14593" max="14593" style="255" width="11.875"/>
    <col customWidth="1" min="14594" max="14594" style="255" width="32.625"/>
    <col bestFit="1" customWidth="1" min="14595" max="14595" style="255" width="5.25"/>
    <col customWidth="1" min="14596" max="14596" style="255" width="14.625"/>
    <col customWidth="1" min="14597" max="14600" style="255" width="12.625"/>
    <col min="14601" max="14848" style="255" width="9"/>
    <col customWidth="1" min="14849" max="14849" style="255" width="11.875"/>
    <col customWidth="1" min="14850" max="14850" style="255" width="32.625"/>
    <col bestFit="1" customWidth="1" min="14851" max="14851" style="255" width="5.25"/>
    <col customWidth="1" min="14852" max="14852" style="255" width="14.625"/>
    <col customWidth="1" min="14853" max="14856" style="255" width="12.625"/>
    <col min="14857" max="15104" style="255" width="9"/>
    <col customWidth="1" min="15105" max="15105" style="255" width="11.875"/>
    <col customWidth="1" min="15106" max="15106" style="255" width="32.625"/>
    <col bestFit="1" customWidth="1" min="15107" max="15107" style="255" width="5.25"/>
    <col customWidth="1" min="15108" max="15108" style="255" width="14.625"/>
    <col customWidth="1" min="15109" max="15112" style="255" width="12.625"/>
    <col min="15113" max="15360" style="255" width="9"/>
    <col customWidth="1" min="15361" max="15361" style="255" width="11.875"/>
    <col customWidth="1" min="15362" max="15362" style="255" width="32.625"/>
    <col bestFit="1" customWidth="1" min="15363" max="15363" style="255" width="5.25"/>
    <col customWidth="1" min="15364" max="15364" style="255" width="14.625"/>
    <col customWidth="1" min="15365" max="15368" style="255" width="12.625"/>
    <col min="15369" max="15616" style="255" width="9"/>
    <col customWidth="1" min="15617" max="15617" style="255" width="11.875"/>
    <col customWidth="1" min="15618" max="15618" style="255" width="32.625"/>
    <col bestFit="1" customWidth="1" min="15619" max="15619" style="255" width="5.25"/>
    <col customWidth="1" min="15620" max="15620" style="255" width="14.625"/>
    <col customWidth="1" min="15621" max="15624" style="255" width="12.625"/>
    <col min="15625" max="15872" style="255" width="9"/>
    <col customWidth="1" min="15873" max="15873" style="255" width="11.875"/>
    <col customWidth="1" min="15874" max="15874" style="255" width="32.625"/>
    <col bestFit="1" customWidth="1" min="15875" max="15875" style="255" width="5.25"/>
    <col customWidth="1" min="15876" max="15876" style="255" width="14.625"/>
    <col customWidth="1" min="15877" max="15880" style="255" width="12.625"/>
    <col min="15881" max="16128" style="255" width="9"/>
    <col customWidth="1" min="16129" max="16129" style="255" width="11.875"/>
    <col customWidth="1" min="16130" max="16130" style="255" width="32.625"/>
    <col bestFit="1" customWidth="1" min="16131" max="16131" style="255" width="5.25"/>
    <col customWidth="1" min="16132" max="16132" style="255" width="14.625"/>
    <col customWidth="1" min="16133" max="16136" style="255" width="12.625"/>
    <col min="16137" max="16384" style="255" width="9"/>
  </cols>
  <sheetData>
    <row r="1" ht="33" customHeight="1"/>
    <row r="2" ht="69.75" customHeight="1">
      <c r="A2" s="256" t="s">
        <v>391</v>
      </c>
      <c r="B2" s="257"/>
      <c r="C2" s="257"/>
      <c r="D2" s="257"/>
      <c r="E2" s="257"/>
      <c r="F2" s="257"/>
      <c r="G2" s="257"/>
      <c r="H2" s="258"/>
    </row>
    <row r="3" ht="38.25" customHeight="1">
      <c r="A3" s="259" t="str">
        <f>'기초 자료 입력'!B7&amp;"  :"</f>
        <v xml:space="preserve">계약건명  :</v>
      </c>
      <c r="B3" s="260" t="str">
        <f>'기초 자료 입력'!$D$7</f>
        <v xml:space="preserve">울산공항 계류장조명등 개선공사 관급자재 구매</v>
      </c>
      <c r="C3" s="260"/>
      <c r="D3" s="260"/>
      <c r="E3" s="260"/>
      <c r="F3" s="260"/>
      <c r="G3" s="260"/>
      <c r="H3" s="261"/>
    </row>
    <row r="4" ht="60" customHeight="1">
      <c r="A4" s="262" t="s">
        <v>392</v>
      </c>
      <c r="B4" s="263"/>
      <c r="C4" s="264" t="str">
        <f>공문!C13</f>
        <v>#NAME?</v>
      </c>
      <c r="D4" s="265"/>
      <c r="E4" s="265"/>
      <c r="F4" s="265"/>
      <c r="G4" s="265"/>
      <c r="H4" s="266"/>
    </row>
    <row r="5" ht="30" customHeight="1">
      <c r="A5" s="267" t="s">
        <v>393</v>
      </c>
      <c r="B5" s="263" t="s">
        <v>394</v>
      </c>
      <c r="C5" s="263" t="s">
        <v>379</v>
      </c>
      <c r="D5" s="268" t="s">
        <v>395</v>
      </c>
      <c r="E5" s="268" t="s">
        <v>396</v>
      </c>
      <c r="F5" s="268" t="s">
        <v>397</v>
      </c>
      <c r="G5" s="268" t="s">
        <v>398</v>
      </c>
      <c r="H5" s="269" t="s">
        <v>399</v>
      </c>
    </row>
    <row r="6" ht="30" customHeight="1">
      <c r="A6" s="262"/>
      <c r="B6" s="263" t="s">
        <v>400</v>
      </c>
      <c r="C6" s="263"/>
      <c r="D6" s="263"/>
      <c r="E6" s="263"/>
      <c r="F6" s="263"/>
      <c r="G6" s="263"/>
      <c r="H6" s="269"/>
    </row>
    <row r="7" ht="38.100000000000001" customHeight="1">
      <c r="A7" s="270">
        <v>1</v>
      </c>
      <c r="B7" s="271" t="str">
        <f>'기초 자료 입력'!$L$26</f>
        <v>투광조명</v>
      </c>
      <c r="C7" s="272" t="str">
        <f>'기초 자료 입력'!F26</f>
        <v>개</v>
      </c>
      <c r="D7" s="273">
        <f>'기초 자료 입력'!$E$26</f>
        <v>2950000</v>
      </c>
      <c r="E7" s="274">
        <f>'기초 자료 입력'!$G$26</f>
        <v>28</v>
      </c>
      <c r="F7" s="275" t="s">
        <v>401</v>
      </c>
      <c r="G7" s="276">
        <f>E7</f>
        <v>28</v>
      </c>
      <c r="H7" s="277"/>
    </row>
    <row r="8" ht="38.100000000000001" customHeight="1">
      <c r="A8" s="270"/>
      <c r="B8" s="271" t="str">
        <f>'기초 자료 입력'!$K$26</f>
        <v xml:space="preserve"> LED투광등기구 ARENA-600(3000K) 600W  </v>
      </c>
      <c r="C8" s="278"/>
      <c r="D8" s="279"/>
      <c r="E8" s="274"/>
      <c r="F8" s="275"/>
      <c r="G8" s="280"/>
      <c r="H8" s="277"/>
    </row>
    <row r="9" ht="38.100000000000001" customHeight="1">
      <c r="A9" s="270">
        <f>IF(B9="","",A7+1)</f>
        <v>2</v>
      </c>
      <c r="B9" s="271" t="str">
        <f>IF('기초 자료 입력'!$L$27="","",'기초 자료 입력'!$L$27)</f>
        <v>투광조명</v>
      </c>
      <c r="C9" s="272" t="str">
        <f>IF('기초 자료 입력'!F27="","",'기초 자료 입력'!F27)</f>
        <v>개</v>
      </c>
      <c r="D9" s="273">
        <f>IF('기초 자료 입력'!$E$27="","",'기초 자료 입력'!$E$27)</f>
        <v>2950000</v>
      </c>
      <c r="E9" s="274">
        <f>IF('기초 자료 입력'!$G$27="","",'기초 자료 입력'!$G$27)</f>
        <v>28</v>
      </c>
      <c r="F9" s="275" t="str">
        <f>IF(B9="","","-")</f>
        <v>-</v>
      </c>
      <c r="G9" s="276">
        <f>E9</f>
        <v>28</v>
      </c>
      <c r="H9" s="277"/>
    </row>
    <row r="10" ht="38.100000000000001" customHeight="1">
      <c r="A10" s="270"/>
      <c r="B10" s="271" t="str">
        <f>IF('기초 자료 입력'!$K$27="","",'기초 자료 입력'!$K$27)</f>
        <v xml:space="preserve"> LED투광등기구 ARENA-600(3000K) 600W  </v>
      </c>
      <c r="C10" s="278"/>
      <c r="D10" s="279"/>
      <c r="E10" s="274"/>
      <c r="F10" s="275"/>
      <c r="G10" s="280"/>
      <c r="H10" s="277"/>
    </row>
    <row r="11" ht="38.100000000000001" customHeight="1">
      <c r="A11" s="281">
        <f>IF(B11="","",A9+1)</f>
        <v>3</v>
      </c>
      <c r="B11" s="271" t="str">
        <f>IF('기초 자료 입력'!$L$28="","",'기초 자료 입력'!$L$28)</f>
        <v>투광조명</v>
      </c>
      <c r="C11" s="272" t="str">
        <f>IF('기초 자료 입력'!F28="","",'기초 자료 입력'!F28)</f>
        <v>개</v>
      </c>
      <c r="D11" s="273">
        <f>IF('기초 자료 입력'!$E$28="","",'기초 자료 입력'!$E$28)</f>
        <v>2950000</v>
      </c>
      <c r="E11" s="276">
        <f>IF('기초 자료 입력'!$G$28="","",'기초 자료 입력'!$G$28)</f>
        <v>28</v>
      </c>
      <c r="F11" s="282" t="str">
        <f>IF(B11="","","-")</f>
        <v>-</v>
      </c>
      <c r="G11" s="276">
        <f>E11</f>
        <v>28</v>
      </c>
      <c r="H11" s="283"/>
    </row>
    <row r="12" ht="38.100000000000001" customHeight="1">
      <c r="A12" s="270"/>
      <c r="B12" s="271" t="str">
        <f>IF('기초 자료 입력'!$K$28="","",'기초 자료 입력'!$K$28)</f>
        <v xml:space="preserve"> LED투광등기구 ARENA-600(3000K) 600W  </v>
      </c>
      <c r="C12" s="278"/>
      <c r="D12" s="279"/>
      <c r="E12" s="274"/>
      <c r="F12" s="275"/>
      <c r="G12" s="280"/>
      <c r="H12" s="277"/>
    </row>
    <row r="13" ht="38.100000000000001" customHeight="1">
      <c r="A13" s="281">
        <f>IF(B13="","",A11+1)</f>
        <v>4</v>
      </c>
      <c r="B13" s="271" t="str">
        <f>IF('기초 자료 입력'!$L$29="","",'기초 자료 입력'!$L$29)</f>
        <v>투광조명</v>
      </c>
      <c r="C13" s="272" t="str">
        <f>IF('기초 자료 입력'!F29="","",'기초 자료 입력'!F29)</f>
        <v>개</v>
      </c>
      <c r="D13" s="273">
        <f>IF('기초 자료 입력'!$E$29="","",'기초 자료 입력'!$E$29)</f>
        <v>2950000</v>
      </c>
      <c r="E13" s="276">
        <f>IF('기초 자료 입력'!$G$29="","",'기초 자료 입력'!$G$29)</f>
        <v>28</v>
      </c>
      <c r="F13" s="282" t="str">
        <f>IF(B13="","","-")</f>
        <v>-</v>
      </c>
      <c r="G13" s="276">
        <f>E13</f>
        <v>28</v>
      </c>
      <c r="H13" s="283"/>
      <c r="I13" s="284"/>
      <c r="J13" s="284"/>
      <c r="K13" s="284"/>
    </row>
    <row r="14" ht="38.100000000000001" customHeight="1">
      <c r="A14" s="270"/>
      <c r="B14" s="271" t="str">
        <f>IF('기초 자료 입력'!$K$29="","",'기초 자료 입력'!$K$29)</f>
        <v xml:space="preserve"> LED투광등기구 ARENA-600(3000K) 600W  </v>
      </c>
      <c r="C14" s="278"/>
      <c r="D14" s="279"/>
      <c r="E14" s="274"/>
      <c r="F14" s="275"/>
      <c r="G14" s="280"/>
      <c r="H14" s="277"/>
      <c r="I14" s="284"/>
      <c r="J14" s="284"/>
    </row>
    <row r="15" ht="38.100000000000001" customHeight="1">
      <c r="A15" s="281"/>
      <c r="B15" s="271"/>
      <c r="C15" s="272"/>
      <c r="D15" s="273"/>
      <c r="E15" s="276"/>
      <c r="F15" s="282"/>
      <c r="G15" s="276"/>
      <c r="H15" s="283"/>
    </row>
    <row r="16" ht="38.100000000000001" customHeight="1">
      <c r="A16" s="270"/>
      <c r="B16" s="271"/>
      <c r="C16" s="278"/>
      <c r="D16" s="279"/>
      <c r="E16" s="274"/>
      <c r="F16" s="275"/>
      <c r="G16" s="280"/>
      <c r="H16" s="277"/>
    </row>
    <row r="17" ht="38.100000000000001" customHeight="1">
      <c r="A17" s="281"/>
      <c r="B17" s="271"/>
      <c r="C17" s="272"/>
      <c r="D17" s="273"/>
      <c r="E17" s="276"/>
      <c r="F17" s="282"/>
      <c r="G17" s="276"/>
      <c r="H17" s="283"/>
    </row>
    <row r="18" ht="38.100000000000001" customHeight="1">
      <c r="A18" s="270"/>
      <c r="B18" s="271"/>
      <c r="C18" s="278"/>
      <c r="D18" s="279"/>
      <c r="E18" s="274"/>
      <c r="F18" s="275"/>
      <c r="G18" s="280"/>
      <c r="H18" s="277"/>
    </row>
    <row r="19" ht="38.100000000000001" customHeight="1">
      <c r="A19" s="281"/>
      <c r="B19" s="271"/>
      <c r="C19" s="272"/>
      <c r="D19" s="273"/>
      <c r="E19" s="276"/>
      <c r="F19" s="282"/>
      <c r="G19" s="276"/>
      <c r="H19" s="283"/>
    </row>
    <row r="20" ht="38.100000000000001" customHeight="1">
      <c r="A20" s="270"/>
      <c r="B20" s="271"/>
      <c r="C20" s="278"/>
      <c r="D20" s="279"/>
      <c r="E20" s="274"/>
      <c r="F20" s="275"/>
      <c r="G20" s="280"/>
      <c r="H20" s="277"/>
    </row>
    <row r="21" ht="38.100000000000001" customHeight="1">
      <c r="A21" s="281"/>
      <c r="B21" s="271"/>
      <c r="C21" s="272"/>
      <c r="D21" s="273"/>
      <c r="E21" s="276"/>
      <c r="F21" s="282"/>
      <c r="G21" s="276"/>
      <c r="H21" s="283"/>
    </row>
    <row r="22" ht="38.100000000000001" customHeight="1">
      <c r="A22" s="270"/>
      <c r="B22" s="271"/>
      <c r="C22" s="278"/>
      <c r="D22" s="279"/>
      <c r="E22" s="274"/>
      <c r="F22" s="275"/>
      <c r="G22" s="280"/>
      <c r="H22" s="277"/>
    </row>
    <row r="23" ht="38.100000000000001" customHeight="1">
      <c r="A23" s="281"/>
      <c r="B23" s="271"/>
      <c r="C23" s="272"/>
      <c r="D23" s="273"/>
      <c r="E23" s="276"/>
      <c r="F23" s="282"/>
      <c r="G23" s="276"/>
      <c r="H23" s="283"/>
    </row>
    <row r="24" ht="38.100000000000001" customHeight="1">
      <c r="A24" s="270"/>
      <c r="B24" s="271"/>
      <c r="C24" s="278"/>
      <c r="D24" s="279"/>
      <c r="E24" s="274"/>
      <c r="F24" s="275"/>
      <c r="G24" s="280"/>
      <c r="H24" s="277"/>
    </row>
  </sheetData>
  <mergeCells count="74">
    <mergeCell ref="A2:H2"/>
    <mergeCell ref="B3:H3"/>
    <mergeCell ref="A4:B4"/>
    <mergeCell ref="C4:H4"/>
    <mergeCell ref="A5:A6"/>
    <mergeCell ref="C5:C6"/>
    <mergeCell ref="D5:D6"/>
    <mergeCell ref="E5:E6"/>
    <mergeCell ref="F5:F6"/>
    <mergeCell ref="G5:G6"/>
    <mergeCell ref="H5:H6"/>
    <mergeCell ref="A7:A8"/>
    <mergeCell ref="C7:C8"/>
    <mergeCell ref="D7:D8"/>
    <mergeCell ref="E7:E8"/>
    <mergeCell ref="F7:F8"/>
    <mergeCell ref="G7:G8"/>
    <mergeCell ref="H7:H8"/>
    <mergeCell ref="A9:A10"/>
    <mergeCell ref="C9:C10"/>
    <mergeCell ref="D9:D10"/>
    <mergeCell ref="E9:E10"/>
    <mergeCell ref="F9:F10"/>
    <mergeCell ref="G9:G10"/>
    <mergeCell ref="H9:H10"/>
    <mergeCell ref="A11:A12"/>
    <mergeCell ref="C11:C12"/>
    <mergeCell ref="D11:D12"/>
    <mergeCell ref="E11:E12"/>
    <mergeCell ref="F11:F12"/>
    <mergeCell ref="G11:G12"/>
    <mergeCell ref="H11:H12"/>
    <mergeCell ref="A13:A14"/>
    <mergeCell ref="C13:C14"/>
    <mergeCell ref="D13:D14"/>
    <mergeCell ref="E13:E14"/>
    <mergeCell ref="F13:F14"/>
    <mergeCell ref="G13:G14"/>
    <mergeCell ref="H13:H14"/>
    <mergeCell ref="A15:A16"/>
    <mergeCell ref="C15:C16"/>
    <mergeCell ref="D15:D16"/>
    <mergeCell ref="E15:E16"/>
    <mergeCell ref="F15:F16"/>
    <mergeCell ref="G15:G16"/>
    <mergeCell ref="H15:H16"/>
    <mergeCell ref="A17:A18"/>
    <mergeCell ref="C17:C18"/>
    <mergeCell ref="D17:D18"/>
    <mergeCell ref="E17:E18"/>
    <mergeCell ref="F17:F18"/>
    <mergeCell ref="G17:G18"/>
    <mergeCell ref="H17:H18"/>
    <mergeCell ref="A19:A20"/>
    <mergeCell ref="C19:C20"/>
    <mergeCell ref="D19:D20"/>
    <mergeCell ref="E19:E20"/>
    <mergeCell ref="F19:F20"/>
    <mergeCell ref="G19:G20"/>
    <mergeCell ref="H19:H20"/>
    <mergeCell ref="A21:A22"/>
    <mergeCell ref="C21:C22"/>
    <mergeCell ref="D21:D22"/>
    <mergeCell ref="E21:E22"/>
    <mergeCell ref="F21:F22"/>
    <mergeCell ref="G21:G22"/>
    <mergeCell ref="H21:H22"/>
    <mergeCell ref="A23:A24"/>
    <mergeCell ref="C23:C24"/>
    <mergeCell ref="D23:D24"/>
    <mergeCell ref="E23:E24"/>
    <mergeCell ref="F23:F24"/>
    <mergeCell ref="G23:G24"/>
    <mergeCell ref="H23:H24"/>
  </mergeCells>
  <printOptions headings="0" gridLines="0" horizontalCentered="1"/>
  <pageMargins left="0.19685039370078738" right="0.19685039370078738" top="0.59055118110236249" bottom="0.19685039370078738" header="0.31496062992125984" footer="0.31496062992125984"/>
  <pageSetup paperSize="9" scale="86" fitToWidth="1" fitToHeight="0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7">
    <outlinePr applyStyles="0" summaryBelow="1" summaryRight="1" showOutlineSymbols="1"/>
    <pageSetUpPr autoPageBreaks="1" fitToPage="1"/>
  </sheetPr>
  <sheetViews>
    <sheetView view="pageBreakPreview" topLeftCell="A11" zoomScale="100" workbookViewId="0">
      <selection activeCell="O13" activeCellId="0" sqref="O13"/>
    </sheetView>
  </sheetViews>
  <sheetFormatPr defaultRowHeight="14.25"/>
  <cols>
    <col customWidth="1" min="1" max="1" style="285" width="2.625"/>
    <col customWidth="1" min="2" max="2" style="285" width="12.625"/>
    <col customWidth="1" min="3" max="9" style="285" width="12.5"/>
    <col customWidth="1" min="10" max="11" style="285" width="2.625"/>
    <col min="12" max="248" style="285" width="9"/>
    <col customWidth="1" min="249" max="249" style="285" width="4.625"/>
    <col customWidth="1" min="250" max="250" style="285" width="18.5"/>
    <col customWidth="1" min="251" max="253" style="285" width="14.125"/>
    <col customWidth="1" min="254" max="254" style="285" width="8.625"/>
    <col customWidth="1" min="255" max="255" style="285" width="10.625"/>
    <col customWidth="1" min="256" max="256" style="285" width="14.125"/>
    <col customWidth="1" min="257" max="257" style="285" width="12.625"/>
    <col min="258" max="261" style="285" width="9"/>
    <col customWidth="1" min="262" max="262" style="285" width="20.625"/>
    <col customWidth="1" min="263" max="263" style="285" width="30.625"/>
    <col customWidth="1" min="264" max="265" style="285" width="9.625"/>
    <col customWidth="1" min="266" max="266" style="285" width="12.625"/>
    <col min="267" max="504" style="285" width="9"/>
    <col customWidth="1" min="505" max="505" style="285" width="4.625"/>
    <col customWidth="1" min="506" max="506" style="285" width="18.5"/>
    <col customWidth="1" min="507" max="509" style="285" width="14.125"/>
    <col customWidth="1" min="510" max="510" style="285" width="8.625"/>
    <col customWidth="1" min="511" max="511" style="285" width="10.625"/>
    <col customWidth="1" min="512" max="512" style="285" width="14.125"/>
    <col customWidth="1" min="513" max="513" style="285" width="12.625"/>
    <col min="514" max="517" style="285" width="9"/>
    <col customWidth="1" min="518" max="518" style="285" width="20.625"/>
    <col customWidth="1" min="519" max="519" style="285" width="30.625"/>
    <col customWidth="1" min="520" max="521" style="285" width="9.625"/>
    <col customWidth="1" min="522" max="522" style="285" width="12.625"/>
    <col min="523" max="760" style="285" width="9"/>
    <col customWidth="1" min="761" max="761" style="285" width="4.625"/>
    <col customWidth="1" min="762" max="762" style="285" width="18.5"/>
    <col customWidth="1" min="763" max="765" style="285" width="14.125"/>
    <col customWidth="1" min="766" max="766" style="285" width="8.625"/>
    <col customWidth="1" min="767" max="767" style="285" width="10.625"/>
    <col customWidth="1" min="768" max="768" style="285" width="14.125"/>
    <col customWidth="1" min="769" max="769" style="285" width="12.625"/>
    <col min="770" max="773" style="285" width="9"/>
    <col customWidth="1" min="774" max="774" style="285" width="20.625"/>
    <col customWidth="1" min="775" max="775" style="285" width="30.625"/>
    <col customWidth="1" min="776" max="777" style="285" width="9.625"/>
    <col customWidth="1" min="778" max="778" style="285" width="12.625"/>
    <col min="779" max="1016" style="285" width="9"/>
    <col customWidth="1" min="1017" max="1017" style="285" width="4.625"/>
    <col customWidth="1" min="1018" max="1018" style="285" width="18.5"/>
    <col customWidth="1" min="1019" max="1021" style="285" width="14.125"/>
    <col customWidth="1" min="1022" max="1022" style="285" width="8.625"/>
    <col customWidth="1" min="1023" max="1023" style="285" width="10.625"/>
    <col customWidth="1" min="1024" max="1024" style="285" width="14.125"/>
    <col customWidth="1" min="1025" max="1025" style="285" width="12.625"/>
    <col min="1026" max="1029" style="285" width="9"/>
    <col customWidth="1" min="1030" max="1030" style="285" width="20.625"/>
    <col customWidth="1" min="1031" max="1031" style="285" width="30.625"/>
    <col customWidth="1" min="1032" max="1033" style="285" width="9.625"/>
    <col customWidth="1" min="1034" max="1034" style="285" width="12.625"/>
    <col min="1035" max="1272" style="285" width="9"/>
    <col customWidth="1" min="1273" max="1273" style="285" width="4.625"/>
    <col customWidth="1" min="1274" max="1274" style="285" width="18.5"/>
    <col customWidth="1" min="1275" max="1277" style="285" width="14.125"/>
    <col customWidth="1" min="1278" max="1278" style="285" width="8.625"/>
    <col customWidth="1" min="1279" max="1279" style="285" width="10.625"/>
    <col customWidth="1" min="1280" max="1280" style="285" width="14.125"/>
    <col customWidth="1" min="1281" max="1281" style="285" width="12.625"/>
    <col min="1282" max="1285" style="285" width="9"/>
    <col customWidth="1" min="1286" max="1286" style="285" width="20.625"/>
    <col customWidth="1" min="1287" max="1287" style="285" width="30.625"/>
    <col customWidth="1" min="1288" max="1289" style="285" width="9.625"/>
    <col customWidth="1" min="1290" max="1290" style="285" width="12.625"/>
    <col min="1291" max="1528" style="285" width="9"/>
    <col customWidth="1" min="1529" max="1529" style="285" width="4.625"/>
    <col customWidth="1" min="1530" max="1530" style="285" width="18.5"/>
    <col customWidth="1" min="1531" max="1533" style="285" width="14.125"/>
    <col customWidth="1" min="1534" max="1534" style="285" width="8.625"/>
    <col customWidth="1" min="1535" max="1535" style="285" width="10.625"/>
    <col customWidth="1" min="1536" max="1536" style="285" width="14.125"/>
    <col customWidth="1" min="1537" max="1537" style="285" width="12.625"/>
    <col min="1538" max="1541" style="285" width="9"/>
    <col customWidth="1" min="1542" max="1542" style="285" width="20.625"/>
    <col customWidth="1" min="1543" max="1543" style="285" width="30.625"/>
    <col customWidth="1" min="1544" max="1545" style="285" width="9.625"/>
    <col customWidth="1" min="1546" max="1546" style="285" width="12.625"/>
    <col min="1547" max="1784" style="285" width="9"/>
    <col customWidth="1" min="1785" max="1785" style="285" width="4.625"/>
    <col customWidth="1" min="1786" max="1786" style="285" width="18.5"/>
    <col customWidth="1" min="1787" max="1789" style="285" width="14.125"/>
    <col customWidth="1" min="1790" max="1790" style="285" width="8.625"/>
    <col customWidth="1" min="1791" max="1791" style="285" width="10.625"/>
    <col customWidth="1" min="1792" max="1792" style="285" width="14.125"/>
    <col customWidth="1" min="1793" max="1793" style="285" width="12.625"/>
    <col min="1794" max="1797" style="285" width="9"/>
    <col customWidth="1" min="1798" max="1798" style="285" width="20.625"/>
    <col customWidth="1" min="1799" max="1799" style="285" width="30.625"/>
    <col customWidth="1" min="1800" max="1801" style="285" width="9.625"/>
    <col customWidth="1" min="1802" max="1802" style="285" width="12.625"/>
    <col min="1803" max="2040" style="285" width="9"/>
    <col customWidth="1" min="2041" max="2041" style="285" width="4.625"/>
    <col customWidth="1" min="2042" max="2042" style="285" width="18.5"/>
    <col customWidth="1" min="2043" max="2045" style="285" width="14.125"/>
    <col customWidth="1" min="2046" max="2046" style="285" width="8.625"/>
    <col customWidth="1" min="2047" max="2047" style="285" width="10.625"/>
    <col customWidth="1" min="2048" max="2048" style="285" width="14.125"/>
    <col customWidth="1" min="2049" max="2049" style="285" width="12.625"/>
    <col min="2050" max="2053" style="285" width="9"/>
    <col customWidth="1" min="2054" max="2054" style="285" width="20.625"/>
    <col customWidth="1" min="2055" max="2055" style="285" width="30.625"/>
    <col customWidth="1" min="2056" max="2057" style="285" width="9.625"/>
    <col customWidth="1" min="2058" max="2058" style="285" width="12.625"/>
    <col min="2059" max="2296" style="285" width="9"/>
    <col customWidth="1" min="2297" max="2297" style="285" width="4.625"/>
    <col customWidth="1" min="2298" max="2298" style="285" width="18.5"/>
    <col customWidth="1" min="2299" max="2301" style="285" width="14.125"/>
    <col customWidth="1" min="2302" max="2302" style="285" width="8.625"/>
    <col customWidth="1" min="2303" max="2303" style="285" width="10.625"/>
    <col customWidth="1" min="2304" max="2304" style="285" width="14.125"/>
    <col customWidth="1" min="2305" max="2305" style="285" width="12.625"/>
    <col min="2306" max="2309" style="285" width="9"/>
    <col customWidth="1" min="2310" max="2310" style="285" width="20.625"/>
    <col customWidth="1" min="2311" max="2311" style="285" width="30.625"/>
    <col customWidth="1" min="2312" max="2313" style="285" width="9.625"/>
    <col customWidth="1" min="2314" max="2314" style="285" width="12.625"/>
    <col min="2315" max="2552" style="285" width="9"/>
    <col customWidth="1" min="2553" max="2553" style="285" width="4.625"/>
    <col customWidth="1" min="2554" max="2554" style="285" width="18.5"/>
    <col customWidth="1" min="2555" max="2557" style="285" width="14.125"/>
    <col customWidth="1" min="2558" max="2558" style="285" width="8.625"/>
    <col customWidth="1" min="2559" max="2559" style="285" width="10.625"/>
    <col customWidth="1" min="2560" max="2560" style="285" width="14.125"/>
    <col customWidth="1" min="2561" max="2561" style="285" width="12.625"/>
    <col min="2562" max="2565" style="285" width="9"/>
    <col customWidth="1" min="2566" max="2566" style="285" width="20.625"/>
    <col customWidth="1" min="2567" max="2567" style="285" width="30.625"/>
    <col customWidth="1" min="2568" max="2569" style="285" width="9.625"/>
    <col customWidth="1" min="2570" max="2570" style="285" width="12.625"/>
    <col min="2571" max="2808" style="285" width="9"/>
    <col customWidth="1" min="2809" max="2809" style="285" width="4.625"/>
    <col customWidth="1" min="2810" max="2810" style="285" width="18.5"/>
    <col customWidth="1" min="2811" max="2813" style="285" width="14.125"/>
    <col customWidth="1" min="2814" max="2814" style="285" width="8.625"/>
    <col customWidth="1" min="2815" max="2815" style="285" width="10.625"/>
    <col customWidth="1" min="2816" max="2816" style="285" width="14.125"/>
    <col customWidth="1" min="2817" max="2817" style="285" width="12.625"/>
    <col min="2818" max="2821" style="285" width="9"/>
    <col customWidth="1" min="2822" max="2822" style="285" width="20.625"/>
    <col customWidth="1" min="2823" max="2823" style="285" width="30.625"/>
    <col customWidth="1" min="2824" max="2825" style="285" width="9.625"/>
    <col customWidth="1" min="2826" max="2826" style="285" width="12.625"/>
    <col min="2827" max="3064" style="285" width="9"/>
    <col customWidth="1" min="3065" max="3065" style="285" width="4.625"/>
    <col customWidth="1" min="3066" max="3066" style="285" width="18.5"/>
    <col customWidth="1" min="3067" max="3069" style="285" width="14.125"/>
    <col customWidth="1" min="3070" max="3070" style="285" width="8.625"/>
    <col customWidth="1" min="3071" max="3071" style="285" width="10.625"/>
    <col customWidth="1" min="3072" max="3072" style="285" width="14.125"/>
    <col customWidth="1" min="3073" max="3073" style="285" width="12.625"/>
    <col min="3074" max="3077" style="285" width="9"/>
    <col customWidth="1" min="3078" max="3078" style="285" width="20.625"/>
    <col customWidth="1" min="3079" max="3079" style="285" width="30.625"/>
    <col customWidth="1" min="3080" max="3081" style="285" width="9.625"/>
    <col customWidth="1" min="3082" max="3082" style="285" width="12.625"/>
    <col min="3083" max="3320" style="285" width="9"/>
    <col customWidth="1" min="3321" max="3321" style="285" width="4.625"/>
    <col customWidth="1" min="3322" max="3322" style="285" width="18.5"/>
    <col customWidth="1" min="3323" max="3325" style="285" width="14.125"/>
    <col customWidth="1" min="3326" max="3326" style="285" width="8.625"/>
    <col customWidth="1" min="3327" max="3327" style="285" width="10.625"/>
    <col customWidth="1" min="3328" max="3328" style="285" width="14.125"/>
    <col customWidth="1" min="3329" max="3329" style="285" width="12.625"/>
    <col min="3330" max="3333" style="285" width="9"/>
    <col customWidth="1" min="3334" max="3334" style="285" width="20.625"/>
    <col customWidth="1" min="3335" max="3335" style="285" width="30.625"/>
    <col customWidth="1" min="3336" max="3337" style="285" width="9.625"/>
    <col customWidth="1" min="3338" max="3338" style="285" width="12.625"/>
    <col min="3339" max="3576" style="285" width="9"/>
    <col customWidth="1" min="3577" max="3577" style="285" width="4.625"/>
    <col customWidth="1" min="3578" max="3578" style="285" width="18.5"/>
    <col customWidth="1" min="3579" max="3581" style="285" width="14.125"/>
    <col customWidth="1" min="3582" max="3582" style="285" width="8.625"/>
    <col customWidth="1" min="3583" max="3583" style="285" width="10.625"/>
    <col customWidth="1" min="3584" max="3584" style="285" width="14.125"/>
    <col customWidth="1" min="3585" max="3585" style="285" width="12.625"/>
    <col min="3586" max="3589" style="285" width="9"/>
    <col customWidth="1" min="3590" max="3590" style="285" width="20.625"/>
    <col customWidth="1" min="3591" max="3591" style="285" width="30.625"/>
    <col customWidth="1" min="3592" max="3593" style="285" width="9.625"/>
    <col customWidth="1" min="3594" max="3594" style="285" width="12.625"/>
    <col min="3595" max="3832" style="285" width="9"/>
    <col customWidth="1" min="3833" max="3833" style="285" width="4.625"/>
    <col customWidth="1" min="3834" max="3834" style="285" width="18.5"/>
    <col customWidth="1" min="3835" max="3837" style="285" width="14.125"/>
    <col customWidth="1" min="3838" max="3838" style="285" width="8.625"/>
    <col customWidth="1" min="3839" max="3839" style="285" width="10.625"/>
    <col customWidth="1" min="3840" max="3840" style="285" width="14.125"/>
    <col customWidth="1" min="3841" max="3841" style="285" width="12.625"/>
    <col min="3842" max="3845" style="285" width="9"/>
    <col customWidth="1" min="3846" max="3846" style="285" width="20.625"/>
    <col customWidth="1" min="3847" max="3847" style="285" width="30.625"/>
    <col customWidth="1" min="3848" max="3849" style="285" width="9.625"/>
    <col customWidth="1" min="3850" max="3850" style="285" width="12.625"/>
    <col min="3851" max="4088" style="285" width="9"/>
    <col customWidth="1" min="4089" max="4089" style="285" width="4.625"/>
    <col customWidth="1" min="4090" max="4090" style="285" width="18.5"/>
    <col customWidth="1" min="4091" max="4093" style="285" width="14.125"/>
    <col customWidth="1" min="4094" max="4094" style="285" width="8.625"/>
    <col customWidth="1" min="4095" max="4095" style="285" width="10.625"/>
    <col customWidth="1" min="4096" max="4096" style="285" width="14.125"/>
    <col customWidth="1" min="4097" max="4097" style="285" width="12.625"/>
    <col min="4098" max="4101" style="285" width="9"/>
    <col customWidth="1" min="4102" max="4102" style="285" width="20.625"/>
    <col customWidth="1" min="4103" max="4103" style="285" width="30.625"/>
    <col customWidth="1" min="4104" max="4105" style="285" width="9.625"/>
    <col customWidth="1" min="4106" max="4106" style="285" width="12.625"/>
    <col min="4107" max="4344" style="285" width="9"/>
    <col customWidth="1" min="4345" max="4345" style="285" width="4.625"/>
    <col customWidth="1" min="4346" max="4346" style="285" width="18.5"/>
    <col customWidth="1" min="4347" max="4349" style="285" width="14.125"/>
    <col customWidth="1" min="4350" max="4350" style="285" width="8.625"/>
    <col customWidth="1" min="4351" max="4351" style="285" width="10.625"/>
    <col customWidth="1" min="4352" max="4352" style="285" width="14.125"/>
    <col customWidth="1" min="4353" max="4353" style="285" width="12.625"/>
    <col min="4354" max="4357" style="285" width="9"/>
    <col customWidth="1" min="4358" max="4358" style="285" width="20.625"/>
    <col customWidth="1" min="4359" max="4359" style="285" width="30.625"/>
    <col customWidth="1" min="4360" max="4361" style="285" width="9.625"/>
    <col customWidth="1" min="4362" max="4362" style="285" width="12.625"/>
    <col min="4363" max="4600" style="285" width="9"/>
    <col customWidth="1" min="4601" max="4601" style="285" width="4.625"/>
    <col customWidth="1" min="4602" max="4602" style="285" width="18.5"/>
    <col customWidth="1" min="4603" max="4605" style="285" width="14.125"/>
    <col customWidth="1" min="4606" max="4606" style="285" width="8.625"/>
    <col customWidth="1" min="4607" max="4607" style="285" width="10.625"/>
    <col customWidth="1" min="4608" max="4608" style="285" width="14.125"/>
    <col customWidth="1" min="4609" max="4609" style="285" width="12.625"/>
    <col min="4610" max="4613" style="285" width="9"/>
    <col customWidth="1" min="4614" max="4614" style="285" width="20.625"/>
    <col customWidth="1" min="4615" max="4615" style="285" width="30.625"/>
    <col customWidth="1" min="4616" max="4617" style="285" width="9.625"/>
    <col customWidth="1" min="4618" max="4618" style="285" width="12.625"/>
    <col min="4619" max="4856" style="285" width="9"/>
    <col customWidth="1" min="4857" max="4857" style="285" width="4.625"/>
    <col customWidth="1" min="4858" max="4858" style="285" width="18.5"/>
    <col customWidth="1" min="4859" max="4861" style="285" width="14.125"/>
    <col customWidth="1" min="4862" max="4862" style="285" width="8.625"/>
    <col customWidth="1" min="4863" max="4863" style="285" width="10.625"/>
    <col customWidth="1" min="4864" max="4864" style="285" width="14.125"/>
    <col customWidth="1" min="4865" max="4865" style="285" width="12.625"/>
    <col min="4866" max="4869" style="285" width="9"/>
    <col customWidth="1" min="4870" max="4870" style="285" width="20.625"/>
    <col customWidth="1" min="4871" max="4871" style="285" width="30.625"/>
    <col customWidth="1" min="4872" max="4873" style="285" width="9.625"/>
    <col customWidth="1" min="4874" max="4874" style="285" width="12.625"/>
    <col min="4875" max="5112" style="285" width="9"/>
    <col customWidth="1" min="5113" max="5113" style="285" width="4.625"/>
    <col customWidth="1" min="5114" max="5114" style="285" width="18.5"/>
    <col customWidth="1" min="5115" max="5117" style="285" width="14.125"/>
    <col customWidth="1" min="5118" max="5118" style="285" width="8.625"/>
    <col customWidth="1" min="5119" max="5119" style="285" width="10.625"/>
    <col customWidth="1" min="5120" max="5120" style="285" width="14.125"/>
    <col customWidth="1" min="5121" max="5121" style="285" width="12.625"/>
    <col min="5122" max="5125" style="285" width="9"/>
    <col customWidth="1" min="5126" max="5126" style="285" width="20.625"/>
    <col customWidth="1" min="5127" max="5127" style="285" width="30.625"/>
    <col customWidth="1" min="5128" max="5129" style="285" width="9.625"/>
    <col customWidth="1" min="5130" max="5130" style="285" width="12.625"/>
    <col min="5131" max="5368" style="285" width="9"/>
    <col customWidth="1" min="5369" max="5369" style="285" width="4.625"/>
    <col customWidth="1" min="5370" max="5370" style="285" width="18.5"/>
    <col customWidth="1" min="5371" max="5373" style="285" width="14.125"/>
    <col customWidth="1" min="5374" max="5374" style="285" width="8.625"/>
    <col customWidth="1" min="5375" max="5375" style="285" width="10.625"/>
    <col customWidth="1" min="5376" max="5376" style="285" width="14.125"/>
    <col customWidth="1" min="5377" max="5377" style="285" width="12.625"/>
    <col min="5378" max="5381" style="285" width="9"/>
    <col customWidth="1" min="5382" max="5382" style="285" width="20.625"/>
    <col customWidth="1" min="5383" max="5383" style="285" width="30.625"/>
    <col customWidth="1" min="5384" max="5385" style="285" width="9.625"/>
    <col customWidth="1" min="5386" max="5386" style="285" width="12.625"/>
    <col min="5387" max="5624" style="285" width="9"/>
    <col customWidth="1" min="5625" max="5625" style="285" width="4.625"/>
    <col customWidth="1" min="5626" max="5626" style="285" width="18.5"/>
    <col customWidth="1" min="5627" max="5629" style="285" width="14.125"/>
    <col customWidth="1" min="5630" max="5630" style="285" width="8.625"/>
    <col customWidth="1" min="5631" max="5631" style="285" width="10.625"/>
    <col customWidth="1" min="5632" max="5632" style="285" width="14.125"/>
    <col customWidth="1" min="5633" max="5633" style="285" width="12.625"/>
    <col min="5634" max="5637" style="285" width="9"/>
    <col customWidth="1" min="5638" max="5638" style="285" width="20.625"/>
    <col customWidth="1" min="5639" max="5639" style="285" width="30.625"/>
    <col customWidth="1" min="5640" max="5641" style="285" width="9.625"/>
    <col customWidth="1" min="5642" max="5642" style="285" width="12.625"/>
    <col min="5643" max="5880" style="285" width="9"/>
    <col customWidth="1" min="5881" max="5881" style="285" width="4.625"/>
    <col customWidth="1" min="5882" max="5882" style="285" width="18.5"/>
    <col customWidth="1" min="5883" max="5885" style="285" width="14.125"/>
    <col customWidth="1" min="5886" max="5886" style="285" width="8.625"/>
    <col customWidth="1" min="5887" max="5887" style="285" width="10.625"/>
    <col customWidth="1" min="5888" max="5888" style="285" width="14.125"/>
    <col customWidth="1" min="5889" max="5889" style="285" width="12.625"/>
    <col min="5890" max="5893" style="285" width="9"/>
    <col customWidth="1" min="5894" max="5894" style="285" width="20.625"/>
    <col customWidth="1" min="5895" max="5895" style="285" width="30.625"/>
    <col customWidth="1" min="5896" max="5897" style="285" width="9.625"/>
    <col customWidth="1" min="5898" max="5898" style="285" width="12.625"/>
    <col min="5899" max="6136" style="285" width="9"/>
    <col customWidth="1" min="6137" max="6137" style="285" width="4.625"/>
    <col customWidth="1" min="6138" max="6138" style="285" width="18.5"/>
    <col customWidth="1" min="6139" max="6141" style="285" width="14.125"/>
    <col customWidth="1" min="6142" max="6142" style="285" width="8.625"/>
    <col customWidth="1" min="6143" max="6143" style="285" width="10.625"/>
    <col customWidth="1" min="6144" max="6144" style="285" width="14.125"/>
    <col customWidth="1" min="6145" max="6145" style="285" width="12.625"/>
    <col min="6146" max="6149" style="285" width="9"/>
    <col customWidth="1" min="6150" max="6150" style="285" width="20.625"/>
    <col customWidth="1" min="6151" max="6151" style="285" width="30.625"/>
    <col customWidth="1" min="6152" max="6153" style="285" width="9.625"/>
    <col customWidth="1" min="6154" max="6154" style="285" width="12.625"/>
    <col min="6155" max="6392" style="285" width="9"/>
    <col customWidth="1" min="6393" max="6393" style="285" width="4.625"/>
    <col customWidth="1" min="6394" max="6394" style="285" width="18.5"/>
    <col customWidth="1" min="6395" max="6397" style="285" width="14.125"/>
    <col customWidth="1" min="6398" max="6398" style="285" width="8.625"/>
    <col customWidth="1" min="6399" max="6399" style="285" width="10.625"/>
    <col customWidth="1" min="6400" max="6400" style="285" width="14.125"/>
    <col customWidth="1" min="6401" max="6401" style="285" width="12.625"/>
    <col min="6402" max="6405" style="285" width="9"/>
    <col customWidth="1" min="6406" max="6406" style="285" width="20.625"/>
    <col customWidth="1" min="6407" max="6407" style="285" width="30.625"/>
    <col customWidth="1" min="6408" max="6409" style="285" width="9.625"/>
    <col customWidth="1" min="6410" max="6410" style="285" width="12.625"/>
    <col min="6411" max="6648" style="285" width="9"/>
    <col customWidth="1" min="6649" max="6649" style="285" width="4.625"/>
    <col customWidth="1" min="6650" max="6650" style="285" width="18.5"/>
    <col customWidth="1" min="6651" max="6653" style="285" width="14.125"/>
    <col customWidth="1" min="6654" max="6654" style="285" width="8.625"/>
    <col customWidth="1" min="6655" max="6655" style="285" width="10.625"/>
    <col customWidth="1" min="6656" max="6656" style="285" width="14.125"/>
    <col customWidth="1" min="6657" max="6657" style="285" width="12.625"/>
    <col min="6658" max="6661" style="285" width="9"/>
    <col customWidth="1" min="6662" max="6662" style="285" width="20.625"/>
    <col customWidth="1" min="6663" max="6663" style="285" width="30.625"/>
    <col customWidth="1" min="6664" max="6665" style="285" width="9.625"/>
    <col customWidth="1" min="6666" max="6666" style="285" width="12.625"/>
    <col min="6667" max="6904" style="285" width="9"/>
    <col customWidth="1" min="6905" max="6905" style="285" width="4.625"/>
    <col customWidth="1" min="6906" max="6906" style="285" width="18.5"/>
    <col customWidth="1" min="6907" max="6909" style="285" width="14.125"/>
    <col customWidth="1" min="6910" max="6910" style="285" width="8.625"/>
    <col customWidth="1" min="6911" max="6911" style="285" width="10.625"/>
    <col customWidth="1" min="6912" max="6912" style="285" width="14.125"/>
    <col customWidth="1" min="6913" max="6913" style="285" width="12.625"/>
    <col min="6914" max="6917" style="285" width="9"/>
    <col customWidth="1" min="6918" max="6918" style="285" width="20.625"/>
    <col customWidth="1" min="6919" max="6919" style="285" width="30.625"/>
    <col customWidth="1" min="6920" max="6921" style="285" width="9.625"/>
    <col customWidth="1" min="6922" max="6922" style="285" width="12.625"/>
    <col min="6923" max="7160" style="285" width="9"/>
    <col customWidth="1" min="7161" max="7161" style="285" width="4.625"/>
    <col customWidth="1" min="7162" max="7162" style="285" width="18.5"/>
    <col customWidth="1" min="7163" max="7165" style="285" width="14.125"/>
    <col customWidth="1" min="7166" max="7166" style="285" width="8.625"/>
    <col customWidth="1" min="7167" max="7167" style="285" width="10.625"/>
    <col customWidth="1" min="7168" max="7168" style="285" width="14.125"/>
    <col customWidth="1" min="7169" max="7169" style="285" width="12.625"/>
    <col min="7170" max="7173" style="285" width="9"/>
    <col customWidth="1" min="7174" max="7174" style="285" width="20.625"/>
    <col customWidth="1" min="7175" max="7175" style="285" width="30.625"/>
    <col customWidth="1" min="7176" max="7177" style="285" width="9.625"/>
    <col customWidth="1" min="7178" max="7178" style="285" width="12.625"/>
    <col min="7179" max="7416" style="285" width="9"/>
    <col customWidth="1" min="7417" max="7417" style="285" width="4.625"/>
    <col customWidth="1" min="7418" max="7418" style="285" width="18.5"/>
    <col customWidth="1" min="7419" max="7421" style="285" width="14.125"/>
    <col customWidth="1" min="7422" max="7422" style="285" width="8.625"/>
    <col customWidth="1" min="7423" max="7423" style="285" width="10.625"/>
    <col customWidth="1" min="7424" max="7424" style="285" width="14.125"/>
    <col customWidth="1" min="7425" max="7425" style="285" width="12.625"/>
    <col min="7426" max="7429" style="285" width="9"/>
    <col customWidth="1" min="7430" max="7430" style="285" width="20.625"/>
    <col customWidth="1" min="7431" max="7431" style="285" width="30.625"/>
    <col customWidth="1" min="7432" max="7433" style="285" width="9.625"/>
    <col customWidth="1" min="7434" max="7434" style="285" width="12.625"/>
    <col min="7435" max="7672" style="285" width="9"/>
    <col customWidth="1" min="7673" max="7673" style="285" width="4.625"/>
    <col customWidth="1" min="7674" max="7674" style="285" width="18.5"/>
    <col customWidth="1" min="7675" max="7677" style="285" width="14.125"/>
    <col customWidth="1" min="7678" max="7678" style="285" width="8.625"/>
    <col customWidth="1" min="7679" max="7679" style="285" width="10.625"/>
    <col customWidth="1" min="7680" max="7680" style="285" width="14.125"/>
    <col customWidth="1" min="7681" max="7681" style="285" width="12.625"/>
    <col min="7682" max="7685" style="285" width="9"/>
    <col customWidth="1" min="7686" max="7686" style="285" width="20.625"/>
    <col customWidth="1" min="7687" max="7687" style="285" width="30.625"/>
    <col customWidth="1" min="7688" max="7689" style="285" width="9.625"/>
    <col customWidth="1" min="7690" max="7690" style="285" width="12.625"/>
    <col min="7691" max="7928" style="285" width="9"/>
    <col customWidth="1" min="7929" max="7929" style="285" width="4.625"/>
    <col customWidth="1" min="7930" max="7930" style="285" width="18.5"/>
    <col customWidth="1" min="7931" max="7933" style="285" width="14.125"/>
    <col customWidth="1" min="7934" max="7934" style="285" width="8.625"/>
    <col customWidth="1" min="7935" max="7935" style="285" width="10.625"/>
    <col customWidth="1" min="7936" max="7936" style="285" width="14.125"/>
    <col customWidth="1" min="7937" max="7937" style="285" width="12.625"/>
    <col min="7938" max="7941" style="285" width="9"/>
    <col customWidth="1" min="7942" max="7942" style="285" width="20.625"/>
    <col customWidth="1" min="7943" max="7943" style="285" width="30.625"/>
    <col customWidth="1" min="7944" max="7945" style="285" width="9.625"/>
    <col customWidth="1" min="7946" max="7946" style="285" width="12.625"/>
    <col min="7947" max="8184" style="285" width="9"/>
    <col customWidth="1" min="8185" max="8185" style="285" width="4.625"/>
    <col customWidth="1" min="8186" max="8186" style="285" width="18.5"/>
    <col customWidth="1" min="8187" max="8189" style="285" width="14.125"/>
    <col customWidth="1" min="8190" max="8190" style="285" width="8.625"/>
    <col customWidth="1" min="8191" max="8191" style="285" width="10.625"/>
    <col customWidth="1" min="8192" max="8192" style="285" width="14.125"/>
    <col customWidth="1" min="8193" max="8193" style="285" width="12.625"/>
    <col min="8194" max="8197" style="285" width="9"/>
    <col customWidth="1" min="8198" max="8198" style="285" width="20.625"/>
    <col customWidth="1" min="8199" max="8199" style="285" width="30.625"/>
    <col customWidth="1" min="8200" max="8201" style="285" width="9.625"/>
    <col customWidth="1" min="8202" max="8202" style="285" width="12.625"/>
    <col min="8203" max="8440" style="285" width="9"/>
    <col customWidth="1" min="8441" max="8441" style="285" width="4.625"/>
    <col customWidth="1" min="8442" max="8442" style="285" width="18.5"/>
    <col customWidth="1" min="8443" max="8445" style="285" width="14.125"/>
    <col customWidth="1" min="8446" max="8446" style="285" width="8.625"/>
    <col customWidth="1" min="8447" max="8447" style="285" width="10.625"/>
    <col customWidth="1" min="8448" max="8448" style="285" width="14.125"/>
    <col customWidth="1" min="8449" max="8449" style="285" width="12.625"/>
    <col min="8450" max="8453" style="285" width="9"/>
    <col customWidth="1" min="8454" max="8454" style="285" width="20.625"/>
    <col customWidth="1" min="8455" max="8455" style="285" width="30.625"/>
    <col customWidth="1" min="8456" max="8457" style="285" width="9.625"/>
    <col customWidth="1" min="8458" max="8458" style="285" width="12.625"/>
    <col min="8459" max="8696" style="285" width="9"/>
    <col customWidth="1" min="8697" max="8697" style="285" width="4.625"/>
    <col customWidth="1" min="8698" max="8698" style="285" width="18.5"/>
    <col customWidth="1" min="8699" max="8701" style="285" width="14.125"/>
    <col customWidth="1" min="8702" max="8702" style="285" width="8.625"/>
    <col customWidth="1" min="8703" max="8703" style="285" width="10.625"/>
    <col customWidth="1" min="8704" max="8704" style="285" width="14.125"/>
    <col customWidth="1" min="8705" max="8705" style="285" width="12.625"/>
    <col min="8706" max="8709" style="285" width="9"/>
    <col customWidth="1" min="8710" max="8710" style="285" width="20.625"/>
    <col customWidth="1" min="8711" max="8711" style="285" width="30.625"/>
    <col customWidth="1" min="8712" max="8713" style="285" width="9.625"/>
    <col customWidth="1" min="8714" max="8714" style="285" width="12.625"/>
    <col min="8715" max="8952" style="285" width="9"/>
    <col customWidth="1" min="8953" max="8953" style="285" width="4.625"/>
    <col customWidth="1" min="8954" max="8954" style="285" width="18.5"/>
    <col customWidth="1" min="8955" max="8957" style="285" width="14.125"/>
    <col customWidth="1" min="8958" max="8958" style="285" width="8.625"/>
    <col customWidth="1" min="8959" max="8959" style="285" width="10.625"/>
    <col customWidth="1" min="8960" max="8960" style="285" width="14.125"/>
    <col customWidth="1" min="8961" max="8961" style="285" width="12.625"/>
    <col min="8962" max="8965" style="285" width="9"/>
    <col customWidth="1" min="8966" max="8966" style="285" width="20.625"/>
    <col customWidth="1" min="8967" max="8967" style="285" width="30.625"/>
    <col customWidth="1" min="8968" max="8969" style="285" width="9.625"/>
    <col customWidth="1" min="8970" max="8970" style="285" width="12.625"/>
    <col min="8971" max="9208" style="285" width="9"/>
    <col customWidth="1" min="9209" max="9209" style="285" width="4.625"/>
    <col customWidth="1" min="9210" max="9210" style="285" width="18.5"/>
    <col customWidth="1" min="9211" max="9213" style="285" width="14.125"/>
    <col customWidth="1" min="9214" max="9214" style="285" width="8.625"/>
    <col customWidth="1" min="9215" max="9215" style="285" width="10.625"/>
    <col customWidth="1" min="9216" max="9216" style="285" width="14.125"/>
    <col customWidth="1" min="9217" max="9217" style="285" width="12.625"/>
    <col min="9218" max="9221" style="285" width="9"/>
    <col customWidth="1" min="9222" max="9222" style="285" width="20.625"/>
    <col customWidth="1" min="9223" max="9223" style="285" width="30.625"/>
    <col customWidth="1" min="9224" max="9225" style="285" width="9.625"/>
    <col customWidth="1" min="9226" max="9226" style="285" width="12.625"/>
    <col min="9227" max="9464" style="285" width="9"/>
    <col customWidth="1" min="9465" max="9465" style="285" width="4.625"/>
    <col customWidth="1" min="9466" max="9466" style="285" width="18.5"/>
    <col customWidth="1" min="9467" max="9469" style="285" width="14.125"/>
    <col customWidth="1" min="9470" max="9470" style="285" width="8.625"/>
    <col customWidth="1" min="9471" max="9471" style="285" width="10.625"/>
    <col customWidth="1" min="9472" max="9472" style="285" width="14.125"/>
    <col customWidth="1" min="9473" max="9473" style="285" width="12.625"/>
    <col min="9474" max="9477" style="285" width="9"/>
    <col customWidth="1" min="9478" max="9478" style="285" width="20.625"/>
    <col customWidth="1" min="9479" max="9479" style="285" width="30.625"/>
    <col customWidth="1" min="9480" max="9481" style="285" width="9.625"/>
    <col customWidth="1" min="9482" max="9482" style="285" width="12.625"/>
    <col min="9483" max="9720" style="285" width="9"/>
    <col customWidth="1" min="9721" max="9721" style="285" width="4.625"/>
    <col customWidth="1" min="9722" max="9722" style="285" width="18.5"/>
    <col customWidth="1" min="9723" max="9725" style="285" width="14.125"/>
    <col customWidth="1" min="9726" max="9726" style="285" width="8.625"/>
    <col customWidth="1" min="9727" max="9727" style="285" width="10.625"/>
    <col customWidth="1" min="9728" max="9728" style="285" width="14.125"/>
    <col customWidth="1" min="9729" max="9729" style="285" width="12.625"/>
    <col min="9730" max="9733" style="285" width="9"/>
    <col customWidth="1" min="9734" max="9734" style="285" width="20.625"/>
    <col customWidth="1" min="9735" max="9735" style="285" width="30.625"/>
    <col customWidth="1" min="9736" max="9737" style="285" width="9.625"/>
    <col customWidth="1" min="9738" max="9738" style="285" width="12.625"/>
    <col min="9739" max="9976" style="285" width="9"/>
    <col customWidth="1" min="9977" max="9977" style="285" width="4.625"/>
    <col customWidth="1" min="9978" max="9978" style="285" width="18.5"/>
    <col customWidth="1" min="9979" max="9981" style="285" width="14.125"/>
    <col customWidth="1" min="9982" max="9982" style="285" width="8.625"/>
    <col customWidth="1" min="9983" max="9983" style="285" width="10.625"/>
    <col customWidth="1" min="9984" max="9984" style="285" width="14.125"/>
    <col customWidth="1" min="9985" max="9985" style="285" width="12.625"/>
    <col min="9986" max="9989" style="285" width="9"/>
    <col customWidth="1" min="9990" max="9990" style="285" width="20.625"/>
    <col customWidth="1" min="9991" max="9991" style="285" width="30.625"/>
    <col customWidth="1" min="9992" max="9993" style="285" width="9.625"/>
    <col customWidth="1" min="9994" max="9994" style="285" width="12.625"/>
    <col min="9995" max="10232" style="285" width="9"/>
    <col customWidth="1" min="10233" max="10233" style="285" width="4.625"/>
    <col customWidth="1" min="10234" max="10234" style="285" width="18.5"/>
    <col customWidth="1" min="10235" max="10237" style="285" width="14.125"/>
    <col customWidth="1" min="10238" max="10238" style="285" width="8.625"/>
    <col customWidth="1" min="10239" max="10239" style="285" width="10.625"/>
    <col customWidth="1" min="10240" max="10240" style="285" width="14.125"/>
    <col customWidth="1" min="10241" max="10241" style="285" width="12.625"/>
    <col min="10242" max="10245" style="285" width="9"/>
    <col customWidth="1" min="10246" max="10246" style="285" width="20.625"/>
    <col customWidth="1" min="10247" max="10247" style="285" width="30.625"/>
    <col customWidth="1" min="10248" max="10249" style="285" width="9.625"/>
    <col customWidth="1" min="10250" max="10250" style="285" width="12.625"/>
    <col min="10251" max="10488" style="285" width="9"/>
    <col customWidth="1" min="10489" max="10489" style="285" width="4.625"/>
    <col customWidth="1" min="10490" max="10490" style="285" width="18.5"/>
    <col customWidth="1" min="10491" max="10493" style="285" width="14.125"/>
    <col customWidth="1" min="10494" max="10494" style="285" width="8.625"/>
    <col customWidth="1" min="10495" max="10495" style="285" width="10.625"/>
    <col customWidth="1" min="10496" max="10496" style="285" width="14.125"/>
    <col customWidth="1" min="10497" max="10497" style="285" width="12.625"/>
    <col min="10498" max="10501" style="285" width="9"/>
    <col customWidth="1" min="10502" max="10502" style="285" width="20.625"/>
    <col customWidth="1" min="10503" max="10503" style="285" width="30.625"/>
    <col customWidth="1" min="10504" max="10505" style="285" width="9.625"/>
    <col customWidth="1" min="10506" max="10506" style="285" width="12.625"/>
    <col min="10507" max="10744" style="285" width="9"/>
    <col customWidth="1" min="10745" max="10745" style="285" width="4.625"/>
    <col customWidth="1" min="10746" max="10746" style="285" width="18.5"/>
    <col customWidth="1" min="10747" max="10749" style="285" width="14.125"/>
    <col customWidth="1" min="10750" max="10750" style="285" width="8.625"/>
    <col customWidth="1" min="10751" max="10751" style="285" width="10.625"/>
    <col customWidth="1" min="10752" max="10752" style="285" width="14.125"/>
    <col customWidth="1" min="10753" max="10753" style="285" width="12.625"/>
    <col min="10754" max="10757" style="285" width="9"/>
    <col customWidth="1" min="10758" max="10758" style="285" width="20.625"/>
    <col customWidth="1" min="10759" max="10759" style="285" width="30.625"/>
    <col customWidth="1" min="10760" max="10761" style="285" width="9.625"/>
    <col customWidth="1" min="10762" max="10762" style="285" width="12.625"/>
    <col min="10763" max="11000" style="285" width="9"/>
    <col customWidth="1" min="11001" max="11001" style="285" width="4.625"/>
    <col customWidth="1" min="11002" max="11002" style="285" width="18.5"/>
    <col customWidth="1" min="11003" max="11005" style="285" width="14.125"/>
    <col customWidth="1" min="11006" max="11006" style="285" width="8.625"/>
    <col customWidth="1" min="11007" max="11007" style="285" width="10.625"/>
    <col customWidth="1" min="11008" max="11008" style="285" width="14.125"/>
    <col customWidth="1" min="11009" max="11009" style="285" width="12.625"/>
    <col min="11010" max="11013" style="285" width="9"/>
    <col customWidth="1" min="11014" max="11014" style="285" width="20.625"/>
    <col customWidth="1" min="11015" max="11015" style="285" width="30.625"/>
    <col customWidth="1" min="11016" max="11017" style="285" width="9.625"/>
    <col customWidth="1" min="11018" max="11018" style="285" width="12.625"/>
    <col min="11019" max="11256" style="285" width="9"/>
    <col customWidth="1" min="11257" max="11257" style="285" width="4.625"/>
    <col customWidth="1" min="11258" max="11258" style="285" width="18.5"/>
    <col customWidth="1" min="11259" max="11261" style="285" width="14.125"/>
    <col customWidth="1" min="11262" max="11262" style="285" width="8.625"/>
    <col customWidth="1" min="11263" max="11263" style="285" width="10.625"/>
    <col customWidth="1" min="11264" max="11264" style="285" width="14.125"/>
    <col customWidth="1" min="11265" max="11265" style="285" width="12.625"/>
    <col min="11266" max="11269" style="285" width="9"/>
    <col customWidth="1" min="11270" max="11270" style="285" width="20.625"/>
    <col customWidth="1" min="11271" max="11271" style="285" width="30.625"/>
    <col customWidth="1" min="11272" max="11273" style="285" width="9.625"/>
    <col customWidth="1" min="11274" max="11274" style="285" width="12.625"/>
    <col min="11275" max="11512" style="285" width="9"/>
    <col customWidth="1" min="11513" max="11513" style="285" width="4.625"/>
    <col customWidth="1" min="11514" max="11514" style="285" width="18.5"/>
    <col customWidth="1" min="11515" max="11517" style="285" width="14.125"/>
    <col customWidth="1" min="11518" max="11518" style="285" width="8.625"/>
    <col customWidth="1" min="11519" max="11519" style="285" width="10.625"/>
    <col customWidth="1" min="11520" max="11520" style="285" width="14.125"/>
    <col customWidth="1" min="11521" max="11521" style="285" width="12.625"/>
    <col min="11522" max="11525" style="285" width="9"/>
    <col customWidth="1" min="11526" max="11526" style="285" width="20.625"/>
    <col customWidth="1" min="11527" max="11527" style="285" width="30.625"/>
    <col customWidth="1" min="11528" max="11529" style="285" width="9.625"/>
    <col customWidth="1" min="11530" max="11530" style="285" width="12.625"/>
    <col min="11531" max="11768" style="285" width="9"/>
    <col customWidth="1" min="11769" max="11769" style="285" width="4.625"/>
    <col customWidth="1" min="11770" max="11770" style="285" width="18.5"/>
    <col customWidth="1" min="11771" max="11773" style="285" width="14.125"/>
    <col customWidth="1" min="11774" max="11774" style="285" width="8.625"/>
    <col customWidth="1" min="11775" max="11775" style="285" width="10.625"/>
    <col customWidth="1" min="11776" max="11776" style="285" width="14.125"/>
    <col customWidth="1" min="11777" max="11777" style="285" width="12.625"/>
    <col min="11778" max="11781" style="285" width="9"/>
    <col customWidth="1" min="11782" max="11782" style="285" width="20.625"/>
    <col customWidth="1" min="11783" max="11783" style="285" width="30.625"/>
    <col customWidth="1" min="11784" max="11785" style="285" width="9.625"/>
    <col customWidth="1" min="11786" max="11786" style="285" width="12.625"/>
    <col min="11787" max="12024" style="285" width="9"/>
    <col customWidth="1" min="12025" max="12025" style="285" width="4.625"/>
    <col customWidth="1" min="12026" max="12026" style="285" width="18.5"/>
    <col customWidth="1" min="12027" max="12029" style="285" width="14.125"/>
    <col customWidth="1" min="12030" max="12030" style="285" width="8.625"/>
    <col customWidth="1" min="12031" max="12031" style="285" width="10.625"/>
    <col customWidth="1" min="12032" max="12032" style="285" width="14.125"/>
    <col customWidth="1" min="12033" max="12033" style="285" width="12.625"/>
    <col min="12034" max="12037" style="285" width="9"/>
    <col customWidth="1" min="12038" max="12038" style="285" width="20.625"/>
    <col customWidth="1" min="12039" max="12039" style="285" width="30.625"/>
    <col customWidth="1" min="12040" max="12041" style="285" width="9.625"/>
    <col customWidth="1" min="12042" max="12042" style="285" width="12.625"/>
    <col min="12043" max="12280" style="285" width="9"/>
    <col customWidth="1" min="12281" max="12281" style="285" width="4.625"/>
    <col customWidth="1" min="12282" max="12282" style="285" width="18.5"/>
    <col customWidth="1" min="12283" max="12285" style="285" width="14.125"/>
    <col customWidth="1" min="12286" max="12286" style="285" width="8.625"/>
    <col customWidth="1" min="12287" max="12287" style="285" width="10.625"/>
    <col customWidth="1" min="12288" max="12288" style="285" width="14.125"/>
    <col customWidth="1" min="12289" max="12289" style="285" width="12.625"/>
    <col min="12290" max="12293" style="285" width="9"/>
    <col customWidth="1" min="12294" max="12294" style="285" width="20.625"/>
    <col customWidth="1" min="12295" max="12295" style="285" width="30.625"/>
    <col customWidth="1" min="12296" max="12297" style="285" width="9.625"/>
    <col customWidth="1" min="12298" max="12298" style="285" width="12.625"/>
    <col min="12299" max="12536" style="285" width="9"/>
    <col customWidth="1" min="12537" max="12537" style="285" width="4.625"/>
    <col customWidth="1" min="12538" max="12538" style="285" width="18.5"/>
    <col customWidth="1" min="12539" max="12541" style="285" width="14.125"/>
    <col customWidth="1" min="12542" max="12542" style="285" width="8.625"/>
    <col customWidth="1" min="12543" max="12543" style="285" width="10.625"/>
    <col customWidth="1" min="12544" max="12544" style="285" width="14.125"/>
    <col customWidth="1" min="12545" max="12545" style="285" width="12.625"/>
    <col min="12546" max="12549" style="285" width="9"/>
    <col customWidth="1" min="12550" max="12550" style="285" width="20.625"/>
    <col customWidth="1" min="12551" max="12551" style="285" width="30.625"/>
    <col customWidth="1" min="12552" max="12553" style="285" width="9.625"/>
    <col customWidth="1" min="12554" max="12554" style="285" width="12.625"/>
    <col min="12555" max="12792" style="285" width="9"/>
    <col customWidth="1" min="12793" max="12793" style="285" width="4.625"/>
    <col customWidth="1" min="12794" max="12794" style="285" width="18.5"/>
    <col customWidth="1" min="12795" max="12797" style="285" width="14.125"/>
    <col customWidth="1" min="12798" max="12798" style="285" width="8.625"/>
    <col customWidth="1" min="12799" max="12799" style="285" width="10.625"/>
    <col customWidth="1" min="12800" max="12800" style="285" width="14.125"/>
    <col customWidth="1" min="12801" max="12801" style="285" width="12.625"/>
    <col min="12802" max="12805" style="285" width="9"/>
    <col customWidth="1" min="12806" max="12806" style="285" width="20.625"/>
    <col customWidth="1" min="12807" max="12807" style="285" width="30.625"/>
    <col customWidth="1" min="12808" max="12809" style="285" width="9.625"/>
    <col customWidth="1" min="12810" max="12810" style="285" width="12.625"/>
    <col min="12811" max="13048" style="285" width="9"/>
    <col customWidth="1" min="13049" max="13049" style="285" width="4.625"/>
    <col customWidth="1" min="13050" max="13050" style="285" width="18.5"/>
    <col customWidth="1" min="13051" max="13053" style="285" width="14.125"/>
    <col customWidth="1" min="13054" max="13054" style="285" width="8.625"/>
    <col customWidth="1" min="13055" max="13055" style="285" width="10.625"/>
    <col customWidth="1" min="13056" max="13056" style="285" width="14.125"/>
    <col customWidth="1" min="13057" max="13057" style="285" width="12.625"/>
    <col min="13058" max="13061" style="285" width="9"/>
    <col customWidth="1" min="13062" max="13062" style="285" width="20.625"/>
    <col customWidth="1" min="13063" max="13063" style="285" width="30.625"/>
    <col customWidth="1" min="13064" max="13065" style="285" width="9.625"/>
    <col customWidth="1" min="13066" max="13066" style="285" width="12.625"/>
    <col min="13067" max="13304" style="285" width="9"/>
    <col customWidth="1" min="13305" max="13305" style="285" width="4.625"/>
    <col customWidth="1" min="13306" max="13306" style="285" width="18.5"/>
    <col customWidth="1" min="13307" max="13309" style="285" width="14.125"/>
    <col customWidth="1" min="13310" max="13310" style="285" width="8.625"/>
    <col customWidth="1" min="13311" max="13311" style="285" width="10.625"/>
    <col customWidth="1" min="13312" max="13312" style="285" width="14.125"/>
    <col customWidth="1" min="13313" max="13313" style="285" width="12.625"/>
    <col min="13314" max="13317" style="285" width="9"/>
    <col customWidth="1" min="13318" max="13318" style="285" width="20.625"/>
    <col customWidth="1" min="13319" max="13319" style="285" width="30.625"/>
    <col customWidth="1" min="13320" max="13321" style="285" width="9.625"/>
    <col customWidth="1" min="13322" max="13322" style="285" width="12.625"/>
    <col min="13323" max="13560" style="285" width="9"/>
    <col customWidth="1" min="13561" max="13561" style="285" width="4.625"/>
    <col customWidth="1" min="13562" max="13562" style="285" width="18.5"/>
    <col customWidth="1" min="13563" max="13565" style="285" width="14.125"/>
    <col customWidth="1" min="13566" max="13566" style="285" width="8.625"/>
    <col customWidth="1" min="13567" max="13567" style="285" width="10.625"/>
    <col customWidth="1" min="13568" max="13568" style="285" width="14.125"/>
    <col customWidth="1" min="13569" max="13569" style="285" width="12.625"/>
    <col min="13570" max="13573" style="285" width="9"/>
    <col customWidth="1" min="13574" max="13574" style="285" width="20.625"/>
    <col customWidth="1" min="13575" max="13575" style="285" width="30.625"/>
    <col customWidth="1" min="13576" max="13577" style="285" width="9.625"/>
    <col customWidth="1" min="13578" max="13578" style="285" width="12.625"/>
    <col min="13579" max="13816" style="285" width="9"/>
    <col customWidth="1" min="13817" max="13817" style="285" width="4.625"/>
    <col customWidth="1" min="13818" max="13818" style="285" width="18.5"/>
    <col customWidth="1" min="13819" max="13821" style="285" width="14.125"/>
    <col customWidth="1" min="13822" max="13822" style="285" width="8.625"/>
    <col customWidth="1" min="13823" max="13823" style="285" width="10.625"/>
    <col customWidth="1" min="13824" max="13824" style="285" width="14.125"/>
    <col customWidth="1" min="13825" max="13825" style="285" width="12.625"/>
    <col min="13826" max="13829" style="285" width="9"/>
    <col customWidth="1" min="13830" max="13830" style="285" width="20.625"/>
    <col customWidth="1" min="13831" max="13831" style="285" width="30.625"/>
    <col customWidth="1" min="13832" max="13833" style="285" width="9.625"/>
    <col customWidth="1" min="13834" max="13834" style="285" width="12.625"/>
    <col min="13835" max="14072" style="285" width="9"/>
    <col customWidth="1" min="14073" max="14073" style="285" width="4.625"/>
    <col customWidth="1" min="14074" max="14074" style="285" width="18.5"/>
    <col customWidth="1" min="14075" max="14077" style="285" width="14.125"/>
    <col customWidth="1" min="14078" max="14078" style="285" width="8.625"/>
    <col customWidth="1" min="14079" max="14079" style="285" width="10.625"/>
    <col customWidth="1" min="14080" max="14080" style="285" width="14.125"/>
    <col customWidth="1" min="14081" max="14081" style="285" width="12.625"/>
    <col min="14082" max="14085" style="285" width="9"/>
    <col customWidth="1" min="14086" max="14086" style="285" width="20.625"/>
    <col customWidth="1" min="14087" max="14087" style="285" width="30.625"/>
    <col customWidth="1" min="14088" max="14089" style="285" width="9.625"/>
    <col customWidth="1" min="14090" max="14090" style="285" width="12.625"/>
    <col min="14091" max="14328" style="285" width="9"/>
    <col customWidth="1" min="14329" max="14329" style="285" width="4.625"/>
    <col customWidth="1" min="14330" max="14330" style="285" width="18.5"/>
    <col customWidth="1" min="14331" max="14333" style="285" width="14.125"/>
    <col customWidth="1" min="14334" max="14334" style="285" width="8.625"/>
    <col customWidth="1" min="14335" max="14335" style="285" width="10.625"/>
    <col customWidth="1" min="14336" max="14336" style="285" width="14.125"/>
    <col customWidth="1" min="14337" max="14337" style="285" width="12.625"/>
    <col min="14338" max="14341" style="285" width="9"/>
    <col customWidth="1" min="14342" max="14342" style="285" width="20.625"/>
    <col customWidth="1" min="14343" max="14343" style="285" width="30.625"/>
    <col customWidth="1" min="14344" max="14345" style="285" width="9.625"/>
    <col customWidth="1" min="14346" max="14346" style="285" width="12.625"/>
    <col min="14347" max="14584" style="285" width="9"/>
    <col customWidth="1" min="14585" max="14585" style="285" width="4.625"/>
    <col customWidth="1" min="14586" max="14586" style="285" width="18.5"/>
    <col customWidth="1" min="14587" max="14589" style="285" width="14.125"/>
    <col customWidth="1" min="14590" max="14590" style="285" width="8.625"/>
    <col customWidth="1" min="14591" max="14591" style="285" width="10.625"/>
    <col customWidth="1" min="14592" max="14592" style="285" width="14.125"/>
    <col customWidth="1" min="14593" max="14593" style="285" width="12.625"/>
    <col min="14594" max="14597" style="285" width="9"/>
    <col customWidth="1" min="14598" max="14598" style="285" width="20.625"/>
    <col customWidth="1" min="14599" max="14599" style="285" width="30.625"/>
    <col customWidth="1" min="14600" max="14601" style="285" width="9.625"/>
    <col customWidth="1" min="14602" max="14602" style="285" width="12.625"/>
    <col min="14603" max="14840" style="285" width="9"/>
    <col customWidth="1" min="14841" max="14841" style="285" width="4.625"/>
    <col customWidth="1" min="14842" max="14842" style="285" width="18.5"/>
    <col customWidth="1" min="14843" max="14845" style="285" width="14.125"/>
    <col customWidth="1" min="14846" max="14846" style="285" width="8.625"/>
    <col customWidth="1" min="14847" max="14847" style="285" width="10.625"/>
    <col customWidth="1" min="14848" max="14848" style="285" width="14.125"/>
    <col customWidth="1" min="14849" max="14849" style="285" width="12.625"/>
    <col min="14850" max="14853" style="285" width="9"/>
    <col customWidth="1" min="14854" max="14854" style="285" width="20.625"/>
    <col customWidth="1" min="14855" max="14855" style="285" width="30.625"/>
    <col customWidth="1" min="14856" max="14857" style="285" width="9.625"/>
    <col customWidth="1" min="14858" max="14858" style="285" width="12.625"/>
    <col min="14859" max="15096" style="285" width="9"/>
    <col customWidth="1" min="15097" max="15097" style="285" width="4.625"/>
    <col customWidth="1" min="15098" max="15098" style="285" width="18.5"/>
    <col customWidth="1" min="15099" max="15101" style="285" width="14.125"/>
    <col customWidth="1" min="15102" max="15102" style="285" width="8.625"/>
    <col customWidth="1" min="15103" max="15103" style="285" width="10.625"/>
    <col customWidth="1" min="15104" max="15104" style="285" width="14.125"/>
    <col customWidth="1" min="15105" max="15105" style="285" width="12.625"/>
    <col min="15106" max="15109" style="285" width="9"/>
    <col customWidth="1" min="15110" max="15110" style="285" width="20.625"/>
    <col customWidth="1" min="15111" max="15111" style="285" width="30.625"/>
    <col customWidth="1" min="15112" max="15113" style="285" width="9.625"/>
    <col customWidth="1" min="15114" max="15114" style="285" width="12.625"/>
    <col min="15115" max="15352" style="285" width="9"/>
    <col customWidth="1" min="15353" max="15353" style="285" width="4.625"/>
    <col customWidth="1" min="15354" max="15354" style="285" width="18.5"/>
    <col customWidth="1" min="15355" max="15357" style="285" width="14.125"/>
    <col customWidth="1" min="15358" max="15358" style="285" width="8.625"/>
    <col customWidth="1" min="15359" max="15359" style="285" width="10.625"/>
    <col customWidth="1" min="15360" max="15360" style="285" width="14.125"/>
    <col customWidth="1" min="15361" max="15361" style="285" width="12.625"/>
    <col min="15362" max="15365" style="285" width="9"/>
    <col customWidth="1" min="15366" max="15366" style="285" width="20.625"/>
    <col customWidth="1" min="15367" max="15367" style="285" width="30.625"/>
    <col customWidth="1" min="15368" max="15369" style="285" width="9.625"/>
    <col customWidth="1" min="15370" max="15370" style="285" width="12.625"/>
    <col min="15371" max="15608" style="285" width="9"/>
    <col customWidth="1" min="15609" max="15609" style="285" width="4.625"/>
    <col customWidth="1" min="15610" max="15610" style="285" width="18.5"/>
    <col customWidth="1" min="15611" max="15613" style="285" width="14.125"/>
    <col customWidth="1" min="15614" max="15614" style="285" width="8.625"/>
    <col customWidth="1" min="15615" max="15615" style="285" width="10.625"/>
    <col customWidth="1" min="15616" max="15616" style="285" width="14.125"/>
    <col customWidth="1" min="15617" max="15617" style="285" width="12.625"/>
    <col min="15618" max="15621" style="285" width="9"/>
    <col customWidth="1" min="15622" max="15622" style="285" width="20.625"/>
    <col customWidth="1" min="15623" max="15623" style="285" width="30.625"/>
    <col customWidth="1" min="15624" max="15625" style="285" width="9.625"/>
    <col customWidth="1" min="15626" max="15626" style="285" width="12.625"/>
    <col min="15627" max="15864" style="285" width="9"/>
    <col customWidth="1" min="15865" max="15865" style="285" width="4.625"/>
    <col customWidth="1" min="15866" max="15866" style="285" width="18.5"/>
    <col customWidth="1" min="15867" max="15869" style="285" width="14.125"/>
    <col customWidth="1" min="15870" max="15870" style="285" width="8.625"/>
    <col customWidth="1" min="15871" max="15871" style="285" width="10.625"/>
    <col customWidth="1" min="15872" max="15872" style="285" width="14.125"/>
    <col customWidth="1" min="15873" max="15873" style="285" width="12.625"/>
    <col min="15874" max="15877" style="285" width="9"/>
    <col customWidth="1" min="15878" max="15878" style="285" width="20.625"/>
    <col customWidth="1" min="15879" max="15879" style="285" width="30.625"/>
    <col customWidth="1" min="15880" max="15881" style="285" width="9.625"/>
    <col customWidth="1" min="15882" max="15882" style="285" width="12.625"/>
    <col min="15883" max="16120" style="285" width="9"/>
    <col customWidth="1" min="16121" max="16121" style="285" width="4.625"/>
    <col customWidth="1" min="16122" max="16122" style="285" width="18.5"/>
    <col customWidth="1" min="16123" max="16125" style="285" width="14.125"/>
    <col customWidth="1" min="16126" max="16126" style="285" width="8.625"/>
    <col customWidth="1" min="16127" max="16127" style="285" width="10.625"/>
    <col customWidth="1" min="16128" max="16128" style="285" width="14.125"/>
    <col customWidth="1" min="16129" max="16129" style="285" width="12.625"/>
    <col min="16130" max="16133" style="285" width="9"/>
    <col customWidth="1" min="16134" max="16134" style="285" width="20.625"/>
    <col customWidth="1" min="16135" max="16135" style="285" width="30.625"/>
    <col customWidth="1" min="16136" max="16137" style="285" width="9.625"/>
    <col customWidth="1" min="16138" max="16138" style="285" width="12.625"/>
    <col min="16139" max="16384" style="285" width="9"/>
  </cols>
  <sheetData>
    <row r="1" ht="98.25" customHeight="1">
      <c r="B1" s="286" t="s">
        <v>402</v>
      </c>
      <c r="C1" s="286"/>
      <c r="D1" s="286"/>
      <c r="E1" s="286"/>
      <c r="F1" s="286"/>
      <c r="G1" s="286"/>
      <c r="H1" s="286"/>
      <c r="I1" s="286"/>
      <c r="J1" s="287"/>
      <c r="K1" s="287"/>
    </row>
    <row r="2" ht="20.100000000000001" customHeight="1">
      <c r="B2" s="288" t="str">
        <f>'기초 자료 입력'!B11&amp;" :"</f>
        <v xml:space="preserve">납품요구번호 :</v>
      </c>
      <c r="C2" s="289" t="str">
        <f>'기초 자료 입력'!$D$11</f>
        <v>R26TB01782064-00</v>
      </c>
      <c r="D2" s="289"/>
      <c r="E2" s="289"/>
      <c r="F2" s="289"/>
      <c r="G2" s="289"/>
      <c r="H2" s="289"/>
      <c r="I2" s="289"/>
      <c r="J2" s="288"/>
      <c r="K2" s="288"/>
    </row>
    <row r="3" ht="20.100000000000001" customHeight="1">
      <c r="B3" s="288" t="s">
        <v>403</v>
      </c>
      <c r="C3" s="290" t="str">
        <f>'기초 자료 입력'!$D$7</f>
        <v xml:space="preserve">울산공항 계류장조명등 개선공사 관급자재 구매</v>
      </c>
      <c r="D3" s="290"/>
      <c r="E3" s="290"/>
      <c r="F3" s="290"/>
      <c r="G3" s="290"/>
      <c r="H3" s="290"/>
      <c r="I3" s="290"/>
      <c r="J3" s="291"/>
      <c r="K3" s="291"/>
    </row>
    <row r="4" ht="20.100000000000001" customHeight="1">
      <c r="B4" s="288" t="s">
        <v>404</v>
      </c>
      <c r="C4" s="292">
        <f>'기초 자료 입력'!$D$9</f>
        <v>46120</v>
      </c>
      <c r="D4" s="292"/>
      <c r="E4" s="292"/>
      <c r="F4" s="292"/>
      <c r="G4" s="292"/>
      <c r="H4" s="292"/>
      <c r="I4" s="292"/>
      <c r="J4" s="293"/>
      <c r="K4" s="293"/>
    </row>
    <row r="5" ht="20.100000000000001" customHeight="1">
      <c r="B5" s="288" t="s">
        <v>405</v>
      </c>
      <c r="C5" s="292">
        <f>'기초 자료 입력'!$D$12</f>
        <v>46196</v>
      </c>
      <c r="D5" s="292"/>
      <c r="E5" s="292"/>
      <c r="F5" s="292"/>
      <c r="G5" s="292"/>
      <c r="H5" s="292"/>
      <c r="I5" s="292"/>
      <c r="J5" s="292"/>
      <c r="K5" s="292"/>
      <c r="L5" s="285"/>
    </row>
    <row r="6" ht="20.100000000000001" customHeight="1">
      <c r="B6" s="288"/>
      <c r="C6" s="288"/>
      <c r="D6" s="288"/>
      <c r="E6" s="288"/>
      <c r="F6" s="288"/>
      <c r="G6" s="288"/>
      <c r="H6" s="288"/>
      <c r="I6" s="288"/>
      <c r="J6" s="288"/>
      <c r="K6" s="288"/>
    </row>
    <row r="7" ht="20.100000000000001" customHeight="1">
      <c r="B7" s="294" t="s">
        <v>406</v>
      </c>
      <c r="C7" s="288"/>
      <c r="D7" s="288"/>
      <c r="E7" s="288"/>
      <c r="F7" s="288"/>
      <c r="G7" s="288"/>
      <c r="H7" s="288"/>
      <c r="I7" s="295"/>
      <c r="J7" s="288"/>
      <c r="K7" s="288"/>
    </row>
    <row r="8" ht="34.5" customHeight="1">
      <c r="B8" s="296" t="s">
        <v>407</v>
      </c>
      <c r="C8" s="297"/>
      <c r="D8" s="297" t="s">
        <v>3</v>
      </c>
      <c r="E8" s="297"/>
      <c r="F8" s="297"/>
      <c r="G8" s="297" t="s">
        <v>264</v>
      </c>
      <c r="H8" s="297" t="s">
        <v>380</v>
      </c>
      <c r="I8" s="298" t="s">
        <v>399</v>
      </c>
      <c r="J8" s="288"/>
      <c r="K8" s="288"/>
    </row>
    <row r="9" ht="49.5" customHeight="1">
      <c r="B9" s="299" t="str">
        <f>'기초 자료 입력'!D26</f>
        <v>ARENA-600(3000K)</v>
      </c>
      <c r="C9" s="300"/>
      <c r="D9" s="300" t="str">
        <f>'기초 자료 입력'!K26</f>
        <v xml:space="preserve"> LED투광등기구 ARENA-600(3000K) 600W  </v>
      </c>
      <c r="E9" s="300"/>
      <c r="F9" s="300"/>
      <c r="G9" s="301" t="str">
        <f>'기초 자료 입력'!F26</f>
        <v>개</v>
      </c>
      <c r="H9" s="301">
        <f>'기초 자료 입력'!G26</f>
        <v>28</v>
      </c>
      <c r="I9" s="302" t="str">
        <f>IF(B9="","","납품장소
하차도")</f>
        <v xml:space="preserve">납품장소
하차도</v>
      </c>
      <c r="J9" s="288"/>
      <c r="K9" s="288"/>
    </row>
    <row r="10" ht="49.5" customHeight="1">
      <c r="B10" s="303" t="str">
        <f>IF('기초 자료 입력'!D27="","",'기초 자료 입력'!D27)</f>
        <v>ARENA-600(3000K)</v>
      </c>
      <c r="C10" s="304"/>
      <c r="D10" s="305" t="str">
        <f>IF('기초 자료 입력'!K27="","",'기초 자료 입력'!K27)</f>
        <v xml:space="preserve"> LED투광등기구 ARENA-600(3000K) 600W  </v>
      </c>
      <c r="E10" s="306"/>
      <c r="F10" s="307"/>
      <c r="G10" s="308" t="str">
        <f>IF('기초 자료 입력'!F27="","",'기초 자료 입력'!F27)</f>
        <v>개</v>
      </c>
      <c r="H10" s="308">
        <f>IF('기초 자료 입력'!G27="","",'기초 자료 입력'!G27)</f>
        <v>28</v>
      </c>
      <c r="I10" s="309" t="str">
        <f t="shared" ref="I10:I14" si="9">IF(B10="","","납품장소
하차도")</f>
        <v xml:space="preserve">납품장소
하차도</v>
      </c>
      <c r="J10" s="288"/>
      <c r="K10" s="288"/>
    </row>
    <row r="11" ht="49.5" customHeight="1">
      <c r="B11" s="310" t="str">
        <f>IF('기초 자료 입력'!D28="","",'기초 자료 입력'!D28)</f>
        <v>ARENA-600(3000K)</v>
      </c>
      <c r="C11" s="307"/>
      <c r="D11" s="305" t="str">
        <f>IF('기초 자료 입력'!K28="","",'기초 자료 입력'!K28)</f>
        <v xml:space="preserve"> LED투광등기구 ARENA-600(3000K) 600W  </v>
      </c>
      <c r="E11" s="306"/>
      <c r="F11" s="307"/>
      <c r="G11" s="308" t="str">
        <f>IF('기초 자료 입력'!F28="","",'기초 자료 입력'!F28)</f>
        <v>개</v>
      </c>
      <c r="H11" s="308">
        <f>IF('기초 자료 입력'!G28="","",'기초 자료 입력'!G28)</f>
        <v>28</v>
      </c>
      <c r="I11" s="309" t="str">
        <f t="shared" si="9"/>
        <v xml:space="preserve">납품장소
하차도</v>
      </c>
      <c r="J11" s="288"/>
      <c r="K11" s="288"/>
    </row>
    <row r="12" ht="49.5" customHeight="1">
      <c r="B12" s="310" t="str">
        <f>IF('기초 자료 입력'!D29="","",'기초 자료 입력'!D29)</f>
        <v>ARENA-600(3000K)</v>
      </c>
      <c r="C12" s="307"/>
      <c r="D12" s="305" t="str">
        <f>IF('기초 자료 입력'!K29="","",'기초 자료 입력'!K29)</f>
        <v xml:space="preserve"> LED투광등기구 ARENA-600(3000K) 600W  </v>
      </c>
      <c r="E12" s="306"/>
      <c r="F12" s="307"/>
      <c r="G12" s="308" t="str">
        <f>IF('기초 자료 입력'!F29="","",'기초 자료 입력'!F29)</f>
        <v>개</v>
      </c>
      <c r="H12" s="308">
        <f>IF('기초 자료 입력'!G29="","",'기초 자료 입력'!G29)</f>
        <v>28</v>
      </c>
      <c r="I12" s="309" t="str">
        <f t="shared" si="9"/>
        <v xml:space="preserve">납품장소
하차도</v>
      </c>
      <c r="J12" s="288"/>
      <c r="K12" s="288"/>
    </row>
    <row r="13" ht="49.5" customHeight="1">
      <c r="B13" s="310" t="str">
        <f>IF('기초 자료 입력'!D30="","",'기초 자료 입력'!D30)</f>
        <v/>
      </c>
      <c r="C13" s="307"/>
      <c r="D13" s="305" t="str">
        <f>IF('기초 자료 입력'!K30="","",'기초 자료 입력'!K30)</f>
        <v/>
      </c>
      <c r="E13" s="306"/>
      <c r="F13" s="307"/>
      <c r="G13" s="308" t="str">
        <f>IF('기초 자료 입력'!F30="","",'기초 자료 입력'!F30)</f>
        <v/>
      </c>
      <c r="H13" s="308" t="str">
        <f>IF('기초 자료 입력'!G30="","",'기초 자료 입력'!G30)</f>
        <v/>
      </c>
      <c r="I13" s="309" t="str">
        <f t="shared" si="9"/>
        <v/>
      </c>
      <c r="J13" s="288"/>
      <c r="K13" s="288"/>
    </row>
    <row r="14" ht="49.5" customHeight="1">
      <c r="B14" s="310" t="str">
        <f>IF('기초 자료 입력'!D31="","",'기초 자료 입력'!D31)</f>
        <v/>
      </c>
      <c r="C14" s="307"/>
      <c r="D14" s="305" t="str">
        <f>IF('기초 자료 입력'!K31="","",'기초 자료 입력'!K31)</f>
        <v/>
      </c>
      <c r="E14" s="306"/>
      <c r="F14" s="307"/>
      <c r="G14" s="308" t="str">
        <f>IF('기초 자료 입력'!F31="","",'기초 자료 입력'!F31)</f>
        <v/>
      </c>
      <c r="H14" s="308" t="str">
        <f>IF('기초 자료 입력'!G31="","",'기초 자료 입력'!G31)</f>
        <v/>
      </c>
      <c r="I14" s="309" t="str">
        <f t="shared" si="9"/>
        <v/>
      </c>
      <c r="J14" s="288"/>
      <c r="K14" s="288"/>
    </row>
    <row r="15" ht="20.100000000000001" customHeight="1">
      <c r="B15" s="311"/>
      <c r="C15" s="311"/>
      <c r="D15" s="311"/>
      <c r="E15" s="311"/>
      <c r="F15" s="311"/>
      <c r="G15" s="311"/>
      <c r="H15" s="311"/>
      <c r="I15" s="311"/>
      <c r="J15" s="311"/>
      <c r="K15" s="311"/>
    </row>
    <row r="16" ht="20.100000000000001" customHeight="1">
      <c r="B16" s="311"/>
      <c r="C16" s="311"/>
      <c r="D16" s="311"/>
      <c r="E16" s="311"/>
      <c r="F16" s="311"/>
      <c r="G16" s="311"/>
      <c r="H16" s="311"/>
      <c r="I16" s="311"/>
      <c r="J16" s="311"/>
      <c r="K16" s="311"/>
    </row>
    <row r="17" ht="20.100000000000001" customHeight="1">
      <c r="B17" s="311"/>
      <c r="C17" s="311"/>
      <c r="D17" s="311"/>
      <c r="E17" s="311"/>
      <c r="F17" s="311"/>
      <c r="G17" s="311"/>
      <c r="H17" s="311"/>
      <c r="I17" s="311"/>
      <c r="J17" s="311"/>
      <c r="K17" s="311"/>
    </row>
    <row r="18" ht="20.100000000000001" customHeight="1">
      <c r="B18" s="312">
        <f>'기초 자료 입력'!D14</f>
        <v>46195</v>
      </c>
      <c r="C18" s="312"/>
      <c r="D18" s="312"/>
      <c r="E18" s="312"/>
      <c r="F18" s="312"/>
      <c r="G18" s="312"/>
      <c r="H18" s="312"/>
      <c r="I18" s="312"/>
      <c r="J18" s="313"/>
      <c r="K18" s="313"/>
    </row>
    <row r="19" ht="20.100000000000001" customHeight="1">
      <c r="B19" s="314"/>
      <c r="C19" s="314"/>
      <c r="D19" s="314"/>
      <c r="E19" s="314"/>
      <c r="F19" s="314"/>
      <c r="G19" s="314"/>
      <c r="H19" s="314"/>
      <c r="I19" s="314"/>
      <c r="J19" s="315"/>
      <c r="K19" s="315"/>
    </row>
    <row r="20" ht="20.100000000000001" customHeight="1">
      <c r="B20" s="288"/>
      <c r="C20" s="288"/>
      <c r="D20" s="288"/>
      <c r="E20" s="288"/>
      <c r="F20" s="288" t="s">
        <v>312</v>
      </c>
      <c r="G20" s="288"/>
      <c r="H20" s="288"/>
      <c r="I20" s="288"/>
      <c r="J20" s="288"/>
      <c r="K20" s="288"/>
    </row>
    <row r="21" ht="20.100000000000001" customHeight="1">
      <c r="B21" s="288"/>
      <c r="C21" s="288"/>
      <c r="D21" s="288"/>
      <c r="E21" s="288"/>
      <c r="F21" s="316" t="s">
        <v>408</v>
      </c>
      <c r="G21" s="289" t="s">
        <v>409</v>
      </c>
      <c r="H21" s="289"/>
      <c r="I21" s="289"/>
      <c r="J21" s="288"/>
      <c r="K21" s="288"/>
    </row>
    <row r="22" ht="20.100000000000001" customHeight="1">
      <c r="B22" s="288"/>
      <c r="C22" s="288"/>
      <c r="D22" s="288"/>
      <c r="E22" s="288"/>
      <c r="F22" s="316" t="s">
        <v>317</v>
      </c>
      <c r="G22" s="289" t="s">
        <v>410</v>
      </c>
      <c r="H22" s="289"/>
      <c r="I22" s="289"/>
      <c r="J22" s="288"/>
      <c r="K22" s="288"/>
    </row>
    <row r="23" ht="20.100000000000001" customHeight="1">
      <c r="B23" s="288"/>
      <c r="C23" s="288"/>
      <c r="D23" s="288"/>
      <c r="E23" s="288"/>
      <c r="F23" s="316" t="s">
        <v>320</v>
      </c>
      <c r="G23" s="289" t="s">
        <v>411</v>
      </c>
      <c r="H23" s="289"/>
      <c r="I23" s="289" t="s">
        <v>322</v>
      </c>
      <c r="J23" s="288"/>
      <c r="K23" s="288"/>
    </row>
    <row r="24" ht="20.100000000000001" customHeight="1">
      <c r="B24" s="289"/>
      <c r="C24" s="289"/>
      <c r="D24" s="289"/>
      <c r="E24" s="289"/>
      <c r="F24" s="289"/>
      <c r="G24" s="289"/>
      <c r="H24" s="289"/>
      <c r="I24" s="289"/>
      <c r="J24" s="288"/>
      <c r="K24" s="288"/>
    </row>
    <row r="25" ht="20.100000000000001" customHeight="1">
      <c r="B25" s="289"/>
      <c r="C25" s="289"/>
      <c r="D25" s="289"/>
      <c r="E25" s="289"/>
      <c r="F25" s="289"/>
      <c r="G25" s="289"/>
      <c r="H25" s="289"/>
      <c r="I25" s="289"/>
      <c r="J25" s="288"/>
      <c r="K25" s="288"/>
    </row>
    <row r="26" ht="20.100000000000001" customHeight="1">
      <c r="B26" s="289"/>
      <c r="C26" s="289"/>
      <c r="D26" s="289"/>
      <c r="E26" s="289"/>
      <c r="F26" s="289"/>
      <c r="G26" s="289"/>
      <c r="H26" s="289"/>
      <c r="I26" s="289"/>
      <c r="J26" s="288"/>
      <c r="K26" s="288"/>
    </row>
    <row r="27" ht="20.100000000000001" customHeight="1">
      <c r="B27" s="315"/>
      <c r="C27" s="315"/>
      <c r="D27" s="315"/>
      <c r="E27" s="315"/>
      <c r="F27" s="317" t="s">
        <v>412</v>
      </c>
      <c r="G27" s="317"/>
      <c r="H27" s="317"/>
      <c r="I27" s="317"/>
      <c r="J27" s="315"/>
      <c r="K27" s="315"/>
    </row>
    <row r="28" ht="20.100000000000001" customHeight="1">
      <c r="B28" s="288"/>
      <c r="C28" s="288"/>
      <c r="D28" s="288"/>
      <c r="E28" s="288"/>
      <c r="F28" s="316" t="s">
        <v>408</v>
      </c>
      <c r="G28" s="289"/>
      <c r="H28" s="289"/>
      <c r="I28" s="289"/>
      <c r="J28" s="315"/>
      <c r="K28" s="315"/>
    </row>
    <row r="29" ht="20.100000000000001" customHeight="1">
      <c r="B29" s="288"/>
      <c r="C29" s="288"/>
      <c r="D29" s="288"/>
      <c r="E29" s="288"/>
      <c r="F29" s="316" t="s">
        <v>317</v>
      </c>
      <c r="G29" s="289"/>
      <c r="H29" s="289"/>
      <c r="I29" s="289"/>
      <c r="J29" s="288"/>
      <c r="K29" s="288"/>
    </row>
    <row r="30" ht="20.100000000000001" customHeight="1">
      <c r="B30" s="288"/>
      <c r="C30" s="288"/>
      <c r="D30" s="288"/>
      <c r="E30" s="288"/>
      <c r="F30" s="316" t="s">
        <v>320</v>
      </c>
      <c r="G30" s="289"/>
      <c r="H30" s="289"/>
      <c r="I30" s="289" t="s">
        <v>322</v>
      </c>
      <c r="J30" s="288"/>
      <c r="K30" s="288"/>
    </row>
    <row r="31" ht="35.100000000000001" customHeight="1">
      <c r="B31" s="318"/>
      <c r="C31" s="318"/>
      <c r="D31" s="318"/>
      <c r="E31" s="318"/>
      <c r="F31" s="318"/>
      <c r="G31" s="318"/>
      <c r="H31" s="318"/>
      <c r="I31" s="318"/>
      <c r="L31" s="285"/>
      <c r="M31" s="285"/>
      <c r="N31" s="285"/>
      <c r="O31" s="285"/>
      <c r="P31" s="285"/>
    </row>
    <row r="32" ht="50.100000000000001" customHeight="1">
      <c r="I32" s="285"/>
      <c r="J32" s="285"/>
      <c r="K32" s="285"/>
      <c r="L32" s="285"/>
      <c r="M32" s="285"/>
      <c r="N32" s="285"/>
      <c r="O32" s="285"/>
      <c r="P32" s="285"/>
    </row>
    <row r="33" ht="50.100000000000001" customHeight="1">
      <c r="I33" s="285"/>
      <c r="J33" s="285"/>
      <c r="K33" s="285"/>
      <c r="L33" s="285"/>
      <c r="M33" s="285"/>
      <c r="N33" s="285"/>
      <c r="O33" s="285"/>
      <c r="P33" s="285"/>
    </row>
    <row r="34" ht="50.100000000000001" customHeight="1">
      <c r="L34" s="285"/>
      <c r="M34" s="285"/>
      <c r="N34" s="285"/>
      <c r="O34" s="285"/>
      <c r="P34" s="285"/>
    </row>
    <row r="35" ht="50.100000000000001" customHeight="1">
      <c r="L35" s="285"/>
      <c r="M35" s="285"/>
      <c r="N35" s="285"/>
      <c r="O35" s="285"/>
      <c r="P35" s="285"/>
    </row>
  </sheetData>
  <mergeCells count="31">
    <mergeCell ref="B1:I1"/>
    <mergeCell ref="C2:I2"/>
    <mergeCell ref="C3:I3"/>
    <mergeCell ref="C4:I4"/>
    <mergeCell ref="C5:I5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J15"/>
    <mergeCell ref="B16:J16"/>
    <mergeCell ref="B17:J17"/>
    <mergeCell ref="B18:I18"/>
    <mergeCell ref="B19:I19"/>
    <mergeCell ref="G21:I21"/>
    <mergeCell ref="G22:I22"/>
    <mergeCell ref="G23:H23"/>
    <mergeCell ref="G28:I28"/>
    <mergeCell ref="G29:I29"/>
    <mergeCell ref="G30:H30"/>
    <mergeCell ref="B31:I31"/>
  </mergeCells>
  <printOptions headings="0" gridLines="0" horizontalCentered="1"/>
  <pageMargins left="0.19685039370078738" right="0.19685039370078738" top="0.59055118110236249" bottom="0.19685039370078738" header="0.31496062992125984" footer="0.31496062992125984"/>
  <pageSetup paperSize="9" scale="86" fitToWidth="1" fitToHeight="0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8">
    <outlinePr applyStyles="0" summaryBelow="1" summaryRight="1" showOutlineSymbols="1"/>
    <pageSetUpPr autoPageBreaks="1" fitToPage="1"/>
  </sheetPr>
  <sheetViews>
    <sheetView view="pageBreakPreview" topLeftCell="A19" zoomScale="100" workbookViewId="0">
      <selection activeCell="J30" activeCellId="0" sqref="J30"/>
    </sheetView>
  </sheetViews>
  <sheetFormatPr defaultRowHeight="14.25"/>
  <cols>
    <col customWidth="1" min="1" max="1" style="319" width="6.5"/>
    <col customWidth="1" min="2" max="2" style="319" width="2.625"/>
    <col customWidth="1" min="3" max="3" style="319" width="12.125"/>
    <col customWidth="1" min="4" max="5" style="319" width="33.625"/>
    <col customWidth="1" min="6" max="6" style="319" width="2.625"/>
    <col customWidth="1" min="7" max="7" style="319" width="6.5"/>
    <col min="8" max="256" style="319" width="9"/>
    <col customWidth="1" min="257" max="257" style="319" width="6.5"/>
    <col customWidth="1" min="258" max="258" style="319" width="2.625"/>
    <col customWidth="1" min="259" max="259" style="319" width="12.125"/>
    <col customWidth="1" min="260" max="261" style="319" width="33.625"/>
    <col customWidth="1" min="262" max="262" style="319" width="2.625"/>
    <col customWidth="1" min="263" max="263" style="319" width="6.5"/>
    <col min="264" max="512" style="319" width="9"/>
    <col customWidth="1" min="513" max="513" style="319" width="6.5"/>
    <col customWidth="1" min="514" max="514" style="319" width="2.625"/>
    <col customWidth="1" min="515" max="515" style="319" width="12.125"/>
    <col customWidth="1" min="516" max="517" style="319" width="33.625"/>
    <col customWidth="1" min="518" max="518" style="319" width="2.625"/>
    <col customWidth="1" min="519" max="519" style="319" width="6.5"/>
    <col min="520" max="768" style="319" width="9"/>
    <col customWidth="1" min="769" max="769" style="319" width="6.5"/>
    <col customWidth="1" min="770" max="770" style="319" width="2.625"/>
    <col customWidth="1" min="771" max="771" style="319" width="12.125"/>
    <col customWidth="1" min="772" max="773" style="319" width="33.625"/>
    <col customWidth="1" min="774" max="774" style="319" width="2.625"/>
    <col customWidth="1" min="775" max="775" style="319" width="6.5"/>
    <col min="776" max="1024" style="319" width="9"/>
    <col customWidth="1" min="1025" max="1025" style="319" width="6.5"/>
    <col customWidth="1" min="1026" max="1026" style="319" width="2.625"/>
    <col customWidth="1" min="1027" max="1027" style="319" width="12.125"/>
    <col customWidth="1" min="1028" max="1029" style="319" width="33.625"/>
    <col customWidth="1" min="1030" max="1030" style="319" width="2.625"/>
    <col customWidth="1" min="1031" max="1031" style="319" width="6.5"/>
    <col min="1032" max="1280" style="319" width="9"/>
    <col customWidth="1" min="1281" max="1281" style="319" width="6.5"/>
    <col customWidth="1" min="1282" max="1282" style="319" width="2.625"/>
    <col customWidth="1" min="1283" max="1283" style="319" width="12.125"/>
    <col customWidth="1" min="1284" max="1285" style="319" width="33.625"/>
    <col customWidth="1" min="1286" max="1286" style="319" width="2.625"/>
    <col customWidth="1" min="1287" max="1287" style="319" width="6.5"/>
    <col min="1288" max="1536" style="319" width="9"/>
    <col customWidth="1" min="1537" max="1537" style="319" width="6.5"/>
    <col customWidth="1" min="1538" max="1538" style="319" width="2.625"/>
    <col customWidth="1" min="1539" max="1539" style="319" width="12.125"/>
    <col customWidth="1" min="1540" max="1541" style="319" width="33.625"/>
    <col customWidth="1" min="1542" max="1542" style="319" width="2.625"/>
    <col customWidth="1" min="1543" max="1543" style="319" width="6.5"/>
    <col min="1544" max="1792" style="319" width="9"/>
    <col customWidth="1" min="1793" max="1793" style="319" width="6.5"/>
    <col customWidth="1" min="1794" max="1794" style="319" width="2.625"/>
    <col customWidth="1" min="1795" max="1795" style="319" width="12.125"/>
    <col customWidth="1" min="1796" max="1797" style="319" width="33.625"/>
    <col customWidth="1" min="1798" max="1798" style="319" width="2.625"/>
    <col customWidth="1" min="1799" max="1799" style="319" width="6.5"/>
    <col min="1800" max="2048" style="319" width="9"/>
    <col customWidth="1" min="2049" max="2049" style="319" width="6.5"/>
    <col customWidth="1" min="2050" max="2050" style="319" width="2.625"/>
    <col customWidth="1" min="2051" max="2051" style="319" width="12.125"/>
    <col customWidth="1" min="2052" max="2053" style="319" width="33.625"/>
    <col customWidth="1" min="2054" max="2054" style="319" width="2.625"/>
    <col customWidth="1" min="2055" max="2055" style="319" width="6.5"/>
    <col min="2056" max="2304" style="319" width="9"/>
    <col customWidth="1" min="2305" max="2305" style="319" width="6.5"/>
    <col customWidth="1" min="2306" max="2306" style="319" width="2.625"/>
    <col customWidth="1" min="2307" max="2307" style="319" width="12.125"/>
    <col customWidth="1" min="2308" max="2309" style="319" width="33.625"/>
    <col customWidth="1" min="2310" max="2310" style="319" width="2.625"/>
    <col customWidth="1" min="2311" max="2311" style="319" width="6.5"/>
    <col min="2312" max="2560" style="319" width="9"/>
    <col customWidth="1" min="2561" max="2561" style="319" width="6.5"/>
    <col customWidth="1" min="2562" max="2562" style="319" width="2.625"/>
    <col customWidth="1" min="2563" max="2563" style="319" width="12.125"/>
    <col customWidth="1" min="2564" max="2565" style="319" width="33.625"/>
    <col customWidth="1" min="2566" max="2566" style="319" width="2.625"/>
    <col customWidth="1" min="2567" max="2567" style="319" width="6.5"/>
    <col min="2568" max="2816" style="319" width="9"/>
    <col customWidth="1" min="2817" max="2817" style="319" width="6.5"/>
    <col customWidth="1" min="2818" max="2818" style="319" width="2.625"/>
    <col customWidth="1" min="2819" max="2819" style="319" width="12.125"/>
    <col customWidth="1" min="2820" max="2821" style="319" width="33.625"/>
    <col customWidth="1" min="2822" max="2822" style="319" width="2.625"/>
    <col customWidth="1" min="2823" max="2823" style="319" width="6.5"/>
    <col min="2824" max="3072" style="319" width="9"/>
    <col customWidth="1" min="3073" max="3073" style="319" width="6.5"/>
    <col customWidth="1" min="3074" max="3074" style="319" width="2.625"/>
    <col customWidth="1" min="3075" max="3075" style="319" width="12.125"/>
    <col customWidth="1" min="3076" max="3077" style="319" width="33.625"/>
    <col customWidth="1" min="3078" max="3078" style="319" width="2.625"/>
    <col customWidth="1" min="3079" max="3079" style="319" width="6.5"/>
    <col min="3080" max="3328" style="319" width="9"/>
    <col customWidth="1" min="3329" max="3329" style="319" width="6.5"/>
    <col customWidth="1" min="3330" max="3330" style="319" width="2.625"/>
    <col customWidth="1" min="3331" max="3331" style="319" width="12.125"/>
    <col customWidth="1" min="3332" max="3333" style="319" width="33.625"/>
    <col customWidth="1" min="3334" max="3334" style="319" width="2.625"/>
    <col customWidth="1" min="3335" max="3335" style="319" width="6.5"/>
    <col min="3336" max="3584" style="319" width="9"/>
    <col customWidth="1" min="3585" max="3585" style="319" width="6.5"/>
    <col customWidth="1" min="3586" max="3586" style="319" width="2.625"/>
    <col customWidth="1" min="3587" max="3587" style="319" width="12.125"/>
    <col customWidth="1" min="3588" max="3589" style="319" width="33.625"/>
    <col customWidth="1" min="3590" max="3590" style="319" width="2.625"/>
    <col customWidth="1" min="3591" max="3591" style="319" width="6.5"/>
    <col min="3592" max="3840" style="319" width="9"/>
    <col customWidth="1" min="3841" max="3841" style="319" width="6.5"/>
    <col customWidth="1" min="3842" max="3842" style="319" width="2.625"/>
    <col customWidth="1" min="3843" max="3843" style="319" width="12.125"/>
    <col customWidth="1" min="3844" max="3845" style="319" width="33.625"/>
    <col customWidth="1" min="3846" max="3846" style="319" width="2.625"/>
    <col customWidth="1" min="3847" max="3847" style="319" width="6.5"/>
    <col min="3848" max="4096" style="319" width="9"/>
    <col customWidth="1" min="4097" max="4097" style="319" width="6.5"/>
    <col customWidth="1" min="4098" max="4098" style="319" width="2.625"/>
    <col customWidth="1" min="4099" max="4099" style="319" width="12.125"/>
    <col customWidth="1" min="4100" max="4101" style="319" width="33.625"/>
    <col customWidth="1" min="4102" max="4102" style="319" width="2.625"/>
    <col customWidth="1" min="4103" max="4103" style="319" width="6.5"/>
    <col min="4104" max="4352" style="319" width="9"/>
    <col customWidth="1" min="4353" max="4353" style="319" width="6.5"/>
    <col customWidth="1" min="4354" max="4354" style="319" width="2.625"/>
    <col customWidth="1" min="4355" max="4355" style="319" width="12.125"/>
    <col customWidth="1" min="4356" max="4357" style="319" width="33.625"/>
    <col customWidth="1" min="4358" max="4358" style="319" width="2.625"/>
    <col customWidth="1" min="4359" max="4359" style="319" width="6.5"/>
    <col min="4360" max="4608" style="319" width="9"/>
    <col customWidth="1" min="4609" max="4609" style="319" width="6.5"/>
    <col customWidth="1" min="4610" max="4610" style="319" width="2.625"/>
    <col customWidth="1" min="4611" max="4611" style="319" width="12.125"/>
    <col customWidth="1" min="4612" max="4613" style="319" width="33.625"/>
    <col customWidth="1" min="4614" max="4614" style="319" width="2.625"/>
    <col customWidth="1" min="4615" max="4615" style="319" width="6.5"/>
    <col min="4616" max="4864" style="319" width="9"/>
    <col customWidth="1" min="4865" max="4865" style="319" width="6.5"/>
    <col customWidth="1" min="4866" max="4866" style="319" width="2.625"/>
    <col customWidth="1" min="4867" max="4867" style="319" width="12.125"/>
    <col customWidth="1" min="4868" max="4869" style="319" width="33.625"/>
    <col customWidth="1" min="4870" max="4870" style="319" width="2.625"/>
    <col customWidth="1" min="4871" max="4871" style="319" width="6.5"/>
    <col min="4872" max="5120" style="319" width="9"/>
    <col customWidth="1" min="5121" max="5121" style="319" width="6.5"/>
    <col customWidth="1" min="5122" max="5122" style="319" width="2.625"/>
    <col customWidth="1" min="5123" max="5123" style="319" width="12.125"/>
    <col customWidth="1" min="5124" max="5125" style="319" width="33.625"/>
    <col customWidth="1" min="5126" max="5126" style="319" width="2.625"/>
    <col customWidth="1" min="5127" max="5127" style="319" width="6.5"/>
    <col min="5128" max="5376" style="319" width="9"/>
    <col customWidth="1" min="5377" max="5377" style="319" width="6.5"/>
    <col customWidth="1" min="5378" max="5378" style="319" width="2.625"/>
    <col customWidth="1" min="5379" max="5379" style="319" width="12.125"/>
    <col customWidth="1" min="5380" max="5381" style="319" width="33.625"/>
    <col customWidth="1" min="5382" max="5382" style="319" width="2.625"/>
    <col customWidth="1" min="5383" max="5383" style="319" width="6.5"/>
    <col min="5384" max="5632" style="319" width="9"/>
    <col customWidth="1" min="5633" max="5633" style="319" width="6.5"/>
    <col customWidth="1" min="5634" max="5634" style="319" width="2.625"/>
    <col customWidth="1" min="5635" max="5635" style="319" width="12.125"/>
    <col customWidth="1" min="5636" max="5637" style="319" width="33.625"/>
    <col customWidth="1" min="5638" max="5638" style="319" width="2.625"/>
    <col customWidth="1" min="5639" max="5639" style="319" width="6.5"/>
    <col min="5640" max="5888" style="319" width="9"/>
    <col customWidth="1" min="5889" max="5889" style="319" width="6.5"/>
    <col customWidth="1" min="5890" max="5890" style="319" width="2.625"/>
    <col customWidth="1" min="5891" max="5891" style="319" width="12.125"/>
    <col customWidth="1" min="5892" max="5893" style="319" width="33.625"/>
    <col customWidth="1" min="5894" max="5894" style="319" width="2.625"/>
    <col customWidth="1" min="5895" max="5895" style="319" width="6.5"/>
    <col min="5896" max="6144" style="319" width="9"/>
    <col customWidth="1" min="6145" max="6145" style="319" width="6.5"/>
    <col customWidth="1" min="6146" max="6146" style="319" width="2.625"/>
    <col customWidth="1" min="6147" max="6147" style="319" width="12.125"/>
    <col customWidth="1" min="6148" max="6149" style="319" width="33.625"/>
    <col customWidth="1" min="6150" max="6150" style="319" width="2.625"/>
    <col customWidth="1" min="6151" max="6151" style="319" width="6.5"/>
    <col min="6152" max="6400" style="319" width="9"/>
    <col customWidth="1" min="6401" max="6401" style="319" width="6.5"/>
    <col customWidth="1" min="6402" max="6402" style="319" width="2.625"/>
    <col customWidth="1" min="6403" max="6403" style="319" width="12.125"/>
    <col customWidth="1" min="6404" max="6405" style="319" width="33.625"/>
    <col customWidth="1" min="6406" max="6406" style="319" width="2.625"/>
    <col customWidth="1" min="6407" max="6407" style="319" width="6.5"/>
    <col min="6408" max="6656" style="319" width="9"/>
    <col customWidth="1" min="6657" max="6657" style="319" width="6.5"/>
    <col customWidth="1" min="6658" max="6658" style="319" width="2.625"/>
    <col customWidth="1" min="6659" max="6659" style="319" width="12.125"/>
    <col customWidth="1" min="6660" max="6661" style="319" width="33.625"/>
    <col customWidth="1" min="6662" max="6662" style="319" width="2.625"/>
    <col customWidth="1" min="6663" max="6663" style="319" width="6.5"/>
    <col min="6664" max="6912" style="319" width="9"/>
    <col customWidth="1" min="6913" max="6913" style="319" width="6.5"/>
    <col customWidth="1" min="6914" max="6914" style="319" width="2.625"/>
    <col customWidth="1" min="6915" max="6915" style="319" width="12.125"/>
    <col customWidth="1" min="6916" max="6917" style="319" width="33.625"/>
    <col customWidth="1" min="6918" max="6918" style="319" width="2.625"/>
    <col customWidth="1" min="6919" max="6919" style="319" width="6.5"/>
    <col min="6920" max="7168" style="319" width="9"/>
    <col customWidth="1" min="7169" max="7169" style="319" width="6.5"/>
    <col customWidth="1" min="7170" max="7170" style="319" width="2.625"/>
    <col customWidth="1" min="7171" max="7171" style="319" width="12.125"/>
    <col customWidth="1" min="7172" max="7173" style="319" width="33.625"/>
    <col customWidth="1" min="7174" max="7174" style="319" width="2.625"/>
    <col customWidth="1" min="7175" max="7175" style="319" width="6.5"/>
    <col min="7176" max="7424" style="319" width="9"/>
    <col customWidth="1" min="7425" max="7425" style="319" width="6.5"/>
    <col customWidth="1" min="7426" max="7426" style="319" width="2.625"/>
    <col customWidth="1" min="7427" max="7427" style="319" width="12.125"/>
    <col customWidth="1" min="7428" max="7429" style="319" width="33.625"/>
    <col customWidth="1" min="7430" max="7430" style="319" width="2.625"/>
    <col customWidth="1" min="7431" max="7431" style="319" width="6.5"/>
    <col min="7432" max="7680" style="319" width="9"/>
    <col customWidth="1" min="7681" max="7681" style="319" width="6.5"/>
    <col customWidth="1" min="7682" max="7682" style="319" width="2.625"/>
    <col customWidth="1" min="7683" max="7683" style="319" width="12.125"/>
    <col customWidth="1" min="7684" max="7685" style="319" width="33.625"/>
    <col customWidth="1" min="7686" max="7686" style="319" width="2.625"/>
    <col customWidth="1" min="7687" max="7687" style="319" width="6.5"/>
    <col min="7688" max="7936" style="319" width="9"/>
    <col customWidth="1" min="7937" max="7937" style="319" width="6.5"/>
    <col customWidth="1" min="7938" max="7938" style="319" width="2.625"/>
    <col customWidth="1" min="7939" max="7939" style="319" width="12.125"/>
    <col customWidth="1" min="7940" max="7941" style="319" width="33.625"/>
    <col customWidth="1" min="7942" max="7942" style="319" width="2.625"/>
    <col customWidth="1" min="7943" max="7943" style="319" width="6.5"/>
    <col min="7944" max="8192" style="319" width="9"/>
    <col customWidth="1" min="8193" max="8193" style="319" width="6.5"/>
    <col customWidth="1" min="8194" max="8194" style="319" width="2.625"/>
    <col customWidth="1" min="8195" max="8195" style="319" width="12.125"/>
    <col customWidth="1" min="8196" max="8197" style="319" width="33.625"/>
    <col customWidth="1" min="8198" max="8198" style="319" width="2.625"/>
    <col customWidth="1" min="8199" max="8199" style="319" width="6.5"/>
    <col min="8200" max="8448" style="319" width="9"/>
    <col customWidth="1" min="8449" max="8449" style="319" width="6.5"/>
    <col customWidth="1" min="8450" max="8450" style="319" width="2.625"/>
    <col customWidth="1" min="8451" max="8451" style="319" width="12.125"/>
    <col customWidth="1" min="8452" max="8453" style="319" width="33.625"/>
    <col customWidth="1" min="8454" max="8454" style="319" width="2.625"/>
    <col customWidth="1" min="8455" max="8455" style="319" width="6.5"/>
    <col min="8456" max="8704" style="319" width="9"/>
    <col customWidth="1" min="8705" max="8705" style="319" width="6.5"/>
    <col customWidth="1" min="8706" max="8706" style="319" width="2.625"/>
    <col customWidth="1" min="8707" max="8707" style="319" width="12.125"/>
    <col customWidth="1" min="8708" max="8709" style="319" width="33.625"/>
    <col customWidth="1" min="8710" max="8710" style="319" width="2.625"/>
    <col customWidth="1" min="8711" max="8711" style="319" width="6.5"/>
    <col min="8712" max="8960" style="319" width="9"/>
    <col customWidth="1" min="8961" max="8961" style="319" width="6.5"/>
    <col customWidth="1" min="8962" max="8962" style="319" width="2.625"/>
    <col customWidth="1" min="8963" max="8963" style="319" width="12.125"/>
    <col customWidth="1" min="8964" max="8965" style="319" width="33.625"/>
    <col customWidth="1" min="8966" max="8966" style="319" width="2.625"/>
    <col customWidth="1" min="8967" max="8967" style="319" width="6.5"/>
    <col min="8968" max="9216" style="319" width="9"/>
    <col customWidth="1" min="9217" max="9217" style="319" width="6.5"/>
    <col customWidth="1" min="9218" max="9218" style="319" width="2.625"/>
    <col customWidth="1" min="9219" max="9219" style="319" width="12.125"/>
    <col customWidth="1" min="9220" max="9221" style="319" width="33.625"/>
    <col customWidth="1" min="9222" max="9222" style="319" width="2.625"/>
    <col customWidth="1" min="9223" max="9223" style="319" width="6.5"/>
    <col min="9224" max="9472" style="319" width="9"/>
    <col customWidth="1" min="9473" max="9473" style="319" width="6.5"/>
    <col customWidth="1" min="9474" max="9474" style="319" width="2.625"/>
    <col customWidth="1" min="9475" max="9475" style="319" width="12.125"/>
    <col customWidth="1" min="9476" max="9477" style="319" width="33.625"/>
    <col customWidth="1" min="9478" max="9478" style="319" width="2.625"/>
    <col customWidth="1" min="9479" max="9479" style="319" width="6.5"/>
    <col min="9480" max="9728" style="319" width="9"/>
    <col customWidth="1" min="9729" max="9729" style="319" width="6.5"/>
    <col customWidth="1" min="9730" max="9730" style="319" width="2.625"/>
    <col customWidth="1" min="9731" max="9731" style="319" width="12.125"/>
    <col customWidth="1" min="9732" max="9733" style="319" width="33.625"/>
    <col customWidth="1" min="9734" max="9734" style="319" width="2.625"/>
    <col customWidth="1" min="9735" max="9735" style="319" width="6.5"/>
    <col min="9736" max="9984" style="319" width="9"/>
    <col customWidth="1" min="9985" max="9985" style="319" width="6.5"/>
    <col customWidth="1" min="9986" max="9986" style="319" width="2.625"/>
    <col customWidth="1" min="9987" max="9987" style="319" width="12.125"/>
    <col customWidth="1" min="9988" max="9989" style="319" width="33.625"/>
    <col customWidth="1" min="9990" max="9990" style="319" width="2.625"/>
    <col customWidth="1" min="9991" max="9991" style="319" width="6.5"/>
    <col min="9992" max="10240" style="319" width="9"/>
    <col customWidth="1" min="10241" max="10241" style="319" width="6.5"/>
    <col customWidth="1" min="10242" max="10242" style="319" width="2.625"/>
    <col customWidth="1" min="10243" max="10243" style="319" width="12.125"/>
    <col customWidth="1" min="10244" max="10245" style="319" width="33.625"/>
    <col customWidth="1" min="10246" max="10246" style="319" width="2.625"/>
    <col customWidth="1" min="10247" max="10247" style="319" width="6.5"/>
    <col min="10248" max="10496" style="319" width="9"/>
    <col customWidth="1" min="10497" max="10497" style="319" width="6.5"/>
    <col customWidth="1" min="10498" max="10498" style="319" width="2.625"/>
    <col customWidth="1" min="10499" max="10499" style="319" width="12.125"/>
    <col customWidth="1" min="10500" max="10501" style="319" width="33.625"/>
    <col customWidth="1" min="10502" max="10502" style="319" width="2.625"/>
    <col customWidth="1" min="10503" max="10503" style="319" width="6.5"/>
    <col min="10504" max="10752" style="319" width="9"/>
    <col customWidth="1" min="10753" max="10753" style="319" width="6.5"/>
    <col customWidth="1" min="10754" max="10754" style="319" width="2.625"/>
    <col customWidth="1" min="10755" max="10755" style="319" width="12.125"/>
    <col customWidth="1" min="10756" max="10757" style="319" width="33.625"/>
    <col customWidth="1" min="10758" max="10758" style="319" width="2.625"/>
    <col customWidth="1" min="10759" max="10759" style="319" width="6.5"/>
    <col min="10760" max="11008" style="319" width="9"/>
    <col customWidth="1" min="11009" max="11009" style="319" width="6.5"/>
    <col customWidth="1" min="11010" max="11010" style="319" width="2.625"/>
    <col customWidth="1" min="11011" max="11011" style="319" width="12.125"/>
    <col customWidth="1" min="11012" max="11013" style="319" width="33.625"/>
    <col customWidth="1" min="11014" max="11014" style="319" width="2.625"/>
    <col customWidth="1" min="11015" max="11015" style="319" width="6.5"/>
    <col min="11016" max="11264" style="319" width="9"/>
    <col customWidth="1" min="11265" max="11265" style="319" width="6.5"/>
    <col customWidth="1" min="11266" max="11266" style="319" width="2.625"/>
    <col customWidth="1" min="11267" max="11267" style="319" width="12.125"/>
    <col customWidth="1" min="11268" max="11269" style="319" width="33.625"/>
    <col customWidth="1" min="11270" max="11270" style="319" width="2.625"/>
    <col customWidth="1" min="11271" max="11271" style="319" width="6.5"/>
    <col min="11272" max="11520" style="319" width="9"/>
    <col customWidth="1" min="11521" max="11521" style="319" width="6.5"/>
    <col customWidth="1" min="11522" max="11522" style="319" width="2.625"/>
    <col customWidth="1" min="11523" max="11523" style="319" width="12.125"/>
    <col customWidth="1" min="11524" max="11525" style="319" width="33.625"/>
    <col customWidth="1" min="11526" max="11526" style="319" width="2.625"/>
    <col customWidth="1" min="11527" max="11527" style="319" width="6.5"/>
    <col min="11528" max="11776" style="319" width="9"/>
    <col customWidth="1" min="11777" max="11777" style="319" width="6.5"/>
    <col customWidth="1" min="11778" max="11778" style="319" width="2.625"/>
    <col customWidth="1" min="11779" max="11779" style="319" width="12.125"/>
    <col customWidth="1" min="11780" max="11781" style="319" width="33.625"/>
    <col customWidth="1" min="11782" max="11782" style="319" width="2.625"/>
    <col customWidth="1" min="11783" max="11783" style="319" width="6.5"/>
    <col min="11784" max="12032" style="319" width="9"/>
    <col customWidth="1" min="12033" max="12033" style="319" width="6.5"/>
    <col customWidth="1" min="12034" max="12034" style="319" width="2.625"/>
    <col customWidth="1" min="12035" max="12035" style="319" width="12.125"/>
    <col customWidth="1" min="12036" max="12037" style="319" width="33.625"/>
    <col customWidth="1" min="12038" max="12038" style="319" width="2.625"/>
    <col customWidth="1" min="12039" max="12039" style="319" width="6.5"/>
    <col min="12040" max="12288" style="319" width="9"/>
    <col customWidth="1" min="12289" max="12289" style="319" width="6.5"/>
    <col customWidth="1" min="12290" max="12290" style="319" width="2.625"/>
    <col customWidth="1" min="12291" max="12291" style="319" width="12.125"/>
    <col customWidth="1" min="12292" max="12293" style="319" width="33.625"/>
    <col customWidth="1" min="12294" max="12294" style="319" width="2.625"/>
    <col customWidth="1" min="12295" max="12295" style="319" width="6.5"/>
    <col min="12296" max="12544" style="319" width="9"/>
    <col customWidth="1" min="12545" max="12545" style="319" width="6.5"/>
    <col customWidth="1" min="12546" max="12546" style="319" width="2.625"/>
    <col customWidth="1" min="12547" max="12547" style="319" width="12.125"/>
    <col customWidth="1" min="12548" max="12549" style="319" width="33.625"/>
    <col customWidth="1" min="12550" max="12550" style="319" width="2.625"/>
    <col customWidth="1" min="12551" max="12551" style="319" width="6.5"/>
    <col min="12552" max="12800" style="319" width="9"/>
    <col customWidth="1" min="12801" max="12801" style="319" width="6.5"/>
    <col customWidth="1" min="12802" max="12802" style="319" width="2.625"/>
    <col customWidth="1" min="12803" max="12803" style="319" width="12.125"/>
    <col customWidth="1" min="12804" max="12805" style="319" width="33.625"/>
    <col customWidth="1" min="12806" max="12806" style="319" width="2.625"/>
    <col customWidth="1" min="12807" max="12807" style="319" width="6.5"/>
    <col min="12808" max="13056" style="319" width="9"/>
    <col customWidth="1" min="13057" max="13057" style="319" width="6.5"/>
    <col customWidth="1" min="13058" max="13058" style="319" width="2.625"/>
    <col customWidth="1" min="13059" max="13059" style="319" width="12.125"/>
    <col customWidth="1" min="13060" max="13061" style="319" width="33.625"/>
    <col customWidth="1" min="13062" max="13062" style="319" width="2.625"/>
    <col customWidth="1" min="13063" max="13063" style="319" width="6.5"/>
    <col min="13064" max="13312" style="319" width="9"/>
    <col customWidth="1" min="13313" max="13313" style="319" width="6.5"/>
    <col customWidth="1" min="13314" max="13314" style="319" width="2.625"/>
    <col customWidth="1" min="13315" max="13315" style="319" width="12.125"/>
    <col customWidth="1" min="13316" max="13317" style="319" width="33.625"/>
    <col customWidth="1" min="13318" max="13318" style="319" width="2.625"/>
    <col customWidth="1" min="13319" max="13319" style="319" width="6.5"/>
    <col min="13320" max="13568" style="319" width="9"/>
    <col customWidth="1" min="13569" max="13569" style="319" width="6.5"/>
    <col customWidth="1" min="13570" max="13570" style="319" width="2.625"/>
    <col customWidth="1" min="13571" max="13571" style="319" width="12.125"/>
    <col customWidth="1" min="13572" max="13573" style="319" width="33.625"/>
    <col customWidth="1" min="13574" max="13574" style="319" width="2.625"/>
    <col customWidth="1" min="13575" max="13575" style="319" width="6.5"/>
    <col min="13576" max="13824" style="319" width="9"/>
    <col customWidth="1" min="13825" max="13825" style="319" width="6.5"/>
    <col customWidth="1" min="13826" max="13826" style="319" width="2.625"/>
    <col customWidth="1" min="13827" max="13827" style="319" width="12.125"/>
    <col customWidth="1" min="13828" max="13829" style="319" width="33.625"/>
    <col customWidth="1" min="13830" max="13830" style="319" width="2.625"/>
    <col customWidth="1" min="13831" max="13831" style="319" width="6.5"/>
    <col min="13832" max="14080" style="319" width="9"/>
    <col customWidth="1" min="14081" max="14081" style="319" width="6.5"/>
    <col customWidth="1" min="14082" max="14082" style="319" width="2.625"/>
    <col customWidth="1" min="14083" max="14083" style="319" width="12.125"/>
    <col customWidth="1" min="14084" max="14085" style="319" width="33.625"/>
    <col customWidth="1" min="14086" max="14086" style="319" width="2.625"/>
    <col customWidth="1" min="14087" max="14087" style="319" width="6.5"/>
    <col min="14088" max="14336" style="319" width="9"/>
    <col customWidth="1" min="14337" max="14337" style="319" width="6.5"/>
    <col customWidth="1" min="14338" max="14338" style="319" width="2.625"/>
    <col customWidth="1" min="14339" max="14339" style="319" width="12.125"/>
    <col customWidth="1" min="14340" max="14341" style="319" width="33.625"/>
    <col customWidth="1" min="14342" max="14342" style="319" width="2.625"/>
    <col customWidth="1" min="14343" max="14343" style="319" width="6.5"/>
    <col min="14344" max="14592" style="319" width="9"/>
    <col customWidth="1" min="14593" max="14593" style="319" width="6.5"/>
    <col customWidth="1" min="14594" max="14594" style="319" width="2.625"/>
    <col customWidth="1" min="14595" max="14595" style="319" width="12.125"/>
    <col customWidth="1" min="14596" max="14597" style="319" width="33.625"/>
    <col customWidth="1" min="14598" max="14598" style="319" width="2.625"/>
    <col customWidth="1" min="14599" max="14599" style="319" width="6.5"/>
    <col min="14600" max="14848" style="319" width="9"/>
    <col customWidth="1" min="14849" max="14849" style="319" width="6.5"/>
    <col customWidth="1" min="14850" max="14850" style="319" width="2.625"/>
    <col customWidth="1" min="14851" max="14851" style="319" width="12.125"/>
    <col customWidth="1" min="14852" max="14853" style="319" width="33.625"/>
    <col customWidth="1" min="14854" max="14854" style="319" width="2.625"/>
    <col customWidth="1" min="14855" max="14855" style="319" width="6.5"/>
    <col min="14856" max="15104" style="319" width="9"/>
    <col customWidth="1" min="15105" max="15105" style="319" width="6.5"/>
    <col customWidth="1" min="15106" max="15106" style="319" width="2.625"/>
    <col customWidth="1" min="15107" max="15107" style="319" width="12.125"/>
    <col customWidth="1" min="15108" max="15109" style="319" width="33.625"/>
    <col customWidth="1" min="15110" max="15110" style="319" width="2.625"/>
    <col customWidth="1" min="15111" max="15111" style="319" width="6.5"/>
    <col min="15112" max="15360" style="319" width="9"/>
    <col customWidth="1" min="15361" max="15361" style="319" width="6.5"/>
    <col customWidth="1" min="15362" max="15362" style="319" width="2.625"/>
    <col customWidth="1" min="15363" max="15363" style="319" width="12.125"/>
    <col customWidth="1" min="15364" max="15365" style="319" width="33.625"/>
    <col customWidth="1" min="15366" max="15366" style="319" width="2.625"/>
    <col customWidth="1" min="15367" max="15367" style="319" width="6.5"/>
    <col min="15368" max="15616" style="319" width="9"/>
    <col customWidth="1" min="15617" max="15617" style="319" width="6.5"/>
    <col customWidth="1" min="15618" max="15618" style="319" width="2.625"/>
    <col customWidth="1" min="15619" max="15619" style="319" width="12.125"/>
    <col customWidth="1" min="15620" max="15621" style="319" width="33.625"/>
    <col customWidth="1" min="15622" max="15622" style="319" width="2.625"/>
    <col customWidth="1" min="15623" max="15623" style="319" width="6.5"/>
    <col min="15624" max="15872" style="319" width="9"/>
    <col customWidth="1" min="15873" max="15873" style="319" width="6.5"/>
    <col customWidth="1" min="15874" max="15874" style="319" width="2.625"/>
    <col customWidth="1" min="15875" max="15875" style="319" width="12.125"/>
    <col customWidth="1" min="15876" max="15877" style="319" width="33.625"/>
    <col customWidth="1" min="15878" max="15878" style="319" width="2.625"/>
    <col customWidth="1" min="15879" max="15879" style="319" width="6.5"/>
    <col min="15880" max="16128" style="319" width="9"/>
    <col customWidth="1" min="16129" max="16129" style="319" width="6.5"/>
    <col customWidth="1" min="16130" max="16130" style="319" width="2.625"/>
    <col customWidth="1" min="16131" max="16131" style="319" width="12.125"/>
    <col customWidth="1" min="16132" max="16133" style="319" width="33.625"/>
    <col customWidth="1" min="16134" max="16134" style="319" width="2.625"/>
    <col customWidth="1" min="16135" max="16135" style="319" width="6.5"/>
    <col min="16136" max="16384" style="319" width="9"/>
  </cols>
  <sheetData>
    <row r="1" s="320" customFormat="1" ht="47.25" customHeight="1">
      <c r="A1" s="321" t="s">
        <v>413</v>
      </c>
      <c r="B1" s="321"/>
      <c r="C1" s="321"/>
      <c r="D1" s="321"/>
      <c r="E1" s="321"/>
      <c r="F1" s="321"/>
      <c r="G1" s="321"/>
      <c r="H1" s="322"/>
      <c r="I1" s="322" t="s">
        <v>414</v>
      </c>
      <c r="J1" s="322"/>
      <c r="K1" s="322"/>
      <c r="L1" s="322"/>
      <c r="M1" s="322"/>
      <c r="N1" s="322"/>
      <c r="O1" s="322"/>
      <c r="P1" s="322"/>
      <c r="Q1" s="322"/>
      <c r="R1" s="322"/>
      <c r="S1" s="322"/>
    </row>
    <row r="2" s="323" customFormat="1" ht="105.75" customHeight="1">
      <c r="A2" s="321"/>
      <c r="B2" s="321"/>
      <c r="C2" s="321"/>
      <c r="D2" s="321"/>
      <c r="E2" s="321"/>
      <c r="F2" s="321"/>
      <c r="G2" s="321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</row>
    <row r="3" s="323" customFormat="1" ht="24.949999999999999" customHeight="1">
      <c r="A3" s="325"/>
      <c r="B3" s="326"/>
      <c r="C3" s="326"/>
      <c r="D3" s="327"/>
      <c r="E3" s="327"/>
      <c r="F3" s="327"/>
      <c r="G3" s="325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</row>
    <row r="4" s="323" customFormat="1" ht="24.949999999999999" customHeight="1">
      <c r="A4" s="328" t="str">
        <f>'기초 자료 입력'!$D$7</f>
        <v xml:space="preserve">울산공항 계류장조명등 개선공사 관급자재 구매</v>
      </c>
      <c r="B4" s="328"/>
      <c r="C4" s="328"/>
      <c r="D4" s="328"/>
      <c r="E4" s="328"/>
      <c r="F4" s="328"/>
      <c r="G4" s="328"/>
      <c r="H4" s="324"/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</row>
    <row r="5" s="320" customFormat="1" ht="10.5" customHeight="1">
      <c r="A5" s="328"/>
      <c r="B5" s="328"/>
      <c r="C5" s="328"/>
      <c r="D5" s="328"/>
      <c r="E5" s="328"/>
      <c r="F5" s="328"/>
      <c r="G5" s="328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</row>
    <row r="6" s="320" customFormat="1" ht="14.1" customHeight="1">
      <c r="A6" s="328"/>
      <c r="B6" s="328"/>
      <c r="C6" s="328"/>
      <c r="D6" s="328"/>
      <c r="E6" s="328"/>
      <c r="F6" s="328"/>
      <c r="G6" s="328"/>
      <c r="H6" s="322"/>
      <c r="I6" s="322"/>
      <c r="J6" s="322"/>
      <c r="K6" s="322"/>
      <c r="L6" s="322"/>
      <c r="M6" s="322"/>
      <c r="N6" s="322"/>
      <c r="O6" s="322"/>
      <c r="P6" s="322"/>
      <c r="Q6" s="322"/>
      <c r="R6" s="322"/>
      <c r="S6" s="322"/>
    </row>
    <row r="7" s="320" customFormat="1" ht="292.5" customHeight="1">
      <c r="C7" s="329">
        <f>'기초 자료 입력'!$D$14</f>
        <v>46195</v>
      </c>
      <c r="D7" s="330"/>
      <c r="E7" s="330"/>
      <c r="G7" s="322"/>
      <c r="H7" s="322"/>
      <c r="I7" s="322"/>
      <c r="J7" s="322"/>
      <c r="K7" s="322"/>
      <c r="L7" s="322"/>
      <c r="M7" s="322"/>
      <c r="N7" s="322"/>
      <c r="O7" s="322"/>
      <c r="P7" s="322"/>
      <c r="Q7" s="322"/>
      <c r="R7" s="322"/>
      <c r="S7" s="322"/>
    </row>
    <row r="8" s="320" customFormat="1" ht="293.25" customHeight="1">
      <c r="B8" s="331" t="s">
        <v>415</v>
      </c>
      <c r="C8" s="331"/>
      <c r="D8" s="332"/>
      <c r="E8" s="332"/>
      <c r="G8" s="322"/>
      <c r="H8" s="322"/>
      <c r="I8" s="322"/>
      <c r="K8" s="322"/>
      <c r="L8"/>
      <c r="M8" s="322"/>
      <c r="N8" s="322"/>
      <c r="O8" s="322"/>
      <c r="P8" s="322"/>
      <c r="Q8" s="322"/>
      <c r="R8" s="322"/>
      <c r="S8" s="322"/>
    </row>
    <row r="9" s="320" customFormat="1" ht="30.75" customHeight="1">
      <c r="A9" s="333" t="s">
        <v>416</v>
      </c>
      <c r="B9" s="333"/>
      <c r="C9" s="333"/>
      <c r="D9" s="333"/>
      <c r="E9" s="333"/>
      <c r="F9" s="333"/>
      <c r="G9" s="333"/>
      <c r="H9" s="322"/>
      <c r="I9" s="322"/>
      <c r="J9" s="322"/>
      <c r="K9" s="322"/>
      <c r="L9" s="322"/>
      <c r="M9" s="322"/>
      <c r="N9" s="322"/>
      <c r="O9" s="322"/>
      <c r="P9" s="322"/>
      <c r="Q9" s="322"/>
      <c r="R9" s="322"/>
      <c r="S9" s="322"/>
    </row>
    <row r="10" s="323" customFormat="1" ht="24.949999999999999" customHeight="1">
      <c r="A10" s="325"/>
      <c r="B10" s="334" t="s">
        <v>417</v>
      </c>
      <c r="C10" s="335"/>
      <c r="D10" s="336" t="str">
        <f>A4</f>
        <v xml:space="preserve">울산공항 계류장조명등 개선공사 관급자재 구매</v>
      </c>
      <c r="E10" s="337"/>
      <c r="F10" s="338"/>
      <c r="G10" s="325"/>
      <c r="H10" s="324"/>
      <c r="I10" s="324"/>
      <c r="J10" s="324"/>
      <c r="K10" s="324"/>
      <c r="L10" s="324"/>
      <c r="M10" s="324"/>
      <c r="N10" s="324"/>
      <c r="O10" s="324"/>
      <c r="P10" s="324"/>
      <c r="Q10" s="324"/>
      <c r="R10" s="324"/>
      <c r="S10" s="324"/>
    </row>
    <row r="11" s="323" customFormat="1" ht="24.949999999999999" customHeight="1">
      <c r="A11" s="325"/>
      <c r="B11" s="339" t="s">
        <v>418</v>
      </c>
      <c r="C11" s="340"/>
      <c r="D11" s="341">
        <f>'기초 자료 입력'!D12</f>
        <v>46196</v>
      </c>
      <c r="E11" s="342"/>
      <c r="F11" s="343"/>
      <c r="G11" s="325"/>
      <c r="H11" s="324"/>
      <c r="I11" s="324"/>
      <c r="J11" s="324"/>
      <c r="K11" s="324"/>
      <c r="L11" s="324"/>
      <c r="M11" s="324"/>
      <c r="N11" s="324"/>
      <c r="O11" s="324"/>
      <c r="P11" s="324"/>
      <c r="Q11" s="324"/>
      <c r="R11" s="324"/>
      <c r="S11" s="324"/>
    </row>
    <row r="12" s="323" customFormat="1" ht="24.949999999999999" customHeight="1">
      <c r="A12" s="325"/>
      <c r="B12" s="344" t="s">
        <v>419</v>
      </c>
      <c r="C12" s="345"/>
      <c r="D12" s="346" t="s">
        <v>420</v>
      </c>
      <c r="E12" s="347"/>
      <c r="F12" s="348"/>
      <c r="G12" s="325"/>
      <c r="H12" s="324"/>
      <c r="I12" s="324"/>
      <c r="J12" s="324"/>
      <c r="K12" s="324"/>
      <c r="L12" s="324"/>
      <c r="M12" s="324"/>
      <c r="N12" s="324"/>
      <c r="O12" s="324"/>
      <c r="P12" s="324"/>
      <c r="Q12" s="324"/>
      <c r="R12" s="324"/>
      <c r="S12" s="324"/>
    </row>
    <row r="13" s="320" customFormat="1" ht="10.5" customHeight="1">
      <c r="A13" s="349"/>
      <c r="B13" s="350"/>
      <c r="C13" s="351"/>
      <c r="D13" s="351"/>
      <c r="E13" s="351"/>
      <c r="F13" s="352"/>
      <c r="G13" s="349"/>
      <c r="H13" s="322"/>
      <c r="I13" s="322"/>
      <c r="J13" s="322"/>
      <c r="K13" s="322"/>
      <c r="L13"/>
      <c r="M13" s="322"/>
      <c r="N13" s="322"/>
      <c r="O13" s="322"/>
      <c r="P13" s="322"/>
      <c r="Q13" s="322"/>
      <c r="R13" s="322"/>
      <c r="S13" s="322"/>
    </row>
    <row r="14" s="320" customFormat="1" ht="14.1" customHeight="1">
      <c r="B14" s="353"/>
      <c r="C14" s="354"/>
      <c r="D14" s="354"/>
      <c r="E14" s="354"/>
      <c r="F14" s="355"/>
      <c r="H14" s="322"/>
      <c r="I14" s="322"/>
      <c r="J14" s="322"/>
      <c r="K14" s="322"/>
      <c r="L14" s="322"/>
      <c r="M14" s="322"/>
      <c r="N14" s="322"/>
      <c r="O14" s="322"/>
      <c r="P14" s="322"/>
      <c r="Q14" s="322"/>
      <c r="R14" s="322"/>
      <c r="S14" s="322"/>
    </row>
    <row r="15" s="320" customFormat="1" ht="293.25" customHeight="1">
      <c r="B15" s="356"/>
      <c r="C15" s="320"/>
      <c r="D15" s="320"/>
      <c r="E15" s="320"/>
      <c r="F15" s="357"/>
      <c r="G15" s="322"/>
      <c r="H15" s="322"/>
      <c r="I15" s="322"/>
      <c r="K15" s="322"/>
      <c r="L15" s="322"/>
      <c r="M15"/>
      <c r="N15"/>
      <c r="O15" s="322"/>
      <c r="P15" s="322"/>
      <c r="Q15" s="322"/>
      <c r="R15" s="322"/>
      <c r="S15" s="322"/>
    </row>
    <row r="16" s="320" customFormat="1" ht="14.1" customHeight="1">
      <c r="B16" s="358"/>
      <c r="C16" s="359"/>
      <c r="D16" s="359"/>
      <c r="E16" s="359"/>
      <c r="F16" s="360"/>
      <c r="H16" s="322"/>
      <c r="I16" s="322"/>
      <c r="J16" s="322"/>
      <c r="K16" s="322"/>
      <c r="L16" s="322"/>
      <c r="M16" s="322"/>
      <c r="N16" s="322"/>
      <c r="O16" s="322"/>
      <c r="P16" s="322"/>
      <c r="Q16" s="322"/>
      <c r="R16" s="322"/>
      <c r="S16" s="322"/>
    </row>
    <row r="17" s="320" customFormat="1" ht="24.949999999999999" customHeight="1">
      <c r="B17" s="361" t="s">
        <v>421</v>
      </c>
      <c r="C17" s="362"/>
      <c r="D17" s="362"/>
      <c r="E17" s="362"/>
      <c r="F17" s="363"/>
      <c r="H17" s="322"/>
      <c r="I17" s="322"/>
      <c r="J17" s="322"/>
      <c r="K17" s="322"/>
      <c r="L17" s="322"/>
      <c r="M17" s="322"/>
      <c r="N17" s="322"/>
      <c r="O17" s="322"/>
      <c r="P17" s="322"/>
      <c r="Q17" s="322"/>
      <c r="R17" s="322"/>
      <c r="S17" s="322"/>
    </row>
    <row r="18" s="320" customFormat="1" ht="10.5" customHeight="1">
      <c r="A18" s="349"/>
      <c r="B18" s="364"/>
      <c r="C18" s="349"/>
      <c r="D18" s="349"/>
      <c r="E18" s="349"/>
      <c r="F18" s="365"/>
      <c r="G18" s="349"/>
      <c r="H18" s="322"/>
      <c r="I18" s="322"/>
      <c r="J18" s="322"/>
      <c r="K18" s="322"/>
      <c r="L18" s="322"/>
      <c r="M18" s="322"/>
      <c r="N18" s="322"/>
      <c r="O18" s="322"/>
      <c r="P18" s="322"/>
      <c r="Q18" s="322"/>
      <c r="R18" s="322"/>
      <c r="S18" s="322"/>
    </row>
    <row r="19" s="320" customFormat="1" ht="14.1" customHeight="1">
      <c r="B19" s="353"/>
      <c r="C19" s="354"/>
      <c r="D19" s="354"/>
      <c r="E19" s="354"/>
      <c r="F19" s="355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</row>
    <row r="20" s="320" customFormat="1" ht="293.25" customHeight="1">
      <c r="B20" s="356"/>
      <c r="C20" s="320"/>
      <c r="D20" s="320"/>
      <c r="E20" s="320"/>
      <c r="F20" s="357"/>
      <c r="G20" s="322"/>
      <c r="H20" s="322"/>
      <c r="I20" s="322"/>
      <c r="J20" s="322"/>
      <c r="K20" s="322"/>
      <c r="L20" s="322"/>
      <c r="M20"/>
      <c r="N20" s="322"/>
      <c r="O20" s="322"/>
      <c r="P20" s="322"/>
      <c r="Q20" s="322"/>
      <c r="R20" s="322"/>
      <c r="S20" s="322"/>
    </row>
    <row r="21" s="320" customFormat="1" ht="14.1" customHeight="1">
      <c r="B21" s="358"/>
      <c r="C21" s="359"/>
      <c r="D21" s="359"/>
      <c r="E21" s="359"/>
      <c r="F21" s="360"/>
      <c r="H21" s="322"/>
      <c r="I21" s="322"/>
      <c r="J21" s="322"/>
      <c r="K21" s="322"/>
      <c r="L21" s="322"/>
      <c r="M21" s="322"/>
      <c r="N21" s="322"/>
      <c r="O21" s="322"/>
      <c r="P21" s="322"/>
      <c r="Q21" s="322"/>
      <c r="R21" s="322"/>
      <c r="S21" s="322"/>
    </row>
    <row r="22" s="320" customFormat="1" ht="24.949999999999999" customHeight="1">
      <c r="B22" s="366" t="s">
        <v>421</v>
      </c>
      <c r="C22" s="367"/>
      <c r="D22" s="367"/>
      <c r="E22" s="367"/>
      <c r="F22" s="368"/>
      <c r="H22" s="322"/>
      <c r="I22" s="322"/>
      <c r="J22" s="322"/>
      <c r="K22" s="322"/>
      <c r="L22" s="322"/>
      <c r="M22" s="322"/>
      <c r="N22" s="322"/>
      <c r="O22" s="322"/>
      <c r="Q22" s="322"/>
      <c r="R22" s="322"/>
      <c r="S22" s="322"/>
    </row>
    <row r="23" s="320" customFormat="1" ht="10.5" customHeight="1">
      <c r="A23" s="349"/>
      <c r="B23" s="350"/>
      <c r="C23" s="351"/>
      <c r="D23" s="351"/>
      <c r="E23" s="351"/>
      <c r="F23" s="352"/>
      <c r="G23" s="349"/>
      <c r="H23" s="322"/>
      <c r="I23" s="322"/>
      <c r="J23" s="322"/>
      <c r="K23" s="322"/>
      <c r="L23" s="322"/>
      <c r="M23" s="322"/>
      <c r="N23" s="322"/>
      <c r="O23" s="322"/>
      <c r="P23" s="322"/>
      <c r="Q23" s="322"/>
      <c r="R23" s="322"/>
      <c r="S23" s="322"/>
    </row>
    <row r="24" s="320" customFormat="1" ht="14.1" customHeight="1">
      <c r="B24" s="353"/>
      <c r="C24" s="354"/>
      <c r="D24" s="354"/>
      <c r="E24" s="354"/>
      <c r="F24" s="355"/>
      <c r="H24" s="322"/>
      <c r="I24" s="322"/>
      <c r="J24" s="322"/>
      <c r="K24" s="322"/>
      <c r="L24" s="322"/>
      <c r="M24" s="322"/>
      <c r="N24" s="322"/>
      <c r="O24" s="322"/>
      <c r="P24" s="322"/>
      <c r="Q24" s="322"/>
      <c r="R24" s="322"/>
      <c r="S24" s="322"/>
    </row>
    <row r="25" s="320" customFormat="1" ht="293.25" customHeight="1">
      <c r="B25" s="356"/>
      <c r="C25" s="320"/>
      <c r="D25" s="320"/>
      <c r="E25" s="320"/>
      <c r="F25" s="357"/>
      <c r="G25" s="322"/>
      <c r="H25" s="322"/>
      <c r="I25" s="322"/>
      <c r="K25" s="322"/>
      <c r="L25" s="322"/>
      <c r="M25" s="322"/>
      <c r="N25" s="322"/>
      <c r="O25" s="322"/>
      <c r="P25" s="322"/>
      <c r="Q25" s="322"/>
      <c r="R25" s="322"/>
      <c r="S25" s="322"/>
    </row>
    <row r="26" s="320" customFormat="1" ht="14.1" customHeight="1">
      <c r="B26" s="358"/>
      <c r="C26" s="359"/>
      <c r="D26" s="359"/>
      <c r="E26" s="359"/>
      <c r="F26" s="360"/>
      <c r="H26" s="322"/>
      <c r="I26" s="322"/>
      <c r="J26" s="322"/>
      <c r="K26" s="322"/>
      <c r="L26" s="322"/>
      <c r="M26" s="322"/>
      <c r="N26" s="322"/>
      <c r="O26" s="322"/>
      <c r="P26" s="322"/>
      <c r="Q26" s="322"/>
      <c r="R26" s="322"/>
      <c r="S26" s="322"/>
    </row>
    <row r="27" s="320" customFormat="1" ht="24.949999999999999" customHeight="1">
      <c r="B27" s="361" t="s">
        <v>421</v>
      </c>
      <c r="C27" s="362"/>
      <c r="D27" s="362"/>
      <c r="E27" s="362"/>
      <c r="F27" s="363"/>
      <c r="H27" s="322"/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</row>
    <row r="28" s="320" customFormat="1" ht="10.5" customHeight="1">
      <c r="A28" s="349"/>
      <c r="B28" s="364"/>
      <c r="C28" s="349"/>
      <c r="D28" s="349"/>
      <c r="E28" s="349"/>
      <c r="F28" s="365"/>
      <c r="G28" s="349"/>
      <c r="H28" s="322"/>
      <c r="I28" s="322"/>
      <c r="J28" s="322"/>
      <c r="K28" s="322"/>
      <c r="L28" s="322"/>
      <c r="M28" s="322"/>
      <c r="N28" s="322"/>
      <c r="O28" s="322"/>
      <c r="P28" s="322"/>
      <c r="Q28" s="322"/>
      <c r="R28" s="322"/>
      <c r="S28" s="322"/>
    </row>
    <row r="29" s="320" customFormat="1" ht="14.1" customHeight="1">
      <c r="B29" s="353"/>
      <c r="C29" s="354"/>
      <c r="D29" s="354"/>
      <c r="E29" s="354"/>
      <c r="F29" s="355"/>
      <c r="H29" s="322"/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</row>
    <row r="30" s="320" customFormat="1" ht="293.25" customHeight="1">
      <c r="B30" s="356"/>
      <c r="C30" s="320"/>
      <c r="D30" s="320"/>
      <c r="E30" s="320"/>
      <c r="F30" s="357"/>
      <c r="G30" s="322"/>
      <c r="H30" s="322"/>
      <c r="I30" s="322"/>
      <c r="J30" s="322"/>
      <c r="K30" s="322"/>
      <c r="L30" s="322"/>
      <c r="M30" s="322"/>
      <c r="N30" s="322"/>
      <c r="O30" s="322"/>
      <c r="P30" s="322"/>
      <c r="Q30" s="322"/>
      <c r="R30" s="322"/>
      <c r="S30" s="322"/>
    </row>
    <row r="31" s="320" customFormat="1" ht="14.1" customHeight="1">
      <c r="B31" s="358"/>
      <c r="C31" s="359"/>
      <c r="D31" s="359"/>
      <c r="E31" s="359"/>
      <c r="F31" s="360"/>
      <c r="H31" s="322"/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</row>
    <row r="32" s="320" customFormat="1" ht="24.949999999999999" customHeight="1">
      <c r="B32" s="366" t="s">
        <v>421</v>
      </c>
      <c r="C32" s="367"/>
      <c r="D32" s="367"/>
      <c r="E32" s="367"/>
      <c r="F32" s="368"/>
      <c r="H32" s="322"/>
      <c r="I32" s="322"/>
      <c r="J32" s="322"/>
      <c r="K32" s="322"/>
      <c r="L32" s="322"/>
      <c r="M32" s="322"/>
      <c r="N32" s="322"/>
      <c r="O32" s="322"/>
      <c r="P32" s="322"/>
      <c r="Q32" s="322"/>
      <c r="R32" s="322"/>
      <c r="S32" s="322"/>
    </row>
    <row r="33" s="320" customFormat="1" ht="10.5" customHeight="1">
      <c r="A33" s="349"/>
      <c r="B33" s="350"/>
      <c r="C33" s="351"/>
      <c r="D33" s="351"/>
      <c r="E33" s="351"/>
      <c r="F33" s="352"/>
      <c r="G33" s="349"/>
      <c r="H33" s="322"/>
      <c r="I33" s="322"/>
      <c r="J33" s="322"/>
      <c r="K33" s="322"/>
      <c r="L33" s="322"/>
      <c r="M33" s="322"/>
      <c r="N33" s="322"/>
      <c r="O33" s="322"/>
      <c r="P33" s="322"/>
      <c r="Q33" s="322"/>
      <c r="R33" s="322"/>
      <c r="S33" s="322"/>
    </row>
    <row r="34" s="320" customFormat="1" ht="14.1" customHeight="1">
      <c r="B34" s="353"/>
      <c r="C34" s="354"/>
      <c r="D34" s="354"/>
      <c r="E34" s="354"/>
      <c r="F34" s="355"/>
      <c r="H34" s="322"/>
      <c r="I34" s="322"/>
      <c r="J34" s="322"/>
      <c r="K34" s="322"/>
      <c r="L34" s="322"/>
      <c r="M34" s="322"/>
      <c r="N34" s="322"/>
      <c r="O34" s="322"/>
      <c r="P34" s="322"/>
      <c r="Q34" s="322"/>
      <c r="R34" s="322"/>
      <c r="S34" s="322"/>
    </row>
    <row r="35" s="320" customFormat="1" ht="293.25" customHeight="1">
      <c r="B35" s="356"/>
      <c r="C35" s="320"/>
      <c r="D35" s="320"/>
      <c r="E35" s="320"/>
      <c r="F35" s="357"/>
      <c r="G35" s="322"/>
      <c r="H35" s="322"/>
      <c r="I35" s="322"/>
      <c r="K35" s="322"/>
      <c r="L35" s="322"/>
      <c r="M35" s="322"/>
      <c r="N35" s="322"/>
      <c r="O35" s="322"/>
      <c r="P35" s="322"/>
      <c r="Q35" s="322"/>
      <c r="R35" s="322"/>
      <c r="S35" s="322"/>
    </row>
    <row r="36" s="320" customFormat="1" ht="14.1" customHeight="1">
      <c r="B36" s="358"/>
      <c r="C36" s="359"/>
      <c r="D36" s="359"/>
      <c r="E36" s="359"/>
      <c r="F36" s="360"/>
      <c r="H36" s="322"/>
      <c r="I36" s="322"/>
      <c r="J36" s="322"/>
      <c r="K36" s="322"/>
      <c r="L36" s="322"/>
      <c r="M36" s="322"/>
      <c r="N36" s="322"/>
      <c r="O36" s="322"/>
      <c r="P36" s="322"/>
      <c r="Q36" s="322"/>
      <c r="R36" s="322"/>
      <c r="S36" s="322"/>
    </row>
    <row r="37" s="320" customFormat="1" ht="24.949999999999999" customHeight="1">
      <c r="B37" s="361" t="s">
        <v>421</v>
      </c>
      <c r="C37" s="362"/>
      <c r="D37" s="362"/>
      <c r="E37" s="362"/>
      <c r="F37" s="363"/>
      <c r="H37" s="322"/>
      <c r="I37" s="322"/>
      <c r="J37" s="322"/>
      <c r="K37" s="322"/>
      <c r="L37" s="322"/>
      <c r="M37" s="322"/>
      <c r="N37" s="322"/>
      <c r="O37" s="322"/>
      <c r="P37" s="322"/>
      <c r="Q37" s="322"/>
      <c r="R37" s="322"/>
      <c r="S37" s="322"/>
    </row>
    <row r="38" s="320" customFormat="1" ht="10.5" customHeight="1">
      <c r="A38" s="349"/>
      <c r="B38" s="364"/>
      <c r="C38" s="349"/>
      <c r="D38" s="349"/>
      <c r="E38" s="349"/>
      <c r="F38" s="365"/>
      <c r="G38" s="349"/>
      <c r="H38" s="322"/>
      <c r="I38" s="322"/>
      <c r="J38" s="322"/>
      <c r="K38" s="322"/>
      <c r="L38" s="322"/>
      <c r="M38" s="322"/>
      <c r="N38" s="322"/>
      <c r="O38" s="322"/>
      <c r="P38" s="322"/>
      <c r="Q38" s="322"/>
      <c r="R38" s="322"/>
      <c r="S38" s="322"/>
    </row>
    <row r="39" s="320" customFormat="1" ht="14.1" customHeight="1">
      <c r="B39" s="353"/>
      <c r="C39" s="354"/>
      <c r="D39" s="354"/>
      <c r="E39" s="354"/>
      <c r="F39" s="355"/>
      <c r="H39" s="322"/>
      <c r="I39" s="322"/>
      <c r="J39" s="322"/>
      <c r="K39" s="322"/>
      <c r="L39" s="322"/>
      <c r="M39" s="322"/>
      <c r="N39" s="322"/>
      <c r="O39" s="322"/>
      <c r="P39" s="322"/>
      <c r="Q39" s="322"/>
      <c r="R39" s="322"/>
      <c r="S39" s="322"/>
    </row>
    <row r="40" s="320" customFormat="1" ht="293.25" customHeight="1">
      <c r="B40" s="356"/>
      <c r="C40" s="320"/>
      <c r="D40" s="320"/>
      <c r="E40" s="320"/>
      <c r="F40" s="357"/>
      <c r="G40" s="322"/>
      <c r="H40" s="322"/>
      <c r="I40" s="322"/>
      <c r="J40" s="322"/>
      <c r="K40" s="322"/>
      <c r="L40" s="322"/>
      <c r="M40" s="322"/>
      <c r="N40" s="322"/>
      <c r="O40" s="322"/>
      <c r="P40" s="322"/>
      <c r="Q40" s="322"/>
      <c r="R40" s="322"/>
      <c r="S40" s="322"/>
    </row>
    <row r="41" s="320" customFormat="1" ht="14.1" customHeight="1">
      <c r="B41" s="358"/>
      <c r="C41" s="359"/>
      <c r="D41" s="359"/>
      <c r="E41" s="359"/>
      <c r="F41" s="360"/>
      <c r="H41" s="322"/>
      <c r="I41" s="322"/>
      <c r="J41" s="322"/>
      <c r="K41" s="322"/>
      <c r="L41" s="322"/>
      <c r="M41" s="322"/>
      <c r="N41" s="322"/>
      <c r="O41" s="322"/>
      <c r="P41" s="322"/>
      <c r="Q41" s="322"/>
      <c r="R41" s="322"/>
      <c r="S41" s="322"/>
    </row>
    <row r="42" s="320" customFormat="1" ht="24.949999999999999" customHeight="1">
      <c r="B42" s="366" t="s">
        <v>421</v>
      </c>
      <c r="C42" s="367"/>
      <c r="D42" s="367"/>
      <c r="E42" s="367"/>
      <c r="F42" s="368"/>
      <c r="H42" s="322"/>
      <c r="I42" s="322"/>
      <c r="J42" s="322"/>
      <c r="K42" s="322"/>
      <c r="L42" s="322"/>
      <c r="M42" s="322"/>
      <c r="N42" s="322"/>
      <c r="O42" s="322"/>
      <c r="P42" s="322"/>
      <c r="Q42" s="322"/>
      <c r="R42" s="322"/>
      <c r="S42" s="322"/>
    </row>
    <row r="43" s="320" customFormat="1" ht="10.5" customHeight="1">
      <c r="A43" s="349"/>
      <c r="B43" s="350"/>
      <c r="C43" s="351"/>
      <c r="D43" s="351"/>
      <c r="E43" s="351"/>
      <c r="F43" s="352"/>
      <c r="G43" s="349"/>
      <c r="H43" s="322"/>
      <c r="I43" s="322"/>
      <c r="J43" s="322"/>
      <c r="K43" s="322"/>
      <c r="L43" s="322"/>
      <c r="M43" s="322"/>
      <c r="N43" s="322"/>
      <c r="O43" s="322"/>
      <c r="P43" s="322"/>
      <c r="Q43" s="322"/>
      <c r="R43" s="322"/>
      <c r="S43" s="322"/>
    </row>
    <row r="44" s="320" customFormat="1" ht="14.1" customHeight="1">
      <c r="B44" s="353"/>
      <c r="C44" s="354"/>
      <c r="D44" s="354"/>
      <c r="E44" s="354"/>
      <c r="F44" s="355"/>
      <c r="H44" s="322"/>
      <c r="I44" s="322"/>
      <c r="J44" s="322"/>
      <c r="K44" s="322"/>
      <c r="L44" s="322"/>
      <c r="M44" s="322"/>
      <c r="N44" s="322"/>
      <c r="O44" s="322"/>
      <c r="P44" s="322"/>
      <c r="Q44" s="322"/>
      <c r="R44" s="322"/>
      <c r="S44" s="322"/>
    </row>
    <row r="45" s="320" customFormat="1" ht="293.25" customHeight="1">
      <c r="B45" s="356"/>
      <c r="C45" s="320"/>
      <c r="D45" s="320"/>
      <c r="E45" s="320"/>
      <c r="F45" s="357"/>
      <c r="G45" s="322"/>
      <c r="H45" s="322"/>
      <c r="I45" s="322"/>
      <c r="K45" s="322"/>
      <c r="L45" s="322"/>
      <c r="M45" s="322"/>
      <c r="N45" s="322"/>
      <c r="O45" s="322"/>
      <c r="P45" s="322"/>
      <c r="Q45" s="322"/>
      <c r="R45" s="322"/>
      <c r="S45" s="322"/>
    </row>
    <row r="46" s="320" customFormat="1" ht="14.1" customHeight="1">
      <c r="B46" s="358"/>
      <c r="C46" s="359"/>
      <c r="D46" s="359"/>
      <c r="E46" s="359"/>
      <c r="F46" s="360"/>
      <c r="H46" s="322"/>
      <c r="I46" s="322"/>
      <c r="J46" s="322"/>
      <c r="K46" s="322"/>
      <c r="L46" s="322"/>
      <c r="M46" s="322"/>
      <c r="N46" s="322"/>
      <c r="O46" s="322"/>
      <c r="P46" s="322"/>
      <c r="Q46" s="322"/>
      <c r="R46" s="322"/>
      <c r="S46" s="322"/>
    </row>
    <row r="47" s="320" customFormat="1" ht="24.949999999999999" customHeight="1">
      <c r="B47" s="361" t="s">
        <v>421</v>
      </c>
      <c r="C47" s="362"/>
      <c r="D47" s="362"/>
      <c r="E47" s="362"/>
      <c r="F47" s="363"/>
      <c r="H47" s="322"/>
      <c r="I47" s="322"/>
      <c r="J47" s="322"/>
      <c r="K47" s="322"/>
      <c r="L47" s="322"/>
      <c r="M47" s="322"/>
      <c r="N47" s="322"/>
      <c r="O47" s="322"/>
      <c r="P47" s="322"/>
      <c r="Q47" s="322"/>
      <c r="R47" s="322"/>
      <c r="S47" s="322"/>
    </row>
    <row r="48" s="320" customFormat="1" ht="10.5" customHeight="1">
      <c r="A48" s="349"/>
      <c r="B48" s="364"/>
      <c r="C48" s="349"/>
      <c r="D48" s="349"/>
      <c r="E48" s="349"/>
      <c r="F48" s="365"/>
      <c r="G48" s="349"/>
      <c r="H48" s="322"/>
      <c r="I48" s="322"/>
      <c r="J48" s="322"/>
      <c r="K48" s="322"/>
      <c r="L48" s="322"/>
      <c r="M48" s="322"/>
      <c r="N48" s="322"/>
      <c r="O48" s="322"/>
      <c r="P48" s="322"/>
      <c r="Q48" s="322"/>
      <c r="R48" s="322"/>
      <c r="S48" s="322"/>
    </row>
    <row r="49" s="320" customFormat="1" ht="14.1" customHeight="1">
      <c r="B49" s="353"/>
      <c r="C49" s="354"/>
      <c r="D49" s="354"/>
      <c r="E49" s="354"/>
      <c r="F49" s="355"/>
      <c r="H49" s="322"/>
      <c r="I49" s="322"/>
      <c r="J49" s="322"/>
      <c r="K49" s="322"/>
      <c r="L49" s="322"/>
      <c r="M49" s="322"/>
      <c r="N49" s="322"/>
      <c r="O49" s="322"/>
      <c r="P49" s="322"/>
      <c r="Q49" s="322"/>
      <c r="R49" s="322"/>
      <c r="S49" s="322"/>
    </row>
    <row r="50" s="320" customFormat="1" ht="293.25" customHeight="1">
      <c r="B50" s="356"/>
      <c r="C50" s="320"/>
      <c r="D50" s="320"/>
      <c r="E50" s="320"/>
      <c r="F50" s="357"/>
      <c r="G50" s="322"/>
      <c r="H50" s="322"/>
      <c r="I50" s="322"/>
      <c r="J50" s="322"/>
      <c r="K50" s="322"/>
      <c r="L50" s="322"/>
      <c r="M50" s="322"/>
      <c r="N50" s="322"/>
      <c r="O50" s="322"/>
      <c r="P50" s="322"/>
      <c r="Q50" s="322"/>
      <c r="R50" s="322"/>
      <c r="S50" s="322"/>
    </row>
    <row r="51" s="320" customFormat="1" ht="14.1" customHeight="1">
      <c r="B51" s="358"/>
      <c r="C51" s="359"/>
      <c r="D51" s="359"/>
      <c r="E51" s="359"/>
      <c r="F51" s="360"/>
      <c r="H51" s="322"/>
      <c r="I51" s="322"/>
      <c r="J51" s="322"/>
      <c r="K51" s="322"/>
      <c r="L51" s="322"/>
      <c r="M51" s="322"/>
      <c r="N51" s="322"/>
      <c r="O51" s="322"/>
      <c r="P51" s="322"/>
      <c r="Q51" s="322"/>
      <c r="R51" s="322"/>
      <c r="S51" s="322"/>
    </row>
    <row r="52" s="320" customFormat="1" ht="24.949999999999999" customHeight="1">
      <c r="B52" s="366" t="s">
        <v>421</v>
      </c>
      <c r="C52" s="367"/>
      <c r="D52" s="367"/>
      <c r="E52" s="367"/>
      <c r="F52" s="368"/>
      <c r="H52" s="322"/>
      <c r="I52" s="322"/>
      <c r="J52" s="322"/>
      <c r="K52" s="322"/>
      <c r="L52" s="322"/>
      <c r="M52" s="322"/>
      <c r="N52" s="322"/>
      <c r="O52" s="322"/>
      <c r="P52" s="322"/>
      <c r="Q52" s="322"/>
      <c r="R52" s="322"/>
      <c r="S52" s="322"/>
    </row>
    <row r="53" s="320" customFormat="1" ht="10.5" customHeight="1">
      <c r="A53" s="349"/>
      <c r="B53" s="350"/>
      <c r="C53" s="351"/>
      <c r="D53" s="351"/>
      <c r="E53" s="351"/>
      <c r="F53" s="352"/>
      <c r="G53" s="349"/>
      <c r="H53" s="322"/>
      <c r="I53" s="322"/>
      <c r="J53" s="322"/>
      <c r="K53" s="322"/>
      <c r="L53" s="322"/>
      <c r="M53" s="322"/>
      <c r="N53" s="322"/>
      <c r="O53" s="322"/>
      <c r="P53" s="322"/>
      <c r="Q53" s="322"/>
      <c r="R53" s="322"/>
      <c r="S53" s="322"/>
    </row>
    <row r="54" s="320" customFormat="1" ht="14.1" customHeight="1">
      <c r="B54" s="353"/>
      <c r="C54" s="354"/>
      <c r="D54" s="354"/>
      <c r="E54" s="354"/>
      <c r="F54" s="355"/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</row>
    <row r="55" s="320" customFormat="1" ht="293.25" customHeight="1">
      <c r="B55" s="356"/>
      <c r="C55" s="320"/>
      <c r="D55" s="320"/>
      <c r="E55" s="320"/>
      <c r="F55" s="357"/>
      <c r="G55" s="322"/>
      <c r="H55" s="322"/>
      <c r="I55" s="322"/>
      <c r="K55" s="322"/>
      <c r="L55" s="322"/>
      <c r="M55" s="322"/>
      <c r="N55" s="322"/>
      <c r="O55" s="322"/>
      <c r="P55" s="322"/>
      <c r="Q55" s="322"/>
      <c r="R55" s="322"/>
      <c r="S55" s="322"/>
    </row>
    <row r="56" s="320" customFormat="1" ht="14.1" customHeight="1">
      <c r="B56" s="358"/>
      <c r="C56" s="359"/>
      <c r="D56" s="359"/>
      <c r="E56" s="359"/>
      <c r="F56" s="360"/>
      <c r="H56" s="322"/>
      <c r="I56" s="322"/>
      <c r="J56" s="322"/>
      <c r="K56" s="322"/>
      <c r="L56" s="322"/>
      <c r="M56" s="322"/>
      <c r="N56" s="322"/>
      <c r="O56" s="322"/>
      <c r="P56" s="322"/>
      <c r="Q56" s="322"/>
      <c r="R56" s="322"/>
      <c r="S56" s="322"/>
    </row>
    <row r="57" s="320" customFormat="1" ht="24.949999999999999" customHeight="1">
      <c r="B57" s="366" t="s">
        <v>421</v>
      </c>
      <c r="C57" s="367"/>
      <c r="D57" s="367"/>
      <c r="E57" s="367"/>
      <c r="F57" s="368"/>
      <c r="H57" s="322"/>
      <c r="I57" s="322"/>
      <c r="J57" s="322"/>
      <c r="K57" s="322"/>
      <c r="L57" s="322"/>
      <c r="M57" s="322"/>
      <c r="N57" s="322"/>
      <c r="O57" s="322"/>
      <c r="P57" s="322"/>
      <c r="Q57" s="322"/>
      <c r="R57" s="322"/>
      <c r="S57" s="322"/>
    </row>
  </sheetData>
  <mergeCells count="48">
    <mergeCell ref="A1:G2"/>
    <mergeCell ref="B3:C3"/>
    <mergeCell ref="D3:F3"/>
    <mergeCell ref="A4:G6"/>
    <mergeCell ref="C7:E7"/>
    <mergeCell ref="A9:G9"/>
    <mergeCell ref="B10:C10"/>
    <mergeCell ref="D10:F10"/>
    <mergeCell ref="B11:C11"/>
    <mergeCell ref="D11:F11"/>
    <mergeCell ref="B12:C12"/>
    <mergeCell ref="D12:F12"/>
    <mergeCell ref="B14:F14"/>
    <mergeCell ref="C15:E15"/>
    <mergeCell ref="B16:F16"/>
    <mergeCell ref="B17:F17"/>
    <mergeCell ref="B19:F19"/>
    <mergeCell ref="C20:E20"/>
    <mergeCell ref="B21:F21"/>
    <mergeCell ref="B22:F22"/>
    <mergeCell ref="B24:F24"/>
    <mergeCell ref="C25:E25"/>
    <mergeCell ref="B26:F26"/>
    <mergeCell ref="B27:F27"/>
    <mergeCell ref="B29:F29"/>
    <mergeCell ref="C30:E30"/>
    <mergeCell ref="B31:F31"/>
    <mergeCell ref="B32:F32"/>
    <mergeCell ref="B34:F34"/>
    <mergeCell ref="C35:E35"/>
    <mergeCell ref="B36:F36"/>
    <mergeCell ref="B37:F37"/>
    <mergeCell ref="B39:F39"/>
    <mergeCell ref="C40:E40"/>
    <mergeCell ref="B41:F41"/>
    <mergeCell ref="B42:F42"/>
    <mergeCell ref="B44:F44"/>
    <mergeCell ref="C45:E45"/>
    <mergeCell ref="B46:F46"/>
    <mergeCell ref="B47:F47"/>
    <mergeCell ref="B49:F49"/>
    <mergeCell ref="C50:E50"/>
    <mergeCell ref="B51:F51"/>
    <mergeCell ref="B52:F52"/>
    <mergeCell ref="B54:F54"/>
    <mergeCell ref="C55:E55"/>
    <mergeCell ref="B56:F56"/>
    <mergeCell ref="B57:F57"/>
  </mergeCells>
  <printOptions headings="0" gridLines="0" horizontalCentered="1"/>
  <pageMargins left="0.19685039370078738" right="0.19685039370078738" top="0.59055118110236249" bottom="0.19685039370078738" header="0.31496062992125984" footer="0.31496062992125984"/>
  <pageSetup paperSize="9" scale="93" fitToWidth="1" fitToHeight="0" pageOrder="downThenOver" orientation="portrait" usePrinterDefaults="1" blackAndWhite="0" draft="0" cellComments="none" useFirstPageNumber="0" errors="displayed" horizontalDpi="600" verticalDpi="600" copies="1"/>
  <headerFooter/>
  <rowBreaks count="2" manualBreakCount="2">
    <brk id="8" man="1" max="6"/>
    <brk id="22" man="1" max="6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</dc:creator>
  <cp:lastModifiedBy>익명</cp:lastModifiedBy>
  <cp:revision>22</cp:revision>
  <dcterms:created xsi:type="dcterms:W3CDTF">2025-07-10T06:01:03Z</dcterms:created>
  <dcterms:modified xsi:type="dcterms:W3CDTF">2026-09-15T01:59:15Z</dcterms:modified>
</cp:coreProperties>
</file>