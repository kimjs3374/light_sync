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이준호\Desktop\"/>
    </mc:Choice>
  </mc:AlternateContent>
  <xr:revisionPtr revIDLastSave="0" documentId="8_{C6AF0423-2189-45E5-9D1C-81863300DE45}" xr6:coauthVersionLast="47" xr6:coauthVersionMax="47" xr10:uidLastSave="{00000000-0000-0000-0000-000000000000}"/>
  <bookViews>
    <workbookView xWindow="-120" yWindow="-120" windowWidth="29040" windowHeight="15720" xr2:uid="{59F6C8A6-2F4A-4FF5-B4CE-27858CD07624}"/>
  </bookViews>
  <sheets>
    <sheet name="매그나텍 인증관련" sheetId="2" r:id="rId1"/>
    <sheet name="고효율인증유효기간" sheetId="3" r:id="rId2"/>
    <sheet name="Sheet1" sheetId="1" r:id="rId3"/>
  </sheets>
  <definedNames>
    <definedName name="_xlnm.Print_Area" localSheetId="0">'매그나텍 인증관련'!$B$1:$F$33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E29" i="2"/>
  <c r="E28" i="2"/>
  <c r="E27" i="2"/>
  <c r="C27" i="2"/>
  <c r="E26" i="2"/>
  <c r="C26" i="2"/>
  <c r="E25" i="2"/>
  <c r="E24" i="2"/>
  <c r="C24" i="2"/>
  <c r="E23" i="2"/>
  <c r="C23" i="2"/>
  <c r="E22" i="2"/>
  <c r="C22" i="2"/>
  <c r="E21" i="2"/>
  <c r="C21" i="2"/>
  <c r="E20" i="2"/>
  <c r="C20" i="2"/>
  <c r="E19" i="2"/>
  <c r="C19" i="2"/>
  <c r="E18" i="2"/>
  <c r="C18" i="2"/>
  <c r="E17" i="2"/>
  <c r="C17" i="2"/>
  <c r="E16" i="2"/>
  <c r="C16" i="2"/>
  <c r="E15" i="2"/>
  <c r="C15" i="2"/>
  <c r="E14" i="2"/>
  <c r="C14" i="2"/>
  <c r="E13" i="2"/>
  <c r="E12" i="2"/>
  <c r="C12" i="2"/>
  <c r="E11" i="2"/>
  <c r="C11" i="2"/>
  <c r="E10" i="2"/>
  <c r="C10" i="2"/>
  <c r="E9" i="2"/>
  <c r="C9" i="2"/>
  <c r="E8" i="2"/>
  <c r="C8" i="2"/>
  <c r="E7" i="2"/>
  <c r="C7" i="2"/>
  <c r="E6" i="2"/>
  <c r="C6" i="2"/>
  <c r="E5" i="2"/>
  <c r="E4" i="2"/>
  <c r="C4" i="2"/>
  <c r="E3" i="2"/>
  <c r="C3" i="2"/>
</calcChain>
</file>

<file path=xl/sharedStrings.xml><?xml version="1.0" encoding="utf-8"?>
<sst xmlns="http://schemas.openxmlformats.org/spreadsheetml/2006/main" count="253" uniqueCount="152">
  <si>
    <t>작성일 : 2026-01-02</t>
    <phoneticPr fontId="2" type="noConversion"/>
  </si>
  <si>
    <t>인증명</t>
    <phoneticPr fontId="2" type="noConversion"/>
  </si>
  <si>
    <t>인증시작</t>
    <phoneticPr fontId="2" type="noConversion"/>
  </si>
  <si>
    <t>인증만료</t>
    <phoneticPr fontId="2" type="noConversion"/>
  </si>
  <si>
    <t>유효기간</t>
    <phoneticPr fontId="2" type="noConversion"/>
  </si>
  <si>
    <t>KS C 7658(가로등 및 보안등기구)</t>
    <phoneticPr fontId="2" type="noConversion"/>
  </si>
  <si>
    <t>KS C 7712(투광등기구)</t>
    <phoneticPr fontId="2" type="noConversion"/>
  </si>
  <si>
    <t>KS C 7658(1년심사)</t>
    <phoneticPr fontId="2" type="noConversion"/>
  </si>
  <si>
    <t>혁신제품 ARENA(M)</t>
    <phoneticPr fontId="2" type="noConversion"/>
  </si>
  <si>
    <t>혁신제품 STA(X)</t>
    <phoneticPr fontId="2" type="noConversion"/>
  </si>
  <si>
    <t>ISO 9001(3년)</t>
    <phoneticPr fontId="2" type="noConversion"/>
  </si>
  <si>
    <t>ISO 14001(3년)</t>
    <phoneticPr fontId="2" type="noConversion"/>
  </si>
  <si>
    <t>ISO 9001,14001(1년심사)</t>
    <phoneticPr fontId="2" type="noConversion"/>
  </si>
  <si>
    <t>조달우수계약(가로등,보안등)</t>
    <phoneticPr fontId="2" type="noConversion"/>
  </si>
  <si>
    <t>60일전부터 신청가능</t>
    <phoneticPr fontId="2" type="noConversion"/>
  </si>
  <si>
    <t>조달우수계약(LED투광등)</t>
    <phoneticPr fontId="2" type="noConversion"/>
  </si>
  <si>
    <t>G-PASS</t>
    <phoneticPr fontId="2" type="noConversion"/>
  </si>
  <si>
    <t>단체표준 지정연장(탄소,스테인레스 등주)</t>
    <phoneticPr fontId="2" type="noConversion"/>
  </si>
  <si>
    <t>단체표준 지정연장(조명타워)</t>
    <phoneticPr fontId="2" type="noConversion"/>
  </si>
  <si>
    <t>이부분만수정</t>
    <phoneticPr fontId="2" type="noConversion"/>
  </si>
  <si>
    <t>KS인증 :  1년심사, 3년심사 일정확인(그래프는 3년심사 기준임)</t>
    <phoneticPr fontId="2" type="noConversion"/>
  </si>
  <si>
    <t>특이사항</t>
    <phoneticPr fontId="2" type="noConversion"/>
  </si>
  <si>
    <t>우수제품(가로등,보안등) 기간연장신청 : 현재~2026-02-20일까지 신청 가능</t>
    <phoneticPr fontId="2" type="noConversion"/>
  </si>
  <si>
    <t>MT-SLC-075</t>
    <phoneticPr fontId="2" type="noConversion"/>
  </si>
  <si>
    <t>LED 가로등 및 보안 등기구</t>
    <phoneticPr fontId="2" type="noConversion"/>
  </si>
  <si>
    <t>MT-SLC-150</t>
  </si>
  <si>
    <t>MT-SLC-125</t>
  </si>
  <si>
    <t>MT-SLC-100</t>
  </si>
  <si>
    <t>MT-SLC-060</t>
  </si>
  <si>
    <t>MT-SLC-050</t>
  </si>
  <si>
    <t>MT-SLC-040</t>
  </si>
  <si>
    <t>MT-SLC-030</t>
  </si>
  <si>
    <t>MT-SLA(D)-150</t>
  </si>
  <si>
    <t>25-1748</t>
  </si>
  <si>
    <t>MT-SLA(D)-125</t>
  </si>
  <si>
    <t>25-1747</t>
  </si>
  <si>
    <t>MT-SLA(D)-100</t>
  </si>
  <si>
    <t>25-1746</t>
  </si>
  <si>
    <t>MT-SLA(D)-050</t>
  </si>
  <si>
    <t>25-1745</t>
  </si>
  <si>
    <t>MT-SLA(D)-040</t>
  </si>
  <si>
    <t>25-1744</t>
  </si>
  <si>
    <t>BATOO-200</t>
  </si>
  <si>
    <t>LED투광등기구</t>
    <phoneticPr fontId="2" type="noConversion"/>
  </si>
  <si>
    <t>ARENA(X)-400S</t>
  </si>
  <si>
    <t>ARENA(X)-300S</t>
  </si>
  <si>
    <t>ARENA(X)-200S</t>
  </si>
  <si>
    <t>ARENA(X)-800</t>
  </si>
  <si>
    <t>ARENA(X)-500</t>
  </si>
  <si>
    <t>ARENA(X)-400</t>
  </si>
  <si>
    <t>ARENA(X)-600</t>
  </si>
  <si>
    <t>STA(M)-1500</t>
  </si>
  <si>
    <t>STA(M)-1000</t>
  </si>
  <si>
    <t>STA(M)-1200</t>
  </si>
  <si>
    <t>STA(H)-1200</t>
  </si>
  <si>
    <t>STA(H)-1500</t>
  </si>
  <si>
    <t>ARENA(M)-400S</t>
  </si>
  <si>
    <t>ARENA(M)-300S</t>
  </si>
  <si>
    <t>ARENA(M)-200S</t>
  </si>
  <si>
    <t>MT-SLA-125</t>
  </si>
  <si>
    <t>MT-SLA-150</t>
  </si>
  <si>
    <t>MT-SLA-100</t>
  </si>
  <si>
    <t>MT-SLA-075</t>
  </si>
  <si>
    <t>MT-SLA-050</t>
  </si>
  <si>
    <t>MT-SLA-040</t>
  </si>
  <si>
    <t>MT-SLA-030</t>
  </si>
  <si>
    <t>STA-1500</t>
  </si>
  <si>
    <t>STA-1200</t>
  </si>
  <si>
    <t>STA-1000</t>
  </si>
  <si>
    <t>MT-TL-150</t>
  </si>
  <si>
    <t>MT-TL-075</t>
  </si>
  <si>
    <t>MT-TL-050</t>
  </si>
  <si>
    <t>MT-ML-030</t>
  </si>
  <si>
    <t>MT-ML-100</t>
  </si>
  <si>
    <t>MT-ML-060</t>
  </si>
  <si>
    <t>MT-ML-040</t>
  </si>
  <si>
    <t>ARENA-300S</t>
  </si>
  <si>
    <t>ARENA-200S</t>
  </si>
  <si>
    <t>ARENA-400S</t>
  </si>
  <si>
    <t>BATOO-800</t>
  </si>
  <si>
    <t>BATOO-1200</t>
  </si>
  <si>
    <t>BATOO-1000</t>
  </si>
  <si>
    <t>MT-TL-200</t>
  </si>
  <si>
    <t>MT-TL-100</t>
  </si>
  <si>
    <t>BATOO-600</t>
  </si>
  <si>
    <t>MT-FL-800A</t>
  </si>
  <si>
    <t>MT-FL-600A</t>
  </si>
  <si>
    <t>MT-FL-300A</t>
  </si>
  <si>
    <t>MT-FL-1200A</t>
  </si>
  <si>
    <t>MT-FL-1000A</t>
  </si>
  <si>
    <t>BATOO-300</t>
  </si>
  <si>
    <t>BATOO-400</t>
  </si>
  <si>
    <t>MT-ML-150</t>
  </si>
  <si>
    <t>MT-ML-125</t>
  </si>
  <si>
    <t>MT-ML-050</t>
  </si>
  <si>
    <t>ARENA(M)-800</t>
  </si>
  <si>
    <t>ARENA(M)-600</t>
  </si>
  <si>
    <t>ARENA(M)-500</t>
  </si>
  <si>
    <t>ARENA(M)-400</t>
  </si>
  <si>
    <t>ARENA-800(3000K)</t>
  </si>
  <si>
    <t>ARENA-600(3000K)</t>
  </si>
  <si>
    <t>ARENA-500(3000K)</t>
  </si>
  <si>
    <t>ARENA-400(3000K)</t>
  </si>
  <si>
    <t>ARENA-800</t>
  </si>
  <si>
    <t>ARENA-600</t>
  </si>
  <si>
    <t>ARENA-500</t>
  </si>
  <si>
    <t>ARENA-400</t>
  </si>
  <si>
    <t>STA-800</t>
  </si>
  <si>
    <t>STA-700</t>
  </si>
  <si>
    <t>STA-600</t>
  </si>
  <si>
    <t>STA-500</t>
  </si>
  <si>
    <t>STA-400</t>
  </si>
  <si>
    <t>MT-SLC-240</t>
  </si>
  <si>
    <t>MT-SLC-075-45</t>
  </si>
  <si>
    <t>MT-SLC-050-35</t>
  </si>
  <si>
    <t>MT-SLC-200</t>
  </si>
  <si>
    <t>MT-SLC-150-45</t>
  </si>
  <si>
    <t>MT-SLC-150-40</t>
  </si>
  <si>
    <t>MT-SLC-125-45</t>
  </si>
  <si>
    <t>MT-SLC-125-40</t>
  </si>
  <si>
    <t>MT-SLC-100-45</t>
  </si>
  <si>
    <t>MT-SLC-100-40</t>
  </si>
  <si>
    <t>MT-SLC-075-40</t>
  </si>
  <si>
    <t>MT-SLC-025-35</t>
  </si>
  <si>
    <t>STA(X)-600</t>
  </si>
  <si>
    <t>STA(X)-1200</t>
  </si>
  <si>
    <t>STA(X)-800</t>
  </si>
  <si>
    <t>STA(X)-700</t>
  </si>
  <si>
    <t>STA(X)-500</t>
  </si>
  <si>
    <t>STA(X)-400</t>
  </si>
  <si>
    <t>STA(X)-1000</t>
  </si>
  <si>
    <t>STA(X)-1500</t>
  </si>
  <si>
    <t>MT-FL-400S</t>
  </si>
  <si>
    <t>남은일수(유효기간 4년 : 1460일)</t>
    <phoneticPr fontId="11" type="noConversion"/>
  </si>
  <si>
    <t>모델명</t>
  </si>
  <si>
    <t>형식</t>
  </si>
  <si>
    <t>유효기간</t>
  </si>
  <si>
    <t>인증번호</t>
  </si>
  <si>
    <t>우수제품지정증서(가로등,보안등)</t>
    <phoneticPr fontId="2" type="noConversion"/>
  </si>
  <si>
    <t>우수제품지정증서(투광등)</t>
    <phoneticPr fontId="2" type="noConversion"/>
  </si>
  <si>
    <t>녹색기술인증서 (3차원 히트파이프와 적층3D 방열핀이
적용된 조명기기용 냉각기술</t>
    <phoneticPr fontId="2" type="noConversion"/>
  </si>
  <si>
    <t>MAS계약(가로등부속자재)</t>
    <phoneticPr fontId="2" type="noConversion"/>
  </si>
  <si>
    <t>MAS계약(LED투광등기구)</t>
    <phoneticPr fontId="2" type="noConversion"/>
  </si>
  <si>
    <t>MAS계약(조명타워)</t>
    <phoneticPr fontId="2" type="noConversion"/>
  </si>
  <si>
    <t>MAS계약(등주)</t>
    <phoneticPr fontId="2" type="noConversion"/>
  </si>
  <si>
    <t>MAS계약(태양광가로등)</t>
    <phoneticPr fontId="2" type="noConversion"/>
  </si>
  <si>
    <t>중소기업확인서</t>
    <phoneticPr fontId="2" type="noConversion"/>
  </si>
  <si>
    <t>직접생산증명(등기구)</t>
    <phoneticPr fontId="2" type="noConversion"/>
  </si>
  <si>
    <t>직접생산증명(등주)</t>
    <phoneticPr fontId="2" type="noConversion"/>
  </si>
  <si>
    <t>직접생산증명(조명타워)</t>
    <phoneticPr fontId="2" type="noConversion"/>
  </si>
  <si>
    <t>직접생산증명(도로표지병)</t>
    <phoneticPr fontId="2" type="noConversion"/>
  </si>
  <si>
    <t>광기술원 장비사용계약서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</si>
</sst>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yyyy/mm/dd;@"/>
  </numFmts>
  <fonts count="12" x14ac:knownFonts="1">
    <font>
      <sz val="11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6"/>
      <color theme="1"/>
      <name val="굴림"/>
      <family val="3"/>
      <charset val="129"/>
    </font>
    <font>
      <sz val="14"/>
      <color theme="1"/>
      <name val="굴림"/>
      <family val="3"/>
      <charset val="129"/>
    </font>
    <font>
      <sz val="14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sz val="11"/>
      <name val="Calibri"/>
      <family val="2"/>
    </font>
    <font>
      <sz val="11"/>
      <name val="맑은 고딕"/>
      <family val="3"/>
      <charset val="129"/>
    </font>
    <font>
      <b/>
      <sz val="11"/>
      <name val="맑은 고딕"/>
      <family val="3"/>
      <charset val="129"/>
    </font>
    <font>
      <sz val="8"/>
      <name val="돋움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8" fillId="0" borderId="0"/>
  </cellStyleXfs>
  <cellXfs count="2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/>
    </xf>
    <xf numFmtId="14" fontId="5" fillId="3" borderId="2" xfId="0" applyNumberFormat="1" applyFont="1" applyFill="1" applyBorder="1" applyAlignment="1">
      <alignment horizontal="center" vertical="center"/>
    </xf>
    <xf numFmtId="176" fontId="5" fillId="2" borderId="2" xfId="0" applyNumberFormat="1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left" vertical="center"/>
    </xf>
    <xf numFmtId="14" fontId="5" fillId="4" borderId="2" xfId="0" applyNumberFormat="1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left" vertical="center"/>
    </xf>
    <xf numFmtId="14" fontId="5" fillId="5" borderId="2" xfId="0" applyNumberFormat="1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left" vertical="center" wrapText="1"/>
    </xf>
    <xf numFmtId="14" fontId="5" fillId="6" borderId="2" xfId="0" applyNumberFormat="1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left" vertical="center"/>
    </xf>
    <xf numFmtId="14" fontId="5" fillId="7" borderId="2" xfId="0" applyNumberFormat="1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left" vertical="center"/>
    </xf>
    <xf numFmtId="0" fontId="0" fillId="2" borderId="0" xfId="0" applyFill="1">
      <alignment vertical="center"/>
    </xf>
    <xf numFmtId="177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8" fillId="0" borderId="0" xfId="1" applyAlignment="1">
      <alignment horizontal="center"/>
    </xf>
    <xf numFmtId="0" fontId="9" fillId="0" borderId="2" xfId="1" applyFont="1" applyBorder="1" applyAlignment="1">
      <alignment horizontal="center"/>
    </xf>
    <xf numFmtId="49" fontId="9" fillId="0" borderId="2" xfId="1" applyNumberFormat="1" applyFont="1" applyBorder="1" applyAlignment="1">
      <alignment horizontal="center"/>
    </xf>
    <xf numFmtId="177" fontId="9" fillId="0" borderId="2" xfId="1" applyNumberFormat="1" applyFont="1" applyBorder="1" applyAlignment="1">
      <alignment horizontal="center"/>
    </xf>
    <xf numFmtId="1" fontId="9" fillId="0" borderId="2" xfId="1" applyNumberFormat="1" applyFont="1" applyBorder="1" applyAlignment="1">
      <alignment horizontal="center"/>
    </xf>
    <xf numFmtId="0" fontId="10" fillId="8" borderId="2" xfId="1" applyFont="1" applyFill="1" applyBorder="1" applyAlignment="1">
      <alignment horizontal="center"/>
    </xf>
  </cellXfs>
  <cellStyles count="2">
    <cellStyle name="표준" xfId="0" builtinId="0"/>
    <cellStyle name="표준 2" xfId="1" xr:uid="{A7757765-BD92-4128-B940-546DD8EA81E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157AA-8C98-4E89-B19F-8B3D5BD06327}">
  <sheetPr>
    <tabColor theme="4" tint="0.79998168889431442"/>
    <pageSetUpPr fitToPage="1"/>
  </sheetPr>
  <dimension ref="B1:F33"/>
  <sheetViews>
    <sheetView tabSelected="1" zoomScale="115" zoomScaleNormal="115" workbookViewId="0">
      <selection activeCell="G9" sqref="G9"/>
    </sheetView>
  </sheetViews>
  <sheetFormatPr defaultRowHeight="16.5" x14ac:dyDescent="0.3"/>
  <cols>
    <col min="1" max="1" width="2.25" customWidth="1"/>
    <col min="2" max="2" width="60" customWidth="1"/>
    <col min="3" max="3" width="0.375" customWidth="1"/>
    <col min="4" max="4" width="23.625" customWidth="1"/>
    <col min="5" max="5" width="50.125" customWidth="1"/>
    <col min="6" max="6" width="20.625" bestFit="1" customWidth="1"/>
  </cols>
  <sheetData>
    <row r="1" spans="2:5" ht="26.25" customHeight="1" x14ac:dyDescent="0.3">
      <c r="B1" s="1" t="s">
        <v>0</v>
      </c>
      <c r="C1" s="2"/>
      <c r="D1" s="2"/>
      <c r="E1" s="2"/>
    </row>
    <row r="2" spans="2:5" ht="26.25" customHeight="1" x14ac:dyDescent="0.3">
      <c r="B2" s="3" t="s">
        <v>1</v>
      </c>
      <c r="C2" s="3" t="s">
        <v>2</v>
      </c>
      <c r="D2" s="3" t="s">
        <v>3</v>
      </c>
      <c r="E2" s="3" t="s">
        <v>4</v>
      </c>
    </row>
    <row r="3" spans="2:5" ht="20.100000000000001" customHeight="1" x14ac:dyDescent="0.3">
      <c r="B3" s="4" t="s">
        <v>5</v>
      </c>
      <c r="C3" s="5">
        <f ca="1">TODAY()</f>
        <v>46108</v>
      </c>
      <c r="D3" s="5">
        <v>46238</v>
      </c>
      <c r="E3" s="6">
        <f ca="1">D3 - TODAY()</f>
        <v>130</v>
      </c>
    </row>
    <row r="4" spans="2:5" ht="20.100000000000001" customHeight="1" x14ac:dyDescent="0.3">
      <c r="B4" s="4" t="s">
        <v>6</v>
      </c>
      <c r="C4" s="5">
        <f t="shared" ref="C4:C27" ca="1" si="0">TODAY()</f>
        <v>46108</v>
      </c>
      <c r="D4" s="5">
        <v>46841</v>
      </c>
      <c r="E4" s="6">
        <f t="shared" ref="E4:E29" ca="1" si="1">D4 - TODAY()</f>
        <v>733</v>
      </c>
    </row>
    <row r="5" spans="2:5" ht="20.100000000000001" customHeight="1" x14ac:dyDescent="0.3">
      <c r="B5" s="4" t="s">
        <v>7</v>
      </c>
      <c r="C5" s="5"/>
      <c r="D5" s="5">
        <v>46265</v>
      </c>
      <c r="E5" s="6">
        <f t="shared" ca="1" si="1"/>
        <v>157</v>
      </c>
    </row>
    <row r="6" spans="2:5" ht="20.100000000000001" customHeight="1" x14ac:dyDescent="0.3">
      <c r="B6" s="7" t="s">
        <v>138</v>
      </c>
      <c r="C6" s="8">
        <f t="shared" ca="1" si="0"/>
        <v>46108</v>
      </c>
      <c r="D6" s="8">
        <v>46467</v>
      </c>
      <c r="E6" s="6">
        <f t="shared" ca="1" si="1"/>
        <v>359</v>
      </c>
    </row>
    <row r="7" spans="2:5" ht="20.100000000000001" customHeight="1" x14ac:dyDescent="0.3">
      <c r="B7" s="7" t="s">
        <v>139</v>
      </c>
      <c r="C7" s="8">
        <f t="shared" ca="1" si="0"/>
        <v>46108</v>
      </c>
      <c r="D7" s="8">
        <v>46470</v>
      </c>
      <c r="E7" s="6">
        <f t="shared" ca="1" si="1"/>
        <v>362</v>
      </c>
    </row>
    <row r="8" spans="2:5" ht="20.100000000000001" customHeight="1" x14ac:dyDescent="0.3">
      <c r="B8" s="9" t="s">
        <v>8</v>
      </c>
      <c r="C8" s="10">
        <f t="shared" ca="1" si="0"/>
        <v>46108</v>
      </c>
      <c r="D8" s="10">
        <v>46415</v>
      </c>
      <c r="E8" s="6">
        <f t="shared" ca="1" si="1"/>
        <v>307</v>
      </c>
    </row>
    <row r="9" spans="2:5" ht="20.100000000000001" customHeight="1" x14ac:dyDescent="0.3">
      <c r="B9" s="9" t="s">
        <v>9</v>
      </c>
      <c r="C9" s="10">
        <f t="shared" ca="1" si="0"/>
        <v>46108</v>
      </c>
      <c r="D9" s="10">
        <v>46381</v>
      </c>
      <c r="E9" s="6">
        <f t="shared" ca="1" si="1"/>
        <v>273</v>
      </c>
    </row>
    <row r="10" spans="2:5" ht="56.25" x14ac:dyDescent="0.3">
      <c r="B10" s="11" t="s">
        <v>140</v>
      </c>
      <c r="C10" s="12">
        <f t="shared" ca="1" si="0"/>
        <v>46108</v>
      </c>
      <c r="D10" s="12">
        <v>46673</v>
      </c>
      <c r="E10" s="6">
        <f t="shared" ca="1" si="1"/>
        <v>565</v>
      </c>
    </row>
    <row r="11" spans="2:5" ht="20.100000000000001" customHeight="1" x14ac:dyDescent="0.3">
      <c r="B11" s="7" t="s">
        <v>10</v>
      </c>
      <c r="C11" s="8">
        <f t="shared" ca="1" si="0"/>
        <v>46108</v>
      </c>
      <c r="D11" s="8">
        <v>46608</v>
      </c>
      <c r="E11" s="6">
        <f t="shared" ca="1" si="1"/>
        <v>500</v>
      </c>
    </row>
    <row r="12" spans="2:5" ht="20.100000000000001" customHeight="1" x14ac:dyDescent="0.3">
      <c r="B12" s="7" t="s">
        <v>11</v>
      </c>
      <c r="C12" s="8">
        <f t="shared" ca="1" si="0"/>
        <v>46108</v>
      </c>
      <c r="D12" s="8">
        <v>46608</v>
      </c>
      <c r="E12" s="6">
        <f t="shared" ca="1" si="1"/>
        <v>500</v>
      </c>
    </row>
    <row r="13" spans="2:5" ht="20.100000000000001" customHeight="1" x14ac:dyDescent="0.3">
      <c r="B13" s="7" t="s">
        <v>12</v>
      </c>
      <c r="C13" s="8"/>
      <c r="D13" s="8">
        <v>46265</v>
      </c>
      <c r="E13" s="6">
        <f t="shared" ca="1" si="1"/>
        <v>157</v>
      </c>
    </row>
    <row r="14" spans="2:5" ht="20.100000000000001" customHeight="1" x14ac:dyDescent="0.3">
      <c r="B14" s="13" t="s">
        <v>141</v>
      </c>
      <c r="C14" s="14">
        <f t="shared" ca="1" si="0"/>
        <v>46108</v>
      </c>
      <c r="D14" s="14">
        <v>46860</v>
      </c>
      <c r="E14" s="6">
        <f t="shared" ca="1" si="1"/>
        <v>752</v>
      </c>
    </row>
    <row r="15" spans="2:5" ht="20.100000000000001" customHeight="1" x14ac:dyDescent="0.3">
      <c r="B15" s="13" t="s">
        <v>142</v>
      </c>
      <c r="C15" s="14">
        <f t="shared" ca="1" si="0"/>
        <v>46108</v>
      </c>
      <c r="D15" s="14">
        <v>46265</v>
      </c>
      <c r="E15" s="6">
        <f t="shared" ca="1" si="1"/>
        <v>157</v>
      </c>
    </row>
    <row r="16" spans="2:5" ht="20.100000000000001" customHeight="1" x14ac:dyDescent="0.3">
      <c r="B16" s="13" t="s">
        <v>143</v>
      </c>
      <c r="C16" s="14">
        <f t="shared" ca="1" si="0"/>
        <v>46108</v>
      </c>
      <c r="D16" s="14">
        <v>46815</v>
      </c>
      <c r="E16" s="6">
        <f t="shared" ca="1" si="1"/>
        <v>707</v>
      </c>
    </row>
    <row r="17" spans="2:6" ht="20.100000000000001" customHeight="1" x14ac:dyDescent="0.3">
      <c r="B17" s="13" t="s">
        <v>144</v>
      </c>
      <c r="C17" s="14">
        <f t="shared" ca="1" si="0"/>
        <v>46108</v>
      </c>
      <c r="D17" s="14">
        <v>46860</v>
      </c>
      <c r="E17" s="6">
        <f t="shared" ca="1" si="1"/>
        <v>752</v>
      </c>
    </row>
    <row r="18" spans="2:6" ht="20.100000000000001" customHeight="1" x14ac:dyDescent="0.3">
      <c r="B18" s="13" t="s">
        <v>145</v>
      </c>
      <c r="C18" s="14">
        <f t="shared" ca="1" si="0"/>
        <v>46108</v>
      </c>
      <c r="D18" s="14">
        <v>46326</v>
      </c>
      <c r="E18" s="6">
        <f t="shared" ca="1" si="1"/>
        <v>218</v>
      </c>
    </row>
    <row r="19" spans="2:6" ht="20.100000000000001" customHeight="1" x14ac:dyDescent="0.3">
      <c r="B19" s="15" t="s">
        <v>13</v>
      </c>
      <c r="C19" s="12">
        <f t="shared" ca="1" si="0"/>
        <v>46108</v>
      </c>
      <c r="D19" s="12">
        <v>46467</v>
      </c>
      <c r="E19" s="6">
        <f t="shared" ca="1" si="1"/>
        <v>359</v>
      </c>
      <c r="F19" t="s">
        <v>14</v>
      </c>
    </row>
    <row r="20" spans="2:6" ht="20.100000000000001" customHeight="1" x14ac:dyDescent="0.3">
      <c r="B20" s="15" t="s">
        <v>15</v>
      </c>
      <c r="C20" s="12">
        <f t="shared" ca="1" si="0"/>
        <v>46108</v>
      </c>
      <c r="D20" s="12">
        <v>46470</v>
      </c>
      <c r="E20" s="6">
        <f t="shared" ca="1" si="1"/>
        <v>362</v>
      </c>
    </row>
    <row r="21" spans="2:6" ht="20.100000000000001" customHeight="1" x14ac:dyDescent="0.3">
      <c r="B21" s="7" t="s">
        <v>146</v>
      </c>
      <c r="C21" s="8">
        <f t="shared" ca="1" si="0"/>
        <v>46108</v>
      </c>
      <c r="D21" s="8">
        <v>46112</v>
      </c>
      <c r="E21" s="6">
        <f t="shared" ca="1" si="1"/>
        <v>4</v>
      </c>
    </row>
    <row r="22" spans="2:6" ht="20.100000000000001" customHeight="1" x14ac:dyDescent="0.3">
      <c r="B22" s="7" t="s">
        <v>147</v>
      </c>
      <c r="C22" s="8">
        <f t="shared" ca="1" si="0"/>
        <v>46108</v>
      </c>
      <c r="D22" s="8">
        <v>46407</v>
      </c>
      <c r="E22" s="6">
        <f t="shared" ca="1" si="1"/>
        <v>299</v>
      </c>
    </row>
    <row r="23" spans="2:6" ht="20.100000000000001" customHeight="1" x14ac:dyDescent="0.3">
      <c r="B23" s="7" t="s">
        <v>148</v>
      </c>
      <c r="C23" s="8">
        <f t="shared" ca="1" si="0"/>
        <v>46108</v>
      </c>
      <c r="D23" s="8">
        <v>46234</v>
      </c>
      <c r="E23" s="6">
        <f t="shared" ca="1" si="1"/>
        <v>126</v>
      </c>
    </row>
    <row r="24" spans="2:6" ht="20.100000000000001" customHeight="1" x14ac:dyDescent="0.3">
      <c r="B24" s="7" t="s">
        <v>149</v>
      </c>
      <c r="C24" s="8">
        <f t="shared" ca="1" si="0"/>
        <v>46108</v>
      </c>
      <c r="D24" s="8">
        <v>46234</v>
      </c>
      <c r="E24" s="6">
        <f t="shared" ca="1" si="1"/>
        <v>126</v>
      </c>
    </row>
    <row r="25" spans="2:6" ht="20.100000000000001" customHeight="1" x14ac:dyDescent="0.3">
      <c r="B25" s="7" t="s">
        <v>150</v>
      </c>
      <c r="C25" s="8"/>
      <c r="D25" s="8">
        <v>46655</v>
      </c>
      <c r="E25" s="6">
        <f t="shared" ca="1" si="1"/>
        <v>547</v>
      </c>
    </row>
    <row r="26" spans="2:6" ht="20.100000000000001" customHeight="1" x14ac:dyDescent="0.3">
      <c r="B26" s="9" t="s">
        <v>16</v>
      </c>
      <c r="C26" s="10">
        <f t="shared" ca="1" si="0"/>
        <v>46108</v>
      </c>
      <c r="D26" s="10">
        <v>47383</v>
      </c>
      <c r="E26" s="6">
        <f t="shared" ca="1" si="1"/>
        <v>1275</v>
      </c>
    </row>
    <row r="27" spans="2:6" ht="20.100000000000001" customHeight="1" x14ac:dyDescent="0.3">
      <c r="B27" s="9" t="s">
        <v>151</v>
      </c>
      <c r="C27" s="10">
        <f t="shared" ca="1" si="0"/>
        <v>46108</v>
      </c>
      <c r="D27" s="10">
        <v>46420</v>
      </c>
      <c r="E27" s="6">
        <f t="shared" ca="1" si="1"/>
        <v>312</v>
      </c>
    </row>
    <row r="28" spans="2:6" ht="20.100000000000001" customHeight="1" x14ac:dyDescent="0.3">
      <c r="B28" s="9" t="s">
        <v>17</v>
      </c>
      <c r="C28" s="10"/>
      <c r="D28" s="10">
        <v>47146</v>
      </c>
      <c r="E28" s="6">
        <f t="shared" ca="1" si="1"/>
        <v>1038</v>
      </c>
    </row>
    <row r="29" spans="2:6" ht="20.100000000000001" customHeight="1" x14ac:dyDescent="0.3">
      <c r="B29" s="9" t="s">
        <v>18</v>
      </c>
      <c r="C29" s="10"/>
      <c r="D29" s="10">
        <v>47057</v>
      </c>
      <c r="E29" s="6">
        <f t="shared" ca="1" si="1"/>
        <v>949</v>
      </c>
    </row>
    <row r="30" spans="2:6" x14ac:dyDescent="0.3">
      <c r="B30" s="16"/>
      <c r="C30" s="17"/>
      <c r="D30" s="18" t="s">
        <v>19</v>
      </c>
      <c r="E30" s="16"/>
    </row>
    <row r="31" spans="2:6" ht="35.25" customHeight="1" x14ac:dyDescent="0.3">
      <c r="B31" s="19" t="s">
        <v>20</v>
      </c>
      <c r="C31" s="19"/>
      <c r="D31" s="19"/>
      <c r="E31" s="19"/>
    </row>
    <row r="32" spans="2:6" ht="35.25" customHeight="1" x14ac:dyDescent="0.3">
      <c r="B32" s="20" t="s">
        <v>21</v>
      </c>
      <c r="C32" s="20"/>
      <c r="D32" s="20"/>
      <c r="E32" s="20"/>
    </row>
    <row r="33" spans="2:5" ht="20.25" x14ac:dyDescent="0.3">
      <c r="B33" s="21" t="s">
        <v>22</v>
      </c>
      <c r="C33" s="21"/>
      <c r="D33" s="21"/>
      <c r="E33" s="21"/>
    </row>
  </sheetData>
  <mergeCells count="2">
    <mergeCell ref="B31:E31"/>
    <mergeCell ref="B33:E33"/>
  </mergeCells>
  <phoneticPr fontId="2" type="noConversion"/>
  <conditionalFormatting sqref="E3:E29">
    <cfRule type="dataBar" priority="1">
      <dataBar>
        <cfvo type="num" val="0"/>
        <cfvo type="num" val="1500"/>
        <color rgb="FFFCA6D9"/>
      </dataBar>
      <extLst>
        <ext xmlns:x14="http://schemas.microsoft.com/office/spreadsheetml/2009/9/main" uri="{B025F937-C7B1-47D3-B67F-A62EFF666E3E}">
          <x14:id>{8F987EE7-D9FE-4D09-9200-A3C599AFA055}</x14:id>
        </ext>
      </extLst>
    </cfRule>
  </conditionalFormatting>
  <pageMargins left="0.7" right="0.7" top="0.75" bottom="0.75" header="0.3" footer="0.3"/>
  <pageSetup paperSize="9" scale="64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F987EE7-D9FE-4D09-9200-A3C599AFA055}">
            <x14:dataBar minLength="0" maxLength="100" gradient="0">
              <x14:cfvo type="num">
                <xm:f>0</xm:f>
              </x14:cfvo>
              <x14:cfvo type="num">
                <xm:f>1500</xm:f>
              </x14:cfvo>
              <x14:negativeFillColor rgb="FFFF0000"/>
              <x14:axisColor rgb="FF000000"/>
            </x14:dataBar>
          </x14:cfRule>
          <xm:sqref>E3:E29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4B099-685C-42E2-B7F4-305C47C873F7}">
  <sheetPr>
    <tabColor rgb="FFFFC000"/>
  </sheetPr>
  <dimension ref="B2:F106"/>
  <sheetViews>
    <sheetView topLeftCell="A78" zoomScale="85" zoomScaleNormal="85" workbookViewId="0">
      <selection activeCell="K104" sqref="K104:K105"/>
    </sheetView>
  </sheetViews>
  <sheetFormatPr defaultRowHeight="15" x14ac:dyDescent="0.25"/>
  <cols>
    <col min="1" max="1" width="2.875" style="22" customWidth="1"/>
    <col min="2" max="2" width="22.5" style="22" customWidth="1"/>
    <col min="3" max="3" width="21.375" style="22" customWidth="1"/>
    <col min="4" max="4" width="40.125" style="22" customWidth="1"/>
    <col min="5" max="5" width="20.625" style="22" customWidth="1"/>
    <col min="6" max="6" width="32" style="22" customWidth="1"/>
    <col min="7" max="16384" width="9" style="22"/>
  </cols>
  <sheetData>
    <row r="2" spans="2:6" s="22" customFormat="1" ht="16.5" x14ac:dyDescent="0.3">
      <c r="B2" s="27" t="s">
        <v>137</v>
      </c>
      <c r="C2" s="27" t="s">
        <v>136</v>
      </c>
      <c r="D2" s="27" t="s">
        <v>135</v>
      </c>
      <c r="E2" s="27" t="s">
        <v>134</v>
      </c>
      <c r="F2" s="27" t="s">
        <v>133</v>
      </c>
    </row>
    <row r="3" spans="2:6" s="22" customFormat="1" ht="16.5" x14ac:dyDescent="0.3">
      <c r="B3" s="26">
        <v>37685</v>
      </c>
      <c r="C3" s="25">
        <v>46253</v>
      </c>
      <c r="D3" s="24" t="s">
        <v>43</v>
      </c>
      <c r="E3" s="24" t="s">
        <v>132</v>
      </c>
      <c r="F3" s="23">
        <f ca="1">C3 - TODAY()</f>
        <v>145</v>
      </c>
    </row>
    <row r="4" spans="2:6" s="22" customFormat="1" ht="16.5" x14ac:dyDescent="0.3">
      <c r="B4" s="26">
        <v>71592</v>
      </c>
      <c r="C4" s="25">
        <v>46279</v>
      </c>
      <c r="D4" s="24" t="s">
        <v>43</v>
      </c>
      <c r="E4" s="24" t="s">
        <v>131</v>
      </c>
      <c r="F4" s="23">
        <f ca="1">C4 - TODAY()</f>
        <v>171</v>
      </c>
    </row>
    <row r="5" spans="2:6" s="22" customFormat="1" ht="16.5" x14ac:dyDescent="0.3">
      <c r="B5" s="26">
        <v>71573</v>
      </c>
      <c r="C5" s="25">
        <v>46280</v>
      </c>
      <c r="D5" s="24" t="s">
        <v>43</v>
      </c>
      <c r="E5" s="24" t="s">
        <v>130</v>
      </c>
      <c r="F5" s="23">
        <f ca="1">C5 - TODAY()</f>
        <v>172</v>
      </c>
    </row>
    <row r="6" spans="2:6" s="22" customFormat="1" ht="16.5" x14ac:dyDescent="0.3">
      <c r="B6" s="26">
        <v>71587</v>
      </c>
      <c r="C6" s="25">
        <v>46280</v>
      </c>
      <c r="D6" s="24" t="s">
        <v>43</v>
      </c>
      <c r="E6" s="24" t="s">
        <v>129</v>
      </c>
      <c r="F6" s="23">
        <f ca="1">C6 - TODAY()</f>
        <v>172</v>
      </c>
    </row>
    <row r="7" spans="2:6" s="22" customFormat="1" ht="16.5" x14ac:dyDescent="0.3">
      <c r="B7" s="26">
        <v>71558</v>
      </c>
      <c r="C7" s="25">
        <v>46280</v>
      </c>
      <c r="D7" s="24" t="s">
        <v>43</v>
      </c>
      <c r="E7" s="24" t="s">
        <v>128</v>
      </c>
      <c r="F7" s="23">
        <f ca="1">C7 - TODAY()</f>
        <v>172</v>
      </c>
    </row>
    <row r="8" spans="2:6" s="22" customFormat="1" ht="16.5" x14ac:dyDescent="0.3">
      <c r="B8" s="26">
        <v>71481</v>
      </c>
      <c r="C8" s="25">
        <v>46284</v>
      </c>
      <c r="D8" s="24" t="s">
        <v>43</v>
      </c>
      <c r="E8" s="24" t="s">
        <v>127</v>
      </c>
      <c r="F8" s="23">
        <f ca="1">C8 - TODAY()</f>
        <v>176</v>
      </c>
    </row>
    <row r="9" spans="2:6" s="22" customFormat="1" ht="16.5" x14ac:dyDescent="0.3">
      <c r="B9" s="26">
        <v>71480</v>
      </c>
      <c r="C9" s="25">
        <v>46284</v>
      </c>
      <c r="D9" s="24" t="s">
        <v>43</v>
      </c>
      <c r="E9" s="24" t="s">
        <v>126</v>
      </c>
      <c r="F9" s="23">
        <f ca="1">C9 - TODAY()</f>
        <v>176</v>
      </c>
    </row>
    <row r="10" spans="2:6" s="22" customFormat="1" ht="16.5" x14ac:dyDescent="0.3">
      <c r="B10" s="26">
        <v>71622</v>
      </c>
      <c r="C10" s="25">
        <v>46286</v>
      </c>
      <c r="D10" s="24" t="s">
        <v>43</v>
      </c>
      <c r="E10" s="24" t="s">
        <v>125</v>
      </c>
      <c r="F10" s="23">
        <f ca="1">C10 - TODAY()</f>
        <v>178</v>
      </c>
    </row>
    <row r="11" spans="2:6" s="22" customFormat="1" ht="16.5" x14ac:dyDescent="0.3">
      <c r="B11" s="26">
        <v>71621</v>
      </c>
      <c r="C11" s="25">
        <v>46286</v>
      </c>
      <c r="D11" s="24" t="s">
        <v>43</v>
      </c>
      <c r="E11" s="24" t="s">
        <v>124</v>
      </c>
      <c r="F11" s="23">
        <f ca="1">C11 - TODAY()</f>
        <v>178</v>
      </c>
    </row>
    <row r="12" spans="2:6" s="22" customFormat="1" ht="16.5" x14ac:dyDescent="0.3">
      <c r="B12" s="26">
        <v>72471</v>
      </c>
      <c r="C12" s="25">
        <v>46321</v>
      </c>
      <c r="D12" s="24" t="s">
        <v>24</v>
      </c>
      <c r="E12" s="24" t="s">
        <v>123</v>
      </c>
      <c r="F12" s="23">
        <f ca="1">C12 - TODAY()</f>
        <v>213</v>
      </c>
    </row>
    <row r="13" spans="2:6" s="22" customFormat="1" ht="16.5" x14ac:dyDescent="0.3">
      <c r="B13" s="26">
        <v>72472</v>
      </c>
      <c r="C13" s="25">
        <v>46321</v>
      </c>
      <c r="D13" s="24" t="s">
        <v>24</v>
      </c>
      <c r="E13" s="24" t="s">
        <v>122</v>
      </c>
      <c r="F13" s="23">
        <f ca="1">C13 - TODAY()</f>
        <v>213</v>
      </c>
    </row>
    <row r="14" spans="2:6" s="22" customFormat="1" ht="16.5" x14ac:dyDescent="0.3">
      <c r="B14" s="26">
        <v>72476</v>
      </c>
      <c r="C14" s="25">
        <v>46321</v>
      </c>
      <c r="D14" s="24" t="s">
        <v>24</v>
      </c>
      <c r="E14" s="24" t="s">
        <v>121</v>
      </c>
      <c r="F14" s="23">
        <f ca="1">C14 - TODAY()</f>
        <v>213</v>
      </c>
    </row>
    <row r="15" spans="2:6" s="22" customFormat="1" ht="16.5" x14ac:dyDescent="0.3">
      <c r="B15" s="26">
        <v>72477</v>
      </c>
      <c r="C15" s="25">
        <v>46321</v>
      </c>
      <c r="D15" s="24" t="s">
        <v>24</v>
      </c>
      <c r="E15" s="24" t="s">
        <v>120</v>
      </c>
      <c r="F15" s="23">
        <f ca="1">C15 - TODAY()</f>
        <v>213</v>
      </c>
    </row>
    <row r="16" spans="2:6" s="22" customFormat="1" ht="16.5" x14ac:dyDescent="0.3">
      <c r="B16" s="26">
        <v>72470</v>
      </c>
      <c r="C16" s="25">
        <v>46321</v>
      </c>
      <c r="D16" s="24" t="s">
        <v>24</v>
      </c>
      <c r="E16" s="24" t="s">
        <v>119</v>
      </c>
      <c r="F16" s="23">
        <f ca="1">C16 - TODAY()</f>
        <v>213</v>
      </c>
    </row>
    <row r="17" spans="2:6" s="22" customFormat="1" ht="16.5" x14ac:dyDescent="0.3">
      <c r="B17" s="26">
        <v>72473</v>
      </c>
      <c r="C17" s="25">
        <v>46321</v>
      </c>
      <c r="D17" s="24" t="s">
        <v>24</v>
      </c>
      <c r="E17" s="24" t="s">
        <v>118</v>
      </c>
      <c r="F17" s="23">
        <f ca="1">C17 - TODAY()</f>
        <v>213</v>
      </c>
    </row>
    <row r="18" spans="2:6" s="22" customFormat="1" ht="16.5" x14ac:dyDescent="0.3">
      <c r="B18" s="26">
        <v>72484</v>
      </c>
      <c r="C18" s="25">
        <v>46321</v>
      </c>
      <c r="D18" s="24" t="s">
        <v>24</v>
      </c>
      <c r="E18" s="24" t="s">
        <v>117</v>
      </c>
      <c r="F18" s="23">
        <f ca="1">C18 - TODAY()</f>
        <v>213</v>
      </c>
    </row>
    <row r="19" spans="2:6" s="22" customFormat="1" ht="16.5" x14ac:dyDescent="0.3">
      <c r="B19" s="26">
        <v>72475</v>
      </c>
      <c r="C19" s="25">
        <v>46321</v>
      </c>
      <c r="D19" s="24" t="s">
        <v>24</v>
      </c>
      <c r="E19" s="24" t="s">
        <v>116</v>
      </c>
      <c r="F19" s="23">
        <f ca="1">C19 - TODAY()</f>
        <v>213</v>
      </c>
    </row>
    <row r="20" spans="2:6" s="22" customFormat="1" ht="16.5" x14ac:dyDescent="0.3">
      <c r="B20" s="26">
        <v>72474</v>
      </c>
      <c r="C20" s="25">
        <v>46321</v>
      </c>
      <c r="D20" s="24" t="s">
        <v>24</v>
      </c>
      <c r="E20" s="24" t="s">
        <v>115</v>
      </c>
      <c r="F20" s="23">
        <f ca="1">C20 - TODAY()</f>
        <v>213</v>
      </c>
    </row>
    <row r="21" spans="2:6" s="22" customFormat="1" ht="16.5" x14ac:dyDescent="0.3">
      <c r="B21" s="26">
        <v>72702</v>
      </c>
      <c r="C21" s="25">
        <v>46327</v>
      </c>
      <c r="D21" s="24" t="s">
        <v>24</v>
      </c>
      <c r="E21" s="24" t="s">
        <v>114</v>
      </c>
      <c r="F21" s="23">
        <f ca="1">C21 - TODAY()</f>
        <v>219</v>
      </c>
    </row>
    <row r="22" spans="2:6" s="22" customFormat="1" ht="16.5" x14ac:dyDescent="0.3">
      <c r="B22" s="26">
        <v>72722</v>
      </c>
      <c r="C22" s="25">
        <v>46327</v>
      </c>
      <c r="D22" s="24" t="s">
        <v>24</v>
      </c>
      <c r="E22" s="24" t="s">
        <v>113</v>
      </c>
      <c r="F22" s="23">
        <f ca="1">C22 - TODAY()</f>
        <v>219</v>
      </c>
    </row>
    <row r="23" spans="2:6" s="22" customFormat="1" ht="16.5" x14ac:dyDescent="0.3">
      <c r="B23" s="26">
        <v>72685</v>
      </c>
      <c r="C23" s="25">
        <v>46327</v>
      </c>
      <c r="D23" s="24" t="s">
        <v>24</v>
      </c>
      <c r="E23" s="24" t="s">
        <v>112</v>
      </c>
      <c r="F23" s="23">
        <f ca="1">C23 - TODAY()</f>
        <v>219</v>
      </c>
    </row>
    <row r="24" spans="2:6" s="22" customFormat="1" ht="16.5" x14ac:dyDescent="0.3">
      <c r="B24" s="26">
        <v>72623</v>
      </c>
      <c r="C24" s="25">
        <v>46327</v>
      </c>
      <c r="D24" s="24" t="s">
        <v>43</v>
      </c>
      <c r="E24" s="24" t="s">
        <v>111</v>
      </c>
      <c r="F24" s="23">
        <f ca="1">C24 - TODAY()</f>
        <v>219</v>
      </c>
    </row>
    <row r="25" spans="2:6" s="22" customFormat="1" ht="16.5" x14ac:dyDescent="0.3">
      <c r="B25" s="26">
        <v>72621</v>
      </c>
      <c r="C25" s="25">
        <v>46327</v>
      </c>
      <c r="D25" s="24" t="s">
        <v>43</v>
      </c>
      <c r="E25" s="24" t="s">
        <v>110</v>
      </c>
      <c r="F25" s="23">
        <f ca="1">C25 - TODAY()</f>
        <v>219</v>
      </c>
    </row>
    <row r="26" spans="2:6" s="22" customFormat="1" ht="16.5" x14ac:dyDescent="0.3">
      <c r="B26" s="26">
        <v>72622</v>
      </c>
      <c r="C26" s="25">
        <v>46327</v>
      </c>
      <c r="D26" s="24" t="s">
        <v>43</v>
      </c>
      <c r="E26" s="24" t="s">
        <v>109</v>
      </c>
      <c r="F26" s="23">
        <f ca="1">C26 - TODAY()</f>
        <v>219</v>
      </c>
    </row>
    <row r="27" spans="2:6" s="22" customFormat="1" ht="16.5" x14ac:dyDescent="0.3">
      <c r="B27" s="26">
        <v>72634</v>
      </c>
      <c r="C27" s="25">
        <v>46327</v>
      </c>
      <c r="D27" s="24" t="s">
        <v>43</v>
      </c>
      <c r="E27" s="24" t="s">
        <v>108</v>
      </c>
      <c r="F27" s="23">
        <f ca="1">C27 - TODAY()</f>
        <v>219</v>
      </c>
    </row>
    <row r="28" spans="2:6" s="22" customFormat="1" ht="16.5" x14ac:dyDescent="0.3">
      <c r="B28" s="26">
        <v>72624</v>
      </c>
      <c r="C28" s="25">
        <v>46327</v>
      </c>
      <c r="D28" s="24" t="s">
        <v>43</v>
      </c>
      <c r="E28" s="24" t="s">
        <v>107</v>
      </c>
      <c r="F28" s="23">
        <f ca="1">C28 - TODAY()</f>
        <v>219</v>
      </c>
    </row>
    <row r="29" spans="2:6" s="22" customFormat="1" ht="16.5" x14ac:dyDescent="0.3">
      <c r="B29" s="26">
        <v>41808</v>
      </c>
      <c r="C29" s="25">
        <v>46378</v>
      </c>
      <c r="D29" s="24" t="s">
        <v>43</v>
      </c>
      <c r="E29" s="24" t="s">
        <v>106</v>
      </c>
      <c r="F29" s="23">
        <f ca="1">C29 - TODAY()</f>
        <v>270</v>
      </c>
    </row>
    <row r="30" spans="2:6" s="22" customFormat="1" ht="16.5" x14ac:dyDescent="0.3">
      <c r="B30" s="26">
        <v>41809</v>
      </c>
      <c r="C30" s="25">
        <v>46378</v>
      </c>
      <c r="D30" s="24" t="s">
        <v>43</v>
      </c>
      <c r="E30" s="24" t="s">
        <v>105</v>
      </c>
      <c r="F30" s="23">
        <f ca="1">C30 - TODAY()</f>
        <v>270</v>
      </c>
    </row>
    <row r="31" spans="2:6" s="22" customFormat="1" ht="16.5" x14ac:dyDescent="0.3">
      <c r="B31" s="26">
        <v>41807</v>
      </c>
      <c r="C31" s="25">
        <v>46378</v>
      </c>
      <c r="D31" s="24" t="s">
        <v>43</v>
      </c>
      <c r="E31" s="24" t="s">
        <v>104</v>
      </c>
      <c r="F31" s="23">
        <f ca="1">C31 - TODAY()</f>
        <v>270</v>
      </c>
    </row>
    <row r="32" spans="2:6" s="22" customFormat="1" ht="16.5" x14ac:dyDescent="0.3">
      <c r="B32" s="26">
        <v>41806</v>
      </c>
      <c r="C32" s="25">
        <v>46378</v>
      </c>
      <c r="D32" s="24" t="s">
        <v>43</v>
      </c>
      <c r="E32" s="24" t="s">
        <v>103</v>
      </c>
      <c r="F32" s="23">
        <f ca="1">C32 - TODAY()</f>
        <v>270</v>
      </c>
    </row>
    <row r="33" spans="2:6" s="22" customFormat="1" ht="16.5" x14ac:dyDescent="0.3">
      <c r="B33" s="26">
        <v>43264</v>
      </c>
      <c r="C33" s="25">
        <v>46423</v>
      </c>
      <c r="D33" s="24" t="s">
        <v>43</v>
      </c>
      <c r="E33" s="24" t="s">
        <v>102</v>
      </c>
      <c r="F33" s="23">
        <f ca="1">C33 - TODAY()</f>
        <v>315</v>
      </c>
    </row>
    <row r="34" spans="2:6" s="22" customFormat="1" ht="16.5" x14ac:dyDescent="0.3">
      <c r="B34" s="26">
        <v>43242</v>
      </c>
      <c r="C34" s="25">
        <v>46424</v>
      </c>
      <c r="D34" s="24" t="s">
        <v>43</v>
      </c>
      <c r="E34" s="24" t="s">
        <v>101</v>
      </c>
      <c r="F34" s="23">
        <f ca="1">C34 - TODAY()</f>
        <v>316</v>
      </c>
    </row>
    <row r="35" spans="2:6" s="22" customFormat="1" ht="16.5" x14ac:dyDescent="0.3">
      <c r="B35" s="26">
        <v>43290</v>
      </c>
      <c r="C35" s="25">
        <v>46426</v>
      </c>
      <c r="D35" s="24" t="s">
        <v>43</v>
      </c>
      <c r="E35" s="24" t="s">
        <v>100</v>
      </c>
      <c r="F35" s="23">
        <f ca="1">C35 - TODAY()</f>
        <v>318</v>
      </c>
    </row>
    <row r="36" spans="2:6" s="22" customFormat="1" ht="16.5" x14ac:dyDescent="0.3">
      <c r="B36" s="26">
        <v>43323</v>
      </c>
      <c r="C36" s="25">
        <v>46427</v>
      </c>
      <c r="D36" s="24" t="s">
        <v>43</v>
      </c>
      <c r="E36" s="24" t="s">
        <v>99</v>
      </c>
      <c r="F36" s="23">
        <f ca="1">C36 - TODAY()</f>
        <v>319</v>
      </c>
    </row>
    <row r="37" spans="2:6" s="22" customFormat="1" ht="16.5" x14ac:dyDescent="0.3">
      <c r="B37" s="26">
        <v>50668</v>
      </c>
      <c r="C37" s="25">
        <v>46640</v>
      </c>
      <c r="D37" s="24" t="s">
        <v>43</v>
      </c>
      <c r="E37" s="24" t="s">
        <v>98</v>
      </c>
      <c r="F37" s="23">
        <f ca="1">C37 - TODAY()</f>
        <v>532</v>
      </c>
    </row>
    <row r="38" spans="2:6" s="22" customFormat="1" ht="16.5" x14ac:dyDescent="0.3">
      <c r="B38" s="26">
        <v>50667</v>
      </c>
      <c r="C38" s="25">
        <v>46640</v>
      </c>
      <c r="D38" s="24" t="s">
        <v>43</v>
      </c>
      <c r="E38" s="24" t="s">
        <v>97</v>
      </c>
      <c r="F38" s="23">
        <f ca="1">C38 - TODAY()</f>
        <v>532</v>
      </c>
    </row>
    <row r="39" spans="2:6" s="22" customFormat="1" ht="16.5" x14ac:dyDescent="0.3">
      <c r="B39" s="26">
        <v>50677</v>
      </c>
      <c r="C39" s="25">
        <v>46640</v>
      </c>
      <c r="D39" s="24" t="s">
        <v>43</v>
      </c>
      <c r="E39" s="24" t="s">
        <v>96</v>
      </c>
      <c r="F39" s="23">
        <f ca="1">C39 - TODAY()</f>
        <v>532</v>
      </c>
    </row>
    <row r="40" spans="2:6" s="22" customFormat="1" ht="16.5" x14ac:dyDescent="0.3">
      <c r="B40" s="26">
        <v>50680</v>
      </c>
      <c r="C40" s="25">
        <v>46640</v>
      </c>
      <c r="D40" s="24" t="s">
        <v>43</v>
      </c>
      <c r="E40" s="24" t="s">
        <v>95</v>
      </c>
      <c r="F40" s="23">
        <f ca="1">C40 - TODAY()</f>
        <v>532</v>
      </c>
    </row>
    <row r="41" spans="2:6" s="22" customFormat="1" ht="16.5" x14ac:dyDescent="0.3">
      <c r="B41" s="26">
        <v>18449</v>
      </c>
      <c r="C41" s="25">
        <v>46731</v>
      </c>
      <c r="D41" s="24" t="s">
        <v>43</v>
      </c>
      <c r="E41" s="24" t="s">
        <v>94</v>
      </c>
      <c r="F41" s="23">
        <f ca="1">C41 - TODAY()</f>
        <v>623</v>
      </c>
    </row>
    <row r="42" spans="2:6" s="22" customFormat="1" ht="16.5" x14ac:dyDescent="0.3">
      <c r="B42" s="26">
        <v>18450</v>
      </c>
      <c r="C42" s="25">
        <v>46731</v>
      </c>
      <c r="D42" s="24" t="s">
        <v>43</v>
      </c>
      <c r="E42" s="24" t="s">
        <v>93</v>
      </c>
      <c r="F42" s="23">
        <f ca="1">C42 - TODAY()</f>
        <v>623</v>
      </c>
    </row>
    <row r="43" spans="2:6" s="22" customFormat="1" ht="16.5" x14ac:dyDescent="0.3">
      <c r="B43" s="26">
        <v>18451</v>
      </c>
      <c r="C43" s="25">
        <v>46731</v>
      </c>
      <c r="D43" s="24" t="s">
        <v>43</v>
      </c>
      <c r="E43" s="24" t="s">
        <v>92</v>
      </c>
      <c r="F43" s="23">
        <f ca="1">C43 - TODAY()</f>
        <v>623</v>
      </c>
    </row>
    <row r="44" spans="2:6" s="22" customFormat="1" ht="16.5" x14ac:dyDescent="0.3">
      <c r="B44" s="26">
        <v>18610</v>
      </c>
      <c r="C44" s="25">
        <v>46738</v>
      </c>
      <c r="D44" s="24" t="s">
        <v>43</v>
      </c>
      <c r="E44" s="24" t="s">
        <v>91</v>
      </c>
      <c r="F44" s="23">
        <f ca="1">C44 - TODAY()</f>
        <v>630</v>
      </c>
    </row>
    <row r="45" spans="2:6" s="22" customFormat="1" ht="16.5" x14ac:dyDescent="0.3">
      <c r="B45" s="26">
        <v>19409</v>
      </c>
      <c r="C45" s="25">
        <v>46776</v>
      </c>
      <c r="D45" s="24" t="s">
        <v>43</v>
      </c>
      <c r="E45" s="24" t="s">
        <v>90</v>
      </c>
      <c r="F45" s="23">
        <f ca="1">C45 - TODAY()</f>
        <v>668</v>
      </c>
    </row>
    <row r="46" spans="2:6" s="22" customFormat="1" ht="16.5" x14ac:dyDescent="0.3">
      <c r="B46" s="26">
        <v>19407</v>
      </c>
      <c r="C46" s="25">
        <v>46776</v>
      </c>
      <c r="D46" s="24" t="s">
        <v>43</v>
      </c>
      <c r="E46" s="24" t="s">
        <v>89</v>
      </c>
      <c r="F46" s="23">
        <f ca="1">C46 - TODAY()</f>
        <v>668</v>
      </c>
    </row>
    <row r="47" spans="2:6" s="22" customFormat="1" ht="16.5" x14ac:dyDescent="0.3">
      <c r="B47" s="26">
        <v>19408</v>
      </c>
      <c r="C47" s="25">
        <v>46777</v>
      </c>
      <c r="D47" s="24" t="s">
        <v>43</v>
      </c>
      <c r="E47" s="24" t="s">
        <v>88</v>
      </c>
      <c r="F47" s="23">
        <f ca="1">C47 - TODAY()</f>
        <v>669</v>
      </c>
    </row>
    <row r="48" spans="2:6" s="22" customFormat="1" ht="16.5" x14ac:dyDescent="0.3">
      <c r="B48" s="26">
        <v>19404</v>
      </c>
      <c r="C48" s="25">
        <v>46777</v>
      </c>
      <c r="D48" s="24" t="s">
        <v>43</v>
      </c>
      <c r="E48" s="24" t="s">
        <v>87</v>
      </c>
      <c r="F48" s="23">
        <f ca="1">C48 - TODAY()</f>
        <v>669</v>
      </c>
    </row>
    <row r="49" spans="2:6" s="22" customFormat="1" ht="16.5" x14ac:dyDescent="0.3">
      <c r="B49" s="26">
        <v>19405</v>
      </c>
      <c r="C49" s="25">
        <v>46777</v>
      </c>
      <c r="D49" s="24" t="s">
        <v>43</v>
      </c>
      <c r="E49" s="24" t="s">
        <v>86</v>
      </c>
      <c r="F49" s="23">
        <f ca="1">C49 - TODAY()</f>
        <v>669</v>
      </c>
    </row>
    <row r="50" spans="2:6" s="22" customFormat="1" ht="16.5" x14ac:dyDescent="0.3">
      <c r="B50" s="26">
        <v>19406</v>
      </c>
      <c r="C50" s="25">
        <v>46777</v>
      </c>
      <c r="D50" s="24" t="s">
        <v>43</v>
      </c>
      <c r="E50" s="24" t="s">
        <v>85</v>
      </c>
      <c r="F50" s="23">
        <f ca="1">C50 - TODAY()</f>
        <v>669</v>
      </c>
    </row>
    <row r="51" spans="2:6" s="22" customFormat="1" ht="16.5" x14ac:dyDescent="0.3">
      <c r="B51" s="26">
        <v>19501</v>
      </c>
      <c r="C51" s="25">
        <v>46780</v>
      </c>
      <c r="D51" s="24" t="s">
        <v>43</v>
      </c>
      <c r="E51" s="24" t="s">
        <v>84</v>
      </c>
      <c r="F51" s="23">
        <f ca="1">C51 - TODAY()</f>
        <v>672</v>
      </c>
    </row>
    <row r="52" spans="2:6" s="22" customFormat="1" ht="16.5" x14ac:dyDescent="0.3">
      <c r="B52" s="26">
        <v>19480</v>
      </c>
      <c r="C52" s="25">
        <v>46780</v>
      </c>
      <c r="D52" s="24" t="s">
        <v>43</v>
      </c>
      <c r="E52" s="24" t="s">
        <v>83</v>
      </c>
      <c r="F52" s="23">
        <f ca="1">C52 - TODAY()</f>
        <v>672</v>
      </c>
    </row>
    <row r="53" spans="2:6" s="22" customFormat="1" ht="16.5" x14ac:dyDescent="0.3">
      <c r="B53" s="26">
        <v>19481</v>
      </c>
      <c r="C53" s="25">
        <v>46780</v>
      </c>
      <c r="D53" s="24" t="s">
        <v>43</v>
      </c>
      <c r="E53" s="24" t="s">
        <v>82</v>
      </c>
      <c r="F53" s="23">
        <f ca="1">C53 - TODAY()</f>
        <v>672</v>
      </c>
    </row>
    <row r="54" spans="2:6" s="22" customFormat="1" ht="16.5" x14ac:dyDescent="0.3">
      <c r="B54" s="26">
        <v>19517</v>
      </c>
      <c r="C54" s="25">
        <v>46781</v>
      </c>
      <c r="D54" s="24" t="s">
        <v>43</v>
      </c>
      <c r="E54" s="24" t="s">
        <v>81</v>
      </c>
      <c r="F54" s="23">
        <f ca="1">C54 - TODAY()</f>
        <v>673</v>
      </c>
    </row>
    <row r="55" spans="2:6" s="22" customFormat="1" ht="16.5" x14ac:dyDescent="0.3">
      <c r="B55" s="26">
        <v>19516</v>
      </c>
      <c r="C55" s="25">
        <v>46781</v>
      </c>
      <c r="D55" s="24" t="s">
        <v>43</v>
      </c>
      <c r="E55" s="24" t="s">
        <v>80</v>
      </c>
      <c r="F55" s="23">
        <f ca="1">C55 - TODAY()</f>
        <v>673</v>
      </c>
    </row>
    <row r="56" spans="2:6" s="22" customFormat="1" ht="16.5" x14ac:dyDescent="0.3">
      <c r="B56" s="26">
        <v>19509</v>
      </c>
      <c r="C56" s="25">
        <v>46781</v>
      </c>
      <c r="D56" s="24" t="s">
        <v>43</v>
      </c>
      <c r="E56" s="24" t="s">
        <v>79</v>
      </c>
      <c r="F56" s="23">
        <f ca="1">C56 - TODAY()</f>
        <v>673</v>
      </c>
    </row>
    <row r="57" spans="2:6" s="22" customFormat="1" ht="16.5" x14ac:dyDescent="0.3">
      <c r="B57" s="26">
        <v>54888</v>
      </c>
      <c r="C57" s="25">
        <v>46784</v>
      </c>
      <c r="D57" s="24" t="s">
        <v>43</v>
      </c>
      <c r="E57" s="24" t="s">
        <v>78</v>
      </c>
      <c r="F57" s="23">
        <f ca="1">C57 - TODAY()</f>
        <v>676</v>
      </c>
    </row>
    <row r="58" spans="2:6" s="22" customFormat="1" ht="16.5" x14ac:dyDescent="0.3">
      <c r="B58" s="26">
        <v>55088</v>
      </c>
      <c r="C58" s="25">
        <v>46787</v>
      </c>
      <c r="D58" s="24" t="s">
        <v>43</v>
      </c>
      <c r="E58" s="24" t="s">
        <v>77</v>
      </c>
      <c r="F58" s="23">
        <f ca="1">C58 - TODAY()</f>
        <v>679</v>
      </c>
    </row>
    <row r="59" spans="2:6" s="22" customFormat="1" ht="16.5" x14ac:dyDescent="0.3">
      <c r="B59" s="26">
        <v>55087</v>
      </c>
      <c r="C59" s="25">
        <v>46787</v>
      </c>
      <c r="D59" s="24" t="s">
        <v>43</v>
      </c>
      <c r="E59" s="24" t="s">
        <v>76</v>
      </c>
      <c r="F59" s="23">
        <f ca="1">C59 - TODAY()</f>
        <v>679</v>
      </c>
    </row>
    <row r="60" spans="2:6" s="22" customFormat="1" ht="16.5" x14ac:dyDescent="0.3">
      <c r="B60" s="26">
        <v>19832</v>
      </c>
      <c r="C60" s="25">
        <v>46789</v>
      </c>
      <c r="D60" s="24" t="s">
        <v>43</v>
      </c>
      <c r="E60" s="24" t="s">
        <v>75</v>
      </c>
      <c r="F60" s="23">
        <f ca="1">C60 - TODAY()</f>
        <v>681</v>
      </c>
    </row>
    <row r="61" spans="2:6" s="22" customFormat="1" ht="16.5" x14ac:dyDescent="0.3">
      <c r="B61" s="26">
        <v>19819</v>
      </c>
      <c r="C61" s="25">
        <v>46789</v>
      </c>
      <c r="D61" s="24" t="s">
        <v>43</v>
      </c>
      <c r="E61" s="24" t="s">
        <v>74</v>
      </c>
      <c r="F61" s="23">
        <f ca="1">C61 - TODAY()</f>
        <v>681</v>
      </c>
    </row>
    <row r="62" spans="2:6" s="22" customFormat="1" ht="16.5" x14ac:dyDescent="0.3">
      <c r="B62" s="26">
        <v>19830</v>
      </c>
      <c r="C62" s="25">
        <v>46789</v>
      </c>
      <c r="D62" s="24" t="s">
        <v>43</v>
      </c>
      <c r="E62" s="24" t="s">
        <v>73</v>
      </c>
      <c r="F62" s="23">
        <f ca="1">C62 - TODAY()</f>
        <v>681</v>
      </c>
    </row>
    <row r="63" spans="2:6" s="22" customFormat="1" ht="16.5" x14ac:dyDescent="0.3">
      <c r="B63" s="26">
        <v>19865</v>
      </c>
      <c r="C63" s="25">
        <v>46790</v>
      </c>
      <c r="D63" s="24" t="s">
        <v>43</v>
      </c>
      <c r="E63" s="24" t="s">
        <v>72</v>
      </c>
      <c r="F63" s="23">
        <f ca="1">C63 - TODAY()</f>
        <v>682</v>
      </c>
    </row>
    <row r="64" spans="2:6" s="22" customFormat="1" ht="16.5" x14ac:dyDescent="0.3">
      <c r="B64" s="26">
        <v>20095</v>
      </c>
      <c r="C64" s="25">
        <v>46796</v>
      </c>
      <c r="D64" s="24" t="s">
        <v>43</v>
      </c>
      <c r="E64" s="24" t="s">
        <v>71</v>
      </c>
      <c r="F64" s="23">
        <f ca="1">C64 - TODAY()</f>
        <v>688</v>
      </c>
    </row>
    <row r="65" spans="2:6" s="22" customFormat="1" ht="16.5" x14ac:dyDescent="0.3">
      <c r="B65" s="26">
        <v>20070</v>
      </c>
      <c r="C65" s="25">
        <v>46796</v>
      </c>
      <c r="D65" s="24" t="s">
        <v>43</v>
      </c>
      <c r="E65" s="24" t="s">
        <v>70</v>
      </c>
      <c r="F65" s="23">
        <f ca="1">C65 - TODAY()</f>
        <v>688</v>
      </c>
    </row>
    <row r="66" spans="2:6" s="22" customFormat="1" ht="16.5" x14ac:dyDescent="0.3">
      <c r="B66" s="26">
        <v>20072</v>
      </c>
      <c r="C66" s="25">
        <v>46796</v>
      </c>
      <c r="D66" s="24" t="s">
        <v>43</v>
      </c>
      <c r="E66" s="24" t="s">
        <v>69</v>
      </c>
      <c r="F66" s="23">
        <f ca="1">C66 - TODAY()</f>
        <v>688</v>
      </c>
    </row>
    <row r="67" spans="2:6" s="22" customFormat="1" ht="16.5" x14ac:dyDescent="0.3">
      <c r="B67" s="26">
        <v>55523</v>
      </c>
      <c r="C67" s="25">
        <v>46804</v>
      </c>
      <c r="D67" s="24" t="s">
        <v>43</v>
      </c>
      <c r="E67" s="24" t="s">
        <v>68</v>
      </c>
      <c r="F67" s="23">
        <f ca="1">C67 - TODAY()</f>
        <v>696</v>
      </c>
    </row>
    <row r="68" spans="2:6" s="22" customFormat="1" ht="16.5" x14ac:dyDescent="0.3">
      <c r="B68" s="26">
        <v>55524</v>
      </c>
      <c r="C68" s="25">
        <v>46804</v>
      </c>
      <c r="D68" s="24" t="s">
        <v>43</v>
      </c>
      <c r="E68" s="24" t="s">
        <v>67</v>
      </c>
      <c r="F68" s="23">
        <f ca="1">C68 - TODAY()</f>
        <v>696</v>
      </c>
    </row>
    <row r="69" spans="2:6" s="22" customFormat="1" ht="16.5" x14ac:dyDescent="0.3">
      <c r="B69" s="26">
        <v>55522</v>
      </c>
      <c r="C69" s="25">
        <v>46804</v>
      </c>
      <c r="D69" s="24" t="s">
        <v>43</v>
      </c>
      <c r="E69" s="24" t="s">
        <v>66</v>
      </c>
      <c r="F69" s="23">
        <f ca="1">C69 - TODAY()</f>
        <v>696</v>
      </c>
    </row>
    <row r="70" spans="2:6" s="22" customFormat="1" ht="16.5" x14ac:dyDescent="0.3">
      <c r="B70" s="26">
        <v>91947</v>
      </c>
      <c r="C70" s="25">
        <v>46819</v>
      </c>
      <c r="D70" s="24" t="s">
        <v>24</v>
      </c>
      <c r="E70" s="24" t="s">
        <v>65</v>
      </c>
      <c r="F70" s="23">
        <f ca="1">C70 - TODAY()</f>
        <v>711</v>
      </c>
    </row>
    <row r="71" spans="2:6" s="22" customFormat="1" ht="16.5" x14ac:dyDescent="0.3">
      <c r="B71" s="26">
        <v>91948</v>
      </c>
      <c r="C71" s="25">
        <v>46819</v>
      </c>
      <c r="D71" s="24" t="s">
        <v>24</v>
      </c>
      <c r="E71" s="24" t="s">
        <v>64</v>
      </c>
      <c r="F71" s="23">
        <f ca="1">C71 - TODAY()</f>
        <v>711</v>
      </c>
    </row>
    <row r="72" spans="2:6" s="22" customFormat="1" ht="16.5" x14ac:dyDescent="0.3">
      <c r="B72" s="26">
        <v>91946</v>
      </c>
      <c r="C72" s="25">
        <v>46819</v>
      </c>
      <c r="D72" s="24" t="s">
        <v>24</v>
      </c>
      <c r="E72" s="24" t="s">
        <v>63</v>
      </c>
      <c r="F72" s="23">
        <f ca="1">C72 - TODAY()</f>
        <v>711</v>
      </c>
    </row>
    <row r="73" spans="2:6" s="22" customFormat="1" ht="16.5" x14ac:dyDescent="0.3">
      <c r="B73" s="26">
        <v>91949</v>
      </c>
      <c r="C73" s="25">
        <v>46819</v>
      </c>
      <c r="D73" s="24" t="s">
        <v>24</v>
      </c>
      <c r="E73" s="24" t="s">
        <v>62</v>
      </c>
      <c r="F73" s="23">
        <f ca="1">C73 - TODAY()</f>
        <v>711</v>
      </c>
    </row>
    <row r="74" spans="2:6" s="22" customFormat="1" ht="16.5" x14ac:dyDescent="0.3">
      <c r="B74" s="26">
        <v>91950</v>
      </c>
      <c r="C74" s="25">
        <v>46819</v>
      </c>
      <c r="D74" s="24" t="s">
        <v>24</v>
      </c>
      <c r="E74" s="24" t="s">
        <v>61</v>
      </c>
      <c r="F74" s="23">
        <f ca="1">C74 - TODAY()</f>
        <v>711</v>
      </c>
    </row>
    <row r="75" spans="2:6" s="22" customFormat="1" ht="16.5" x14ac:dyDescent="0.3">
      <c r="B75" s="26">
        <v>91954</v>
      </c>
      <c r="C75" s="25">
        <v>46819</v>
      </c>
      <c r="D75" s="24" t="s">
        <v>24</v>
      </c>
      <c r="E75" s="24" t="s">
        <v>60</v>
      </c>
      <c r="F75" s="23">
        <f ca="1">C75 - TODAY()</f>
        <v>711</v>
      </c>
    </row>
    <row r="76" spans="2:6" s="22" customFormat="1" ht="16.5" x14ac:dyDescent="0.3">
      <c r="B76" s="26">
        <v>92147</v>
      </c>
      <c r="C76" s="25">
        <v>46825</v>
      </c>
      <c r="D76" s="24" t="s">
        <v>24</v>
      </c>
      <c r="E76" s="24" t="s">
        <v>59</v>
      </c>
      <c r="F76" s="23">
        <f ca="1">C76 - TODAY()</f>
        <v>717</v>
      </c>
    </row>
    <row r="77" spans="2:6" s="22" customFormat="1" ht="16.5" x14ac:dyDescent="0.3">
      <c r="B77" s="26">
        <v>56753</v>
      </c>
      <c r="C77" s="25">
        <v>46849</v>
      </c>
      <c r="D77" s="24" t="s">
        <v>43</v>
      </c>
      <c r="E77" s="24" t="s">
        <v>58</v>
      </c>
      <c r="F77" s="23">
        <f ca="1">C77 - TODAY()</f>
        <v>741</v>
      </c>
    </row>
    <row r="78" spans="2:6" s="22" customFormat="1" ht="16.5" x14ac:dyDescent="0.3">
      <c r="B78" s="26">
        <v>56752</v>
      </c>
      <c r="C78" s="25">
        <v>46849</v>
      </c>
      <c r="D78" s="24" t="s">
        <v>43</v>
      </c>
      <c r="E78" s="24" t="s">
        <v>57</v>
      </c>
      <c r="F78" s="23">
        <f ca="1">C78 - TODAY()</f>
        <v>741</v>
      </c>
    </row>
    <row r="79" spans="2:6" s="22" customFormat="1" ht="16.5" x14ac:dyDescent="0.3">
      <c r="B79" s="26">
        <v>56751</v>
      </c>
      <c r="C79" s="25">
        <v>46849</v>
      </c>
      <c r="D79" s="24" t="s">
        <v>43</v>
      </c>
      <c r="E79" s="24" t="s">
        <v>56</v>
      </c>
      <c r="F79" s="23">
        <f ca="1">C79 - TODAY()</f>
        <v>741</v>
      </c>
    </row>
    <row r="80" spans="2:6" s="22" customFormat="1" ht="16.5" x14ac:dyDescent="0.3">
      <c r="B80" s="26">
        <v>93719</v>
      </c>
      <c r="C80" s="25">
        <v>46860</v>
      </c>
      <c r="D80" s="24" t="s">
        <v>43</v>
      </c>
      <c r="E80" s="24" t="s">
        <v>55</v>
      </c>
      <c r="F80" s="23">
        <f ca="1">C80 - TODAY()</f>
        <v>752</v>
      </c>
    </row>
    <row r="81" spans="2:6" s="22" customFormat="1" ht="16.5" x14ac:dyDescent="0.3">
      <c r="B81" s="26">
        <v>94709</v>
      </c>
      <c r="C81" s="25">
        <v>46885</v>
      </c>
      <c r="D81" s="24" t="s">
        <v>43</v>
      </c>
      <c r="E81" s="24" t="s">
        <v>54</v>
      </c>
      <c r="F81" s="23">
        <f ca="1">C81 - TODAY()</f>
        <v>777</v>
      </c>
    </row>
    <row r="82" spans="2:6" s="22" customFormat="1" ht="16.5" x14ac:dyDescent="0.3">
      <c r="B82" s="26">
        <v>58432</v>
      </c>
      <c r="C82" s="25">
        <v>46906</v>
      </c>
      <c r="D82" s="24" t="s">
        <v>43</v>
      </c>
      <c r="E82" s="24" t="s">
        <v>53</v>
      </c>
      <c r="F82" s="23">
        <f ca="1">C82 - TODAY()</f>
        <v>798</v>
      </c>
    </row>
    <row r="83" spans="2:6" s="22" customFormat="1" ht="16.5" x14ac:dyDescent="0.3">
      <c r="B83" s="26">
        <v>58430</v>
      </c>
      <c r="C83" s="25">
        <v>46907</v>
      </c>
      <c r="D83" s="24" t="s">
        <v>43</v>
      </c>
      <c r="E83" s="24" t="s">
        <v>52</v>
      </c>
      <c r="F83" s="23">
        <f ca="1">C83 - TODAY()</f>
        <v>799</v>
      </c>
    </row>
    <row r="84" spans="2:6" s="22" customFormat="1" ht="16.5" x14ac:dyDescent="0.3">
      <c r="B84" s="26">
        <v>58625</v>
      </c>
      <c r="C84" s="25">
        <v>46913</v>
      </c>
      <c r="D84" s="24" t="s">
        <v>43</v>
      </c>
      <c r="E84" s="24" t="s">
        <v>51</v>
      </c>
      <c r="F84" s="23">
        <f ca="1">C84 - TODAY()</f>
        <v>805</v>
      </c>
    </row>
    <row r="85" spans="2:6" s="22" customFormat="1" ht="16.5" x14ac:dyDescent="0.3">
      <c r="B85" s="26">
        <v>60051</v>
      </c>
      <c r="C85" s="25">
        <v>46946</v>
      </c>
      <c r="D85" s="24" t="s">
        <v>43</v>
      </c>
      <c r="E85" s="24" t="s">
        <v>50</v>
      </c>
      <c r="F85" s="23">
        <f ca="1">C85 - TODAY()</f>
        <v>838</v>
      </c>
    </row>
    <row r="86" spans="2:6" s="22" customFormat="1" ht="16.5" x14ac:dyDescent="0.3">
      <c r="B86" s="26">
        <v>59787</v>
      </c>
      <c r="C86" s="25">
        <v>46947</v>
      </c>
      <c r="D86" s="24" t="s">
        <v>43</v>
      </c>
      <c r="E86" s="24" t="s">
        <v>49</v>
      </c>
      <c r="F86" s="23">
        <f ca="1">C86 - TODAY()</f>
        <v>839</v>
      </c>
    </row>
    <row r="87" spans="2:6" s="22" customFormat="1" ht="16.5" x14ac:dyDescent="0.3">
      <c r="B87" s="26">
        <v>59751</v>
      </c>
      <c r="C87" s="25">
        <v>46947</v>
      </c>
      <c r="D87" s="24" t="s">
        <v>43</v>
      </c>
      <c r="E87" s="24" t="s">
        <v>48</v>
      </c>
      <c r="F87" s="23">
        <f ca="1">C87 - TODAY()</f>
        <v>839</v>
      </c>
    </row>
    <row r="88" spans="2:6" s="22" customFormat="1" ht="16.5" x14ac:dyDescent="0.3">
      <c r="B88" s="26">
        <v>59749</v>
      </c>
      <c r="C88" s="25">
        <v>46947</v>
      </c>
      <c r="D88" s="24" t="s">
        <v>43</v>
      </c>
      <c r="E88" s="24" t="s">
        <v>47</v>
      </c>
      <c r="F88" s="23">
        <f ca="1">C88 - TODAY()</f>
        <v>839</v>
      </c>
    </row>
    <row r="89" spans="2:6" s="22" customFormat="1" ht="16.5" x14ac:dyDescent="0.3">
      <c r="B89" s="26">
        <v>60055</v>
      </c>
      <c r="C89" s="25">
        <v>46955</v>
      </c>
      <c r="D89" s="24" t="s">
        <v>43</v>
      </c>
      <c r="E89" s="24" t="s">
        <v>46</v>
      </c>
      <c r="F89" s="23">
        <f ca="1">C89 - TODAY()</f>
        <v>847</v>
      </c>
    </row>
    <row r="90" spans="2:6" s="22" customFormat="1" ht="16.5" x14ac:dyDescent="0.3">
      <c r="B90" s="26">
        <v>60050</v>
      </c>
      <c r="C90" s="25">
        <v>46955</v>
      </c>
      <c r="D90" s="24" t="s">
        <v>43</v>
      </c>
      <c r="E90" s="24" t="s">
        <v>45</v>
      </c>
      <c r="F90" s="23">
        <f ca="1">C90 - TODAY()</f>
        <v>847</v>
      </c>
    </row>
    <row r="91" spans="2:6" s="22" customFormat="1" ht="16.5" x14ac:dyDescent="0.3">
      <c r="B91" s="26">
        <v>60056</v>
      </c>
      <c r="C91" s="25">
        <v>46955</v>
      </c>
      <c r="D91" s="24" t="s">
        <v>43</v>
      </c>
      <c r="E91" s="24" t="s">
        <v>44</v>
      </c>
      <c r="F91" s="23">
        <f ca="1">C91 - TODAY()</f>
        <v>847</v>
      </c>
    </row>
    <row r="92" spans="2:6" s="22" customFormat="1" ht="16.5" x14ac:dyDescent="0.3">
      <c r="B92" s="26">
        <v>25269</v>
      </c>
      <c r="C92" s="25">
        <v>46958</v>
      </c>
      <c r="D92" s="24" t="s">
        <v>43</v>
      </c>
      <c r="E92" s="24" t="s">
        <v>42</v>
      </c>
      <c r="F92" s="23">
        <f ca="1">C92 - TODAY()</f>
        <v>850</v>
      </c>
    </row>
    <row r="93" spans="2:6" s="22" customFormat="1" ht="16.5" x14ac:dyDescent="0.3">
      <c r="B93" s="24" t="s">
        <v>41</v>
      </c>
      <c r="C93" s="25">
        <v>47187</v>
      </c>
      <c r="D93" s="24" t="s">
        <v>24</v>
      </c>
      <c r="E93" s="24" t="s">
        <v>40</v>
      </c>
      <c r="F93" s="23">
        <f ca="1">C93 - TODAY()</f>
        <v>1079</v>
      </c>
    </row>
    <row r="94" spans="2:6" s="22" customFormat="1" ht="16.5" x14ac:dyDescent="0.3">
      <c r="B94" s="24" t="s">
        <v>39</v>
      </c>
      <c r="C94" s="25">
        <v>47187</v>
      </c>
      <c r="D94" s="24" t="s">
        <v>24</v>
      </c>
      <c r="E94" s="24" t="s">
        <v>38</v>
      </c>
      <c r="F94" s="23">
        <f ca="1">C94 - TODAY()</f>
        <v>1079</v>
      </c>
    </row>
    <row r="95" spans="2:6" s="22" customFormat="1" ht="16.5" x14ac:dyDescent="0.3">
      <c r="B95" s="24" t="s">
        <v>37</v>
      </c>
      <c r="C95" s="25">
        <v>47187</v>
      </c>
      <c r="D95" s="24" t="s">
        <v>24</v>
      </c>
      <c r="E95" s="24" t="s">
        <v>36</v>
      </c>
      <c r="F95" s="23">
        <f ca="1">C95 - TODAY()</f>
        <v>1079</v>
      </c>
    </row>
    <row r="96" spans="2:6" s="22" customFormat="1" ht="16.5" x14ac:dyDescent="0.3">
      <c r="B96" s="24" t="s">
        <v>35</v>
      </c>
      <c r="C96" s="25">
        <v>47187</v>
      </c>
      <c r="D96" s="24" t="s">
        <v>24</v>
      </c>
      <c r="E96" s="24" t="s">
        <v>34</v>
      </c>
      <c r="F96" s="23">
        <f ca="1">C96 - TODAY()</f>
        <v>1079</v>
      </c>
    </row>
    <row r="97" spans="2:6" s="22" customFormat="1" ht="16.5" x14ac:dyDescent="0.3">
      <c r="B97" s="24" t="s">
        <v>33</v>
      </c>
      <c r="C97" s="25">
        <v>47187</v>
      </c>
      <c r="D97" s="24" t="s">
        <v>24</v>
      </c>
      <c r="E97" s="24" t="s">
        <v>32</v>
      </c>
      <c r="F97" s="23">
        <f ca="1">C97 - TODAY()</f>
        <v>1079</v>
      </c>
    </row>
    <row r="98" spans="2:6" s="22" customFormat="1" ht="16.5" x14ac:dyDescent="0.3">
      <c r="B98" s="26">
        <v>31243</v>
      </c>
      <c r="C98" s="25">
        <v>47534</v>
      </c>
      <c r="D98" s="24" t="s">
        <v>24</v>
      </c>
      <c r="E98" s="24" t="s">
        <v>31</v>
      </c>
      <c r="F98" s="23">
        <f ca="1">C98 - TODAY()</f>
        <v>1426</v>
      </c>
    </row>
    <row r="99" spans="2:6" s="22" customFormat="1" ht="16.5" x14ac:dyDescent="0.3">
      <c r="B99" s="26">
        <v>31240</v>
      </c>
      <c r="C99" s="25">
        <v>47534</v>
      </c>
      <c r="D99" s="24" t="s">
        <v>24</v>
      </c>
      <c r="E99" s="24" t="s">
        <v>30</v>
      </c>
      <c r="F99" s="23">
        <f ca="1">C99 - TODAY()</f>
        <v>1426</v>
      </c>
    </row>
    <row r="100" spans="2:6" s="22" customFormat="1" ht="16.5" x14ac:dyDescent="0.3">
      <c r="B100" s="26">
        <v>31241</v>
      </c>
      <c r="C100" s="25">
        <v>47534</v>
      </c>
      <c r="D100" s="24" t="s">
        <v>24</v>
      </c>
      <c r="E100" s="24" t="s">
        <v>29</v>
      </c>
      <c r="F100" s="23">
        <f ca="1">C100 - TODAY()</f>
        <v>1426</v>
      </c>
    </row>
    <row r="101" spans="2:6" s="22" customFormat="1" ht="16.5" x14ac:dyDescent="0.3">
      <c r="B101" s="26">
        <v>31239</v>
      </c>
      <c r="C101" s="25">
        <v>47534</v>
      </c>
      <c r="D101" s="24" t="s">
        <v>24</v>
      </c>
      <c r="E101" s="24" t="s">
        <v>28</v>
      </c>
      <c r="F101" s="23">
        <f ca="1">C101 - TODAY()</f>
        <v>1426</v>
      </c>
    </row>
    <row r="102" spans="2:6" s="22" customFormat="1" ht="16.5" x14ac:dyDescent="0.3">
      <c r="B102" s="26">
        <v>31242</v>
      </c>
      <c r="C102" s="25">
        <v>47534</v>
      </c>
      <c r="D102" s="24" t="s">
        <v>24</v>
      </c>
      <c r="E102" s="24" t="s">
        <v>27</v>
      </c>
      <c r="F102" s="23">
        <f ca="1">C102 - TODAY()</f>
        <v>1426</v>
      </c>
    </row>
    <row r="103" spans="2:6" s="22" customFormat="1" ht="16.5" x14ac:dyDescent="0.3">
      <c r="B103" s="26">
        <v>31244</v>
      </c>
      <c r="C103" s="25">
        <v>47534</v>
      </c>
      <c r="D103" s="24" t="s">
        <v>24</v>
      </c>
      <c r="E103" s="24" t="s">
        <v>26</v>
      </c>
      <c r="F103" s="23">
        <f ca="1">C103 - TODAY()</f>
        <v>1426</v>
      </c>
    </row>
    <row r="104" spans="2:6" s="22" customFormat="1" ht="16.5" x14ac:dyDescent="0.3">
      <c r="B104" s="26">
        <v>31237</v>
      </c>
      <c r="C104" s="25">
        <v>47534</v>
      </c>
      <c r="D104" s="24" t="s">
        <v>24</v>
      </c>
      <c r="E104" s="24" t="s">
        <v>25</v>
      </c>
      <c r="F104" s="23">
        <f ca="1">C104 - TODAY()</f>
        <v>1426</v>
      </c>
    </row>
    <row r="105" spans="2:6" s="22" customFormat="1" ht="16.5" x14ac:dyDescent="0.3">
      <c r="B105" s="26">
        <v>32912</v>
      </c>
      <c r="C105" s="25">
        <v>47580</v>
      </c>
      <c r="D105" s="24" t="s">
        <v>24</v>
      </c>
      <c r="E105" s="24" t="s">
        <v>23</v>
      </c>
      <c r="F105" s="23">
        <f ca="1">C105 - TODAY()</f>
        <v>1472</v>
      </c>
    </row>
    <row r="106" spans="2:6" s="22" customFormat="1" x14ac:dyDescent="0.25"/>
  </sheetData>
  <phoneticPr fontId="2" type="noConversion"/>
  <conditionalFormatting sqref="F3:F105">
    <cfRule type="dataBar" priority="1">
      <dataBar>
        <cfvo type="num" val="0"/>
        <cfvo type="num" val="1460"/>
        <color rgb="FFFDB9B9"/>
      </dataBar>
      <extLst>
        <ext xmlns:x14="http://schemas.microsoft.com/office/spreadsheetml/2009/9/main" uri="{B025F937-C7B1-47D3-B67F-A62EFF666E3E}">
          <x14:id>{C294716F-DD80-4918-AE3D-981BDBE07E02}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294716F-DD80-4918-AE3D-981BDBE07E02}">
            <x14:dataBar minLength="0" maxLength="100" gradient="0">
              <x14:cfvo type="num">
                <xm:f>0</xm:f>
              </x14:cfvo>
              <x14:cfvo type="num">
                <xm:f>1460</xm:f>
              </x14:cfvo>
              <x14:negativeFillColor rgb="FFFF0000"/>
              <x14:axisColor rgb="FF000000"/>
            </x14:dataBar>
          </x14:cfRule>
          <xm:sqref>F3:F105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44149-5711-4380-AFA9-3BD487FFE7D0}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1</vt:i4>
      </vt:variant>
    </vt:vector>
  </HeadingPairs>
  <TitlesOfParts>
    <vt:vector size="4" baseType="lpstr">
      <vt:lpstr>매그나텍 인증관련</vt:lpstr>
      <vt:lpstr>고효율인증유효기간</vt:lpstr>
      <vt:lpstr>Sheet1</vt:lpstr>
      <vt:lpstr>'매그나텍 인증관련'!Print_Area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vct</dc:creator>
  <cp:lastModifiedBy>vct</cp:lastModifiedBy>
  <dcterms:created xsi:type="dcterms:W3CDTF">2026-03-27T04:21:45Z</dcterms:created>
  <dcterms:modified xsi:type="dcterms:W3CDTF">2026-03-27T04:27:01Z</dcterms:modified>
</cp:coreProperties>
</file>