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이지훈\Desktop\260320\"/>
    </mc:Choice>
  </mc:AlternateContent>
  <bookViews>
    <workbookView xWindow="90" yWindow="1890" windowWidth="28010" windowHeight="7920" tabRatio="872" firstSheet="2" activeTab="8"/>
  </bookViews>
  <sheets>
    <sheet name="보안,가로등기구 (SLA)" sheetId="28" r:id="rId1"/>
    <sheet name="가로등기구" sheetId="1" r:id="rId2"/>
    <sheet name="보안등기구" sheetId="5" r:id="rId3"/>
    <sheet name="터널등기구" sheetId="6" r:id="rId4"/>
    <sheet name="투광등기구(BATOO)" sheetId="7" r:id="rId5"/>
    <sheet name="투광등기구(MT-FL)" sheetId="14" r:id="rId6"/>
    <sheet name="투광등기구(ARENA)" sheetId="13" r:id="rId7"/>
    <sheet name="투광등 대표모델 About원가" sheetId="29" r:id="rId8"/>
    <sheet name="투광등기구(STA)" sheetId="17" r:id="rId9"/>
    <sheet name="투광등기구(STA S)" sheetId="22" r:id="rId10"/>
    <sheet name="조명타워" sheetId="19" r:id="rId11"/>
    <sheet name="사다리계산" sheetId="27" r:id="rId12"/>
    <sheet name="스텐가로등주" sheetId="21" r:id="rId13"/>
    <sheet name="철제가로등주" sheetId="26" r:id="rId14"/>
    <sheet name="태양광가로등 " sheetId="25" r:id="rId15"/>
    <sheet name="태양광가로등(조달)" sheetId="31" r:id="rId16"/>
  </sheets>
  <definedNames>
    <definedName name="____PN1" localSheetId="14">#REF!</definedName>
    <definedName name="____PN1">#REF!</definedName>
    <definedName name="____PN2" localSheetId="14">#REF!</definedName>
    <definedName name="____PN2">#REF!</definedName>
    <definedName name="____St2" localSheetId="14">IF(#REF!="RAC",'태양광가로등 '!ST_2,IF(#REF!="MAC",'태양광가로등 '!ST_2,IF(#REF!="PAC",'태양광가로등 '!ST_2,"kkk")))</definedName>
    <definedName name="____St2">IF(#REF!="RAC",ST_2,IF(#REF!="MAC",ST_2,IF(#REF!="PAC",ST_2,"kkk")))</definedName>
    <definedName name="___PN1" localSheetId="14">#REF!</definedName>
    <definedName name="___PN1">#REF!</definedName>
    <definedName name="___PN2" localSheetId="14">#REF!</definedName>
    <definedName name="___PN2">#REF!</definedName>
    <definedName name="___St2" localSheetId="14">IF(#REF!="RAC",'태양광가로등 '!ST_2,IF(#REF!="MAC",'태양광가로등 '!ST_2,IF(#REF!="PAC",'태양광가로등 '!ST_2,"kkk")))</definedName>
    <definedName name="___St2">IF(#REF!="RAC",ST_2,IF(#REF!="MAC",ST_2,IF(#REF!="PAC",ST_2,"kkk")))</definedName>
    <definedName name="__PN1" localSheetId="14">#REF!</definedName>
    <definedName name="__PN1">#REF!</definedName>
    <definedName name="__PN2" localSheetId="14">#REF!</definedName>
    <definedName name="__PN2">#REF!</definedName>
    <definedName name="__St2">#N/A</definedName>
    <definedName name="_xlnm._FilterDatabase" localSheetId="1" hidden="1">가로등기구!$A$13:$K$50</definedName>
    <definedName name="_xlnm._FilterDatabase" localSheetId="0" hidden="1">'보안,가로등기구 (SLA)'!$A$13:$K$41</definedName>
    <definedName name="_xlnm._FilterDatabase" localSheetId="2" hidden="1">보안등기구!$A$14:$K$46</definedName>
    <definedName name="_xlnm._FilterDatabase" localSheetId="14" hidden="1">'태양광가로등 '!$A$7:$J$38</definedName>
    <definedName name="_xlnm._FilterDatabase" localSheetId="3" hidden="1">터널등기구!$A$16:$K$107</definedName>
    <definedName name="_xlnm._FilterDatabase" localSheetId="6" hidden="1">'투광등기구(ARENA)'!$A$27:$K$1094</definedName>
    <definedName name="_xlnm._FilterDatabase" localSheetId="4" hidden="1">'투광등기구(BATOO)'!$A$26:$K$421</definedName>
    <definedName name="_xlnm._FilterDatabase" localSheetId="5" hidden="1">'투광등기구(MT-FL)'!$A$21:$K$315</definedName>
    <definedName name="_xlnm._FilterDatabase" localSheetId="9" hidden="1">'투광등기구(STA S)'!$A$10:$L$186</definedName>
    <definedName name="_xlnm._FilterDatabase" localSheetId="8" hidden="1">'투광등기구(STA)'!$A$9:$L$189</definedName>
    <definedName name="_PN1" localSheetId="14">#REF!</definedName>
    <definedName name="_PN1">#REF!</definedName>
    <definedName name="_PN2" localSheetId="14">#REF!</definedName>
    <definedName name="_PN2">#REF!</definedName>
    <definedName name="_St2">#N/A</definedName>
    <definedName name="A" localSheetId="14">#REF!</definedName>
    <definedName name="A">#REF!</definedName>
    <definedName name="AAAA" localSheetId="14">#REF!</definedName>
    <definedName name="AAAA">#REF!</definedName>
    <definedName name="ABC" localSheetId="14">#REF!</definedName>
    <definedName name="ABC">#REF!</definedName>
    <definedName name="ASFADSF" localSheetId="14">#REF!</definedName>
    <definedName name="ASFADSF">#REF!</definedName>
    <definedName name="axbo" localSheetId="14">#REF!</definedName>
    <definedName name="axbo">#REF!</definedName>
    <definedName name="Buyer_Code" localSheetId="14">#REF!</definedName>
    <definedName name="Buyer_Code">#REF!</definedName>
    <definedName name="Buyer_Name" localSheetId="14">#REF!</definedName>
    <definedName name="Buyer_Name">#REF!</definedName>
    <definedName name="D" localSheetId="14">#REF!</definedName>
    <definedName name="D">#REF!</definedName>
    <definedName name="DD" localSheetId="14">#REF!</definedName>
    <definedName name="DD">#REF!</definedName>
    <definedName name="DFD" localSheetId="14">#REF!</definedName>
    <definedName name="DFD">#REF!</definedName>
    <definedName name="ds" localSheetId="14">#REF!</definedName>
    <definedName name="ds">#REF!</definedName>
    <definedName name="fdg" localSheetId="14">#REF!</definedName>
    <definedName name="fdg">#REF!</definedName>
    <definedName name="GFSDGSFDGA" localSheetId="14">#REF!</definedName>
    <definedName name="GFSDGSFDGA">#REF!</definedName>
    <definedName name="hhm" localSheetId="14">#REF!</definedName>
    <definedName name="hhm">#REF!</definedName>
    <definedName name="hj" localSheetId="14">#REF!</definedName>
    <definedName name="hj">#REF!</definedName>
    <definedName name="HS_No" localSheetId="14">#REF!</definedName>
    <definedName name="HS_No">#REF!</definedName>
    <definedName name="jh" localSheetId="14">#REF!</definedName>
    <definedName name="jh">#REF!</definedName>
    <definedName name="jhjhj" localSheetId="14">#REF!</definedName>
    <definedName name="jhjhj">#REF!</definedName>
    <definedName name="kki" localSheetId="14">#REF!</definedName>
    <definedName name="kki">#REF!</definedName>
    <definedName name="KL" localSheetId="14">#REF!</definedName>
    <definedName name="KL">#REF!</definedName>
    <definedName name="lklk" localSheetId="14">#REF!</definedName>
    <definedName name="lklk">#REF!</definedName>
    <definedName name="LKLKLKL" localSheetId="14">#REF!</definedName>
    <definedName name="LKLKLKL">#REF!</definedName>
    <definedName name="lll" localSheetId="14">#REF!</definedName>
    <definedName name="lll">#REF!</definedName>
    <definedName name="lllk" localSheetId="14">#REF!</definedName>
    <definedName name="lllk">#REF!</definedName>
    <definedName name="llllk" localSheetId="14">#REF!</definedName>
    <definedName name="llllk">#REF!</definedName>
    <definedName name="pl" localSheetId="14">#REF!</definedName>
    <definedName name="pl">#REF!</definedName>
    <definedName name="PM" localSheetId="14">#REF!</definedName>
    <definedName name="PM">#REF!</definedName>
    <definedName name="PN_T" localSheetId="14">IF(#REF!="WAC",'태양광가로등 '!_PN2,IF(#REF!="SYSTEM",'태양광가로등 '!_PN1,#REF!))</definedName>
    <definedName name="PN_T">IF(#REF!="WAC",_PN2,IF(#REF!="SYSTEM",_PN1,#REF!))</definedName>
    <definedName name="_xlnm.Print_Area" localSheetId="1">가로등기구!$1:$30</definedName>
    <definedName name="_xlnm.Print_Area" localSheetId="0">'보안,가로등기구 (SLA)'!$1:$41</definedName>
    <definedName name="_xlnm.Print_Area" localSheetId="2">보안등기구!$1:$46</definedName>
    <definedName name="_xlnm.Print_Area" localSheetId="14">#REF!</definedName>
    <definedName name="_xlnm.Print_Area" localSheetId="9">'투광등기구(STA S)'!$A:$L</definedName>
    <definedName name="_xlnm.Print_Area">#REF!</definedName>
    <definedName name="_xlnm.Print_Titles" localSheetId="14">#REF!</definedName>
    <definedName name="_xlnm.Print_Titles">#REF!</definedName>
    <definedName name="Product_Code" localSheetId="14">#REF!</definedName>
    <definedName name="Product_Code">#REF!</definedName>
    <definedName name="Sales_Area" localSheetId="14">#REF!</definedName>
    <definedName name="Sales_Area">#REF!</definedName>
    <definedName name="sales_table" localSheetId="14">#REF!</definedName>
    <definedName name="sales_table">#REF!</definedName>
    <definedName name="Sales_Type_pg" localSheetId="0">IF(#REF!="WAC",wac,IF(#REF!="ACR",wac,IF(#REF!="RAC",rac,IF(#REF!="MAC",rac,IF(#REF!="PAC",pac,IF(#REF!="system",IF(#REF!="DVM",DVM,bac)))))))</definedName>
    <definedName name="Sales_Type_pg" localSheetId="12">IF(#REF!="WAC",wac,IF(#REF!="ACR",wac,IF(#REF!="RAC",rac,IF(#REF!="MAC",rac,IF(#REF!="PAC",pac,IF(#REF!="system",IF(#REF!="DVM",DVM,bac)))))))</definedName>
    <definedName name="Sales_Type_pg" localSheetId="13">IF(#REF!="WAC",wac,IF(#REF!="ACR",wac,IF(#REF!="RAC",rac,IF(#REF!="MAC",rac,IF(#REF!="PAC",pac,IF(#REF!="system",IF(#REF!="DVM",DVM,bac)))))))</definedName>
    <definedName name="Sales_Type_pg" localSheetId="14">IF(#REF!="WAC",wac,IF(#REF!="ACR",wac,IF(#REF!="RAC",rac,IF(#REF!="MAC",rac,IF(#REF!="PAC",pac,IF(#REF!="system",IF(#REF!="DVM",DVM,bac)))))))</definedName>
    <definedName name="Sales_Type_pg" localSheetId="15">IF(#REF!="WAC",wac,IF(#REF!="ACR",wac,IF(#REF!="RAC",rac,IF(#REF!="MAC",rac,IF(#REF!="PAC",pac,IF(#REF!="system",IF(#REF!="DVM",DVM,bac)))))))</definedName>
    <definedName name="Sales_Type_pg" localSheetId="9">IF(#REF!="WAC",wac,IF(#REF!="ACR",wac,IF(#REF!="RAC",rac,IF(#REF!="MAC",rac,IF(#REF!="PAC",pac,IF(#REF!="system",IF(#REF!="DVM",DVM,bac)))))))</definedName>
    <definedName name="Sales_Type_pg">IF(#REF!="WAC",wac,IF(#REF!="ACR",wac,IF(#REF!="RAC",rac,IF(#REF!="MAC",rac,IF(#REF!="PAC",pac,IF(#REF!="system",IF(#REF!="DVM",DVM,bac)))))))</definedName>
    <definedName name="ST_2" localSheetId="14">#REF!</definedName>
    <definedName name="ST_2">#REF!</definedName>
    <definedName name="T모델" localSheetId="14">#REF!</definedName>
    <definedName name="T모델">#REF!</definedName>
    <definedName name="UTS24K" localSheetId="14">#REF!</definedName>
    <definedName name="UTS24K">#REF!</definedName>
    <definedName name="겍실" localSheetId="14">IF(#REF!="WAC",'태양광가로등 '!_PN2,IF(#REF!="SYSTEM",'태양광가로등 '!_PN1,#REF!))</definedName>
    <definedName name="겍실">IF(#REF!="WAC",_PN2,IF(#REF!="SYSTEM",_PN1,#REF!))</definedName>
    <definedName name="ㄴ" localSheetId="14">#REF!</definedName>
    <definedName name="ㄴ">#REF!</definedName>
    <definedName name="신" localSheetId="14">#REF!</definedName>
    <definedName name="신">#REF!</definedName>
    <definedName name="신냉매" localSheetId="14">#REF!</definedName>
    <definedName name="신냉매">#REF!</definedName>
    <definedName name="엠팩" localSheetId="14">#REF!</definedName>
    <definedName name="엠팩">#REF!</definedName>
    <definedName name="엠팩11" localSheetId="14">#REF!</definedName>
    <definedName name="엠팩11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3" i="22" l="1"/>
  <c r="J104" i="22"/>
  <c r="J59" i="22"/>
  <c r="J60" i="22"/>
  <c r="J149" i="17"/>
  <c r="J150" i="17"/>
  <c r="J104" i="17"/>
  <c r="J105" i="17"/>
  <c r="J59" i="17"/>
  <c r="H60" i="17"/>
  <c r="J60" i="17" s="1"/>
  <c r="H59" i="17"/>
  <c r="H58" i="17"/>
  <c r="J48" i="22"/>
  <c r="H48" i="22"/>
  <c r="H48" i="17"/>
  <c r="J48" i="17" s="1"/>
  <c r="H31" i="22"/>
  <c r="H32" i="22"/>
  <c r="H33" i="22"/>
  <c r="H34" i="22"/>
  <c r="H30" i="17"/>
  <c r="H31" i="17"/>
  <c r="H32" i="17"/>
  <c r="H33" i="17"/>
  <c r="H27" i="22" l="1"/>
  <c r="H28" i="22"/>
  <c r="H26" i="17"/>
  <c r="H27" i="17"/>
  <c r="H19" i="22"/>
  <c r="J19" i="22" s="1"/>
  <c r="H18" i="17" l="1"/>
  <c r="J18" i="17" s="1"/>
  <c r="H15" i="22"/>
  <c r="J15" i="22" s="1"/>
  <c r="H16" i="22"/>
  <c r="J16" i="22" s="1"/>
  <c r="H14" i="17"/>
  <c r="J14" i="17" s="1"/>
  <c r="H15" i="17"/>
  <c r="J15" i="17" s="1"/>
  <c r="H720" i="13"/>
  <c r="J720" i="13" s="1"/>
  <c r="H671" i="13"/>
  <c r="J671" i="13" s="1"/>
  <c r="H620" i="13"/>
  <c r="J620" i="13" s="1"/>
  <c r="H568" i="13"/>
  <c r="J568" i="13" s="1"/>
  <c r="H517" i="13"/>
  <c r="J517" i="13" s="1"/>
  <c r="H465" i="13"/>
  <c r="J465" i="13" s="1"/>
  <c r="H413" i="13"/>
  <c r="J413" i="13" s="1"/>
  <c r="H362" i="13"/>
  <c r="J362" i="13" s="1"/>
  <c r="H310" i="13"/>
  <c r="J310" i="13" s="1"/>
  <c r="H258" i="13"/>
  <c r="J258" i="13" s="1"/>
  <c r="H207" i="13"/>
  <c r="J207" i="13" s="1"/>
  <c r="H155" i="13"/>
  <c r="J155" i="13" s="1"/>
  <c r="H103" i="13"/>
  <c r="J103" i="13" s="1"/>
  <c r="H52" i="13"/>
  <c r="J52" i="13" s="1"/>
  <c r="I145" i="17"/>
  <c r="I100" i="17"/>
  <c r="I55" i="17"/>
  <c r="I10" i="17"/>
  <c r="I1044" i="13"/>
  <c r="I995" i="13"/>
  <c r="I946" i="13"/>
  <c r="I895" i="13"/>
  <c r="I846" i="13"/>
  <c r="I797" i="13"/>
  <c r="I746" i="13"/>
  <c r="I697" i="13"/>
  <c r="I648" i="13"/>
  <c r="I595" i="13"/>
  <c r="I544" i="13"/>
  <c r="I493" i="13"/>
  <c r="I440" i="13"/>
  <c r="I389" i="13"/>
  <c r="I338" i="13"/>
  <c r="I285" i="13"/>
  <c r="I234" i="13"/>
  <c r="I183" i="13"/>
  <c r="I130" i="13"/>
  <c r="I79" i="13"/>
  <c r="I28" i="13"/>
  <c r="M258" i="26"/>
  <c r="M237" i="26"/>
  <c r="M216" i="26"/>
  <c r="M195" i="26"/>
  <c r="M113" i="26"/>
  <c r="M93" i="26"/>
  <c r="M73" i="26"/>
  <c r="M53" i="26"/>
  <c r="M33" i="26"/>
  <c r="M734" i="21"/>
  <c r="M713" i="21"/>
  <c r="M692" i="21"/>
  <c r="M671" i="21"/>
  <c r="M650" i="21"/>
  <c r="M629" i="21"/>
  <c r="M608" i="21"/>
  <c r="M591" i="21"/>
  <c r="M572" i="21"/>
  <c r="M555" i="21"/>
  <c r="M538" i="21"/>
  <c r="M520" i="21"/>
  <c r="M502" i="21"/>
  <c r="M484" i="21"/>
  <c r="M463" i="21"/>
  <c r="M442" i="21"/>
  <c r="M421" i="21"/>
  <c r="M400" i="21"/>
  <c r="M379" i="21"/>
  <c r="M358" i="21"/>
  <c r="M337" i="21"/>
  <c r="M316" i="21"/>
  <c r="M296" i="21"/>
  <c r="M276" i="21"/>
  <c r="M256" i="21"/>
  <c r="M234" i="21"/>
  <c r="M212" i="21"/>
  <c r="M190" i="21"/>
  <c r="M168" i="21"/>
  <c r="M146" i="21"/>
  <c r="M124" i="21"/>
  <c r="M102" i="21"/>
  <c r="M80" i="21"/>
  <c r="M58" i="21"/>
  <c r="M54" i="1" l="1"/>
  <c r="M58" i="1"/>
  <c r="H50" i="28" l="1"/>
  <c r="J50" i="28" s="1"/>
  <c r="H49" i="28"/>
  <c r="J49" i="28" s="1"/>
  <c r="H48" i="28"/>
  <c r="J48" i="28" s="1"/>
  <c r="J47" i="28"/>
  <c r="H47" i="28"/>
  <c r="H46" i="28"/>
  <c r="J46" i="28" s="1"/>
  <c r="H45" i="28"/>
  <c r="J45" i="28" s="1"/>
  <c r="H44" i="28"/>
  <c r="J44" i="28" s="1"/>
  <c r="H43" i="28"/>
  <c r="J43" i="28" s="1"/>
  <c r="H58" i="1"/>
  <c r="J58" i="1" s="1"/>
  <c r="H57" i="1"/>
  <c r="J57" i="1" s="1"/>
  <c r="H56" i="1"/>
  <c r="J56" i="1" s="1"/>
  <c r="H55" i="1"/>
  <c r="J55" i="1" s="1"/>
  <c r="H54" i="1"/>
  <c r="J54" i="1" s="1"/>
  <c r="H53" i="1"/>
  <c r="J53" i="1" s="1"/>
  <c r="H52" i="1"/>
  <c r="J52" i="1" s="1"/>
  <c r="J51" i="1"/>
  <c r="H51" i="1"/>
  <c r="L50" i="28" l="1"/>
  <c r="L46" i="28"/>
  <c r="L58" i="1"/>
  <c r="L54" i="1"/>
  <c r="I43" i="31" l="1"/>
  <c r="I42" i="31"/>
  <c r="J58" i="31"/>
  <c r="M54" i="31"/>
  <c r="H57" i="31"/>
  <c r="J57" i="31" s="1"/>
  <c r="J56" i="31"/>
  <c r="H55" i="31"/>
  <c r="H54" i="31"/>
  <c r="J54" i="31" s="1"/>
  <c r="H53" i="31"/>
  <c r="J53" i="31" s="1"/>
  <c r="H52" i="31"/>
  <c r="J52" i="31" s="1"/>
  <c r="H51" i="31"/>
  <c r="J51" i="31" s="1"/>
  <c r="H50" i="31"/>
  <c r="J50" i="31" s="1"/>
  <c r="H49" i="31"/>
  <c r="J49" i="31" s="1"/>
  <c r="H48" i="31"/>
  <c r="J48" i="31" s="1"/>
  <c r="H47" i="31"/>
  <c r="J47" i="31" s="1"/>
  <c r="H46" i="31"/>
  <c r="J46" i="31" s="1"/>
  <c r="H45" i="31"/>
  <c r="J45" i="31" s="1"/>
  <c r="H44" i="31"/>
  <c r="J44" i="31" s="1"/>
  <c r="H43" i="31"/>
  <c r="H42" i="31"/>
  <c r="J42" i="31" l="1"/>
  <c r="J43" i="31"/>
  <c r="J55" i="31"/>
  <c r="L58" i="31" l="1"/>
  <c r="M55" i="31" s="1"/>
  <c r="M56" i="31" s="1"/>
  <c r="M57" i="31" l="1"/>
  <c r="M58" i="31" s="1"/>
  <c r="I185" i="17" l="1"/>
  <c r="I140" i="17"/>
  <c r="I95" i="17"/>
  <c r="I50" i="17"/>
  <c r="I182" i="22"/>
  <c r="I138" i="22"/>
  <c r="I94" i="22"/>
  <c r="I50" i="22"/>
  <c r="H157" i="22" l="1"/>
  <c r="H113" i="22"/>
  <c r="H69" i="22"/>
  <c r="I41" i="25" l="1"/>
  <c r="H13" i="25" l="1"/>
  <c r="J41" i="25"/>
  <c r="J14" i="25"/>
  <c r="I14" i="25"/>
  <c r="G14" i="25"/>
  <c r="H189" i="17" l="1"/>
  <c r="J189" i="17" s="1"/>
  <c r="H188" i="17"/>
  <c r="J188" i="17" s="1"/>
  <c r="I187" i="17"/>
  <c r="H187" i="17"/>
  <c r="J187" i="17" s="1"/>
  <c r="H186" i="17"/>
  <c r="J186" i="17" s="1"/>
  <c r="H185" i="17"/>
  <c r="J185" i="17" s="1"/>
  <c r="H184" i="17"/>
  <c r="J184" i="17" s="1"/>
  <c r="H180" i="17"/>
  <c r="J180" i="17" s="1"/>
  <c r="H179" i="17"/>
  <c r="J179" i="17" s="1"/>
  <c r="H178" i="17"/>
  <c r="J178" i="17" s="1"/>
  <c r="H177" i="17"/>
  <c r="J177" i="17" s="1"/>
  <c r="H176" i="17"/>
  <c r="J176" i="17" s="1"/>
  <c r="H175" i="17"/>
  <c r="J175" i="17" s="1"/>
  <c r="H174" i="17"/>
  <c r="J174" i="17" s="1"/>
  <c r="H173" i="17"/>
  <c r="J173" i="17" s="1"/>
  <c r="H172" i="17"/>
  <c r="J172" i="17" s="1"/>
  <c r="H171" i="17"/>
  <c r="J171" i="17" s="1"/>
  <c r="H170" i="17"/>
  <c r="J170" i="17" s="1"/>
  <c r="H169" i="17"/>
  <c r="J160" i="17"/>
  <c r="H159" i="17"/>
  <c r="J159" i="17" s="1"/>
  <c r="H158" i="17"/>
  <c r="J158" i="17" s="1"/>
  <c r="H157" i="17"/>
  <c r="J157" i="17" s="1"/>
  <c r="I156" i="17"/>
  <c r="H156" i="17"/>
  <c r="J156" i="17" s="1"/>
  <c r="J155" i="17"/>
  <c r="H154" i="17"/>
  <c r="J154" i="17" s="1"/>
  <c r="H151" i="17"/>
  <c r="J151" i="17" s="1"/>
  <c r="J148" i="17"/>
  <c r="H147" i="17"/>
  <c r="J147" i="17" s="1"/>
  <c r="H146" i="17"/>
  <c r="J146" i="17" s="1"/>
  <c r="H145" i="17"/>
  <c r="J145" i="17" s="1"/>
  <c r="L189" i="17" l="1"/>
  <c r="I154" i="22" l="1"/>
  <c r="I153" i="13" l="1"/>
  <c r="I99" i="14" l="1"/>
  <c r="I420" i="7" l="1"/>
  <c r="I411" i="7"/>
  <c r="I401" i="7"/>
  <c r="I391" i="7"/>
  <c r="I381" i="7"/>
  <c r="I371" i="7"/>
  <c r="I362" i="7"/>
  <c r="I352" i="7"/>
  <c r="I342" i="7"/>
  <c r="I332" i="7"/>
  <c r="I322" i="7"/>
  <c r="I313" i="7"/>
  <c r="I303" i="7"/>
  <c r="I293" i="7"/>
  <c r="I283" i="7"/>
  <c r="I273" i="7"/>
  <c r="I264" i="7"/>
  <c r="I254" i="7"/>
  <c r="I244" i="7"/>
  <c r="I234" i="7"/>
  <c r="I224" i="7"/>
  <c r="I215" i="7"/>
  <c r="I205" i="7"/>
  <c r="I195" i="7"/>
  <c r="I185" i="7"/>
  <c r="I175" i="7"/>
  <c r="I166" i="7"/>
  <c r="I156" i="7"/>
  <c r="I146" i="7"/>
  <c r="I136" i="7"/>
  <c r="I126" i="7"/>
  <c r="I117" i="7"/>
  <c r="I107" i="7"/>
  <c r="I97" i="7"/>
  <c r="I87" i="7"/>
  <c r="I77" i="7"/>
  <c r="I68" i="7"/>
  <c r="I58" i="7"/>
  <c r="I48" i="7"/>
  <c r="I38" i="7"/>
  <c r="I128" i="14"/>
  <c r="I138" i="14"/>
  <c r="I148" i="14"/>
  <c r="I158" i="14"/>
  <c r="I167" i="14"/>
  <c r="I177" i="14"/>
  <c r="I187" i="14"/>
  <c r="I197" i="14"/>
  <c r="I207" i="14"/>
  <c r="I216" i="14"/>
  <c r="I226" i="14"/>
  <c r="I236" i="14"/>
  <c r="I246" i="14"/>
  <c r="I256" i="14"/>
  <c r="I265" i="14"/>
  <c r="I275" i="14"/>
  <c r="I285" i="14"/>
  <c r="I295" i="14"/>
  <c r="I305" i="14"/>
  <c r="I314" i="14"/>
  <c r="I118" i="14"/>
  <c r="I109" i="14"/>
  <c r="I89" i="14"/>
  <c r="I79" i="14"/>
  <c r="I69" i="14"/>
  <c r="I60" i="14"/>
  <c r="I50" i="14"/>
  <c r="I40" i="14"/>
  <c r="I30" i="14"/>
  <c r="I1066" i="13"/>
  <c r="I1016" i="13"/>
  <c r="I967" i="13"/>
  <c r="I917" i="13"/>
  <c r="I867" i="13"/>
  <c r="I818" i="13"/>
  <c r="I768" i="13"/>
  <c r="I718" i="13"/>
  <c r="I669" i="13"/>
  <c r="I515" i="13"/>
  <c r="I566" i="13"/>
  <c r="I618" i="13"/>
  <c r="I463" i="13"/>
  <c r="I411" i="13"/>
  <c r="I360" i="13"/>
  <c r="I308" i="13"/>
  <c r="I256" i="13"/>
  <c r="I205" i="13"/>
  <c r="I101" i="13"/>
  <c r="I50" i="13"/>
  <c r="I111" i="17"/>
  <c r="I66" i="17"/>
  <c r="I21" i="17"/>
  <c r="I110" i="22"/>
  <c r="I66" i="22"/>
  <c r="I22" i="22"/>
  <c r="J50" i="1" l="1"/>
  <c r="H49" i="1"/>
  <c r="J49" i="1" s="1"/>
  <c r="H48" i="1"/>
  <c r="J48" i="1" s="1"/>
  <c r="H47" i="1"/>
  <c r="J47" i="1" s="1"/>
  <c r="J46" i="1"/>
  <c r="H45" i="1"/>
  <c r="J45" i="1" s="1"/>
  <c r="H44" i="1"/>
  <c r="J44" i="1" s="1"/>
  <c r="H43" i="1"/>
  <c r="J43" i="1" s="1"/>
  <c r="J25" i="28"/>
  <c r="H24" i="28"/>
  <c r="J24" i="28" s="1"/>
  <c r="H23" i="28"/>
  <c r="J23" i="28" s="1"/>
  <c r="H22" i="28"/>
  <c r="J22" i="28" s="1"/>
  <c r="J21" i="28"/>
  <c r="H20" i="28"/>
  <c r="J20" i="28" s="1"/>
  <c r="H19" i="28"/>
  <c r="J19" i="28" s="1"/>
  <c r="H18" i="28"/>
  <c r="J18" i="28" s="1"/>
  <c r="L25" i="28" l="1"/>
  <c r="L50" i="1"/>
  <c r="L46" i="1"/>
  <c r="L21" i="28"/>
  <c r="M173" i="26"/>
  <c r="M153" i="26"/>
  <c r="M133" i="26"/>
  <c r="J17" i="28" l="1"/>
  <c r="H16" i="28"/>
  <c r="J16" i="28" s="1"/>
  <c r="H15" i="28"/>
  <c r="J15" i="28" s="1"/>
  <c r="H14" i="28"/>
  <c r="J14" i="28" s="1"/>
  <c r="H56" i="28"/>
  <c r="G55" i="28"/>
  <c r="G54" i="28"/>
  <c r="H41" i="28"/>
  <c r="J41" i="28" s="1"/>
  <c r="H40" i="28"/>
  <c r="J40" i="28" s="1"/>
  <c r="H39" i="28"/>
  <c r="J39" i="28" s="1"/>
  <c r="H38" i="28"/>
  <c r="J38" i="28" s="1"/>
  <c r="H37" i="28"/>
  <c r="J37" i="28" s="1"/>
  <c r="H36" i="28"/>
  <c r="J36" i="28" s="1"/>
  <c r="H35" i="28"/>
  <c r="J35" i="28" s="1"/>
  <c r="H34" i="28"/>
  <c r="J34" i="28" s="1"/>
  <c r="H33" i="28"/>
  <c r="J33" i="28" s="1"/>
  <c r="H32" i="28"/>
  <c r="J32" i="28" s="1"/>
  <c r="H31" i="28"/>
  <c r="J31" i="28" s="1"/>
  <c r="H30" i="28"/>
  <c r="J30" i="28" s="1"/>
  <c r="H29" i="28"/>
  <c r="J29" i="28" s="1"/>
  <c r="H28" i="28"/>
  <c r="J28" i="28" s="1"/>
  <c r="H27" i="28"/>
  <c r="J27" i="28" s="1"/>
  <c r="H26" i="28"/>
  <c r="J26" i="28" s="1"/>
  <c r="G56" i="28" l="1"/>
  <c r="L17" i="28"/>
  <c r="L29" i="28"/>
  <c r="L33" i="28"/>
  <c r="L41" i="28"/>
  <c r="L37" i="28"/>
  <c r="J470" i="19" l="1"/>
  <c r="H470" i="19"/>
  <c r="J326" i="19"/>
  <c r="J267" i="19"/>
  <c r="J208" i="19"/>
  <c r="J138" i="19"/>
  <c r="H67" i="27"/>
  <c r="H64" i="27"/>
  <c r="E62" i="27"/>
  <c r="H62" i="27" s="1"/>
  <c r="F61" i="27"/>
  <c r="H61" i="27" s="1"/>
  <c r="E61" i="27"/>
  <c r="H60" i="27"/>
  <c r="H59" i="27"/>
  <c r="F59" i="27"/>
  <c r="F58" i="27"/>
  <c r="H58" i="27" s="1"/>
  <c r="F57" i="27"/>
  <c r="H57" i="27" s="1"/>
  <c r="H56" i="27"/>
  <c r="F56" i="27"/>
  <c r="E56" i="27"/>
  <c r="H68" i="27" s="1"/>
  <c r="H54" i="27"/>
  <c r="H53" i="27"/>
  <c r="H50" i="27"/>
  <c r="E48" i="27"/>
  <c r="H48" i="27" s="1"/>
  <c r="F47" i="27"/>
  <c r="H47" i="27" s="1"/>
  <c r="E47" i="27"/>
  <c r="H46" i="27"/>
  <c r="F45" i="27"/>
  <c r="H45" i="27" s="1"/>
  <c r="F44" i="27"/>
  <c r="H44" i="27" s="1"/>
  <c r="F43" i="27"/>
  <c r="H43" i="27" s="1"/>
  <c r="F42" i="27"/>
  <c r="H42" i="27" s="1"/>
  <c r="E42" i="27"/>
  <c r="H39" i="27"/>
  <c r="E34" i="27"/>
  <c r="H34" i="27" s="1"/>
  <c r="H33" i="27"/>
  <c r="F33" i="27"/>
  <c r="E33" i="27"/>
  <c r="H36" i="27" s="1"/>
  <c r="H32" i="27"/>
  <c r="F31" i="27"/>
  <c r="H31" i="27" s="1"/>
  <c r="H30" i="27"/>
  <c r="F30" i="27"/>
  <c r="F29" i="27"/>
  <c r="H29" i="27" s="1"/>
  <c r="F28" i="27"/>
  <c r="H28" i="27" s="1"/>
  <c r="E28" i="27"/>
  <c r="H40" i="27" s="1"/>
  <c r="H25" i="27"/>
  <c r="E20" i="27"/>
  <c r="H20" i="27" s="1"/>
  <c r="F19" i="27"/>
  <c r="H19" i="27" s="1"/>
  <c r="E19" i="27"/>
  <c r="H22" i="27" s="1"/>
  <c r="H18" i="27"/>
  <c r="F17" i="27"/>
  <c r="H17" i="27" s="1"/>
  <c r="F16" i="27"/>
  <c r="H16" i="27" s="1"/>
  <c r="F15" i="27"/>
  <c r="H15" i="27" s="1"/>
  <c r="F14" i="27"/>
  <c r="H14" i="27" s="1"/>
  <c r="E14" i="27"/>
  <c r="H26" i="27" s="1"/>
  <c r="H11" i="27"/>
  <c r="H6" i="27"/>
  <c r="E6" i="27"/>
  <c r="H5" i="27"/>
  <c r="F5" i="27"/>
  <c r="E5" i="27"/>
  <c r="H8" i="27" s="1"/>
  <c r="H4" i="27"/>
  <c r="H3" i="27"/>
  <c r="F3" i="27"/>
  <c r="H2" i="27"/>
  <c r="F2" i="27"/>
  <c r="F1" i="27"/>
  <c r="H1" i="27" s="1"/>
  <c r="E1" i="27"/>
  <c r="H12" i="27" s="1"/>
  <c r="G27" i="27" l="1"/>
  <c r="G55" i="27"/>
  <c r="G41" i="27"/>
  <c r="G69" i="27"/>
  <c r="G13" i="27"/>
  <c r="M610" i="19" l="1"/>
  <c r="M538" i="19"/>
  <c r="M466" i="19"/>
  <c r="M394" i="19"/>
  <c r="M322" i="19"/>
  <c r="M263" i="19"/>
  <c r="M204" i="19"/>
  <c r="M134" i="19"/>
  <c r="M59" i="19"/>
  <c r="J597" i="19" l="1"/>
  <c r="J588" i="19"/>
  <c r="J587" i="19"/>
  <c r="J586" i="19"/>
  <c r="J585" i="19"/>
  <c r="J584" i="19"/>
  <c r="J583" i="19"/>
  <c r="H605" i="19"/>
  <c r="J605" i="19" s="1"/>
  <c r="H604" i="19"/>
  <c r="H603" i="19"/>
  <c r="J603" i="19" s="1"/>
  <c r="H602" i="19"/>
  <c r="J602" i="19" s="1"/>
  <c r="H600" i="19"/>
  <c r="J600" i="19" s="1"/>
  <c r="H599" i="19"/>
  <c r="J599" i="19" s="1"/>
  <c r="H598" i="19"/>
  <c r="J598" i="19" s="1"/>
  <c r="H597" i="19"/>
  <c r="J516" i="19"/>
  <c r="J515" i="19"/>
  <c r="J514" i="19"/>
  <c r="J513" i="19"/>
  <c r="J512" i="19"/>
  <c r="J511" i="19"/>
  <c r="H533" i="19"/>
  <c r="J533" i="19" s="1"/>
  <c r="H532" i="19"/>
  <c r="J532" i="19" s="1"/>
  <c r="H531" i="19"/>
  <c r="H530" i="19"/>
  <c r="J530" i="19" s="1"/>
  <c r="H528" i="19"/>
  <c r="J528" i="19" s="1"/>
  <c r="H527" i="19"/>
  <c r="J527" i="19" s="1"/>
  <c r="H526" i="19"/>
  <c r="J526" i="19" s="1"/>
  <c r="H525" i="19"/>
  <c r="J525" i="19" s="1"/>
  <c r="J469" i="19"/>
  <c r="J468" i="19"/>
  <c r="J467" i="19"/>
  <c r="J466" i="19"/>
  <c r="J465" i="19"/>
  <c r="J464" i="19"/>
  <c r="J463" i="19"/>
  <c r="H461" i="19"/>
  <c r="J461" i="19" s="1"/>
  <c r="H460" i="19"/>
  <c r="J460" i="19" s="1"/>
  <c r="H459" i="19"/>
  <c r="J459" i="19" s="1"/>
  <c r="H458" i="19"/>
  <c r="J458" i="19" s="1"/>
  <c r="H456" i="19"/>
  <c r="J456" i="19" s="1"/>
  <c r="H455" i="19"/>
  <c r="J455" i="19" s="1"/>
  <c r="H454" i="19"/>
  <c r="J454" i="19" s="1"/>
  <c r="H453" i="19"/>
  <c r="J453" i="19" s="1"/>
  <c r="J451" i="19"/>
  <c r="J450" i="19"/>
  <c r="J449" i="19"/>
  <c r="J448" i="19"/>
  <c r="J447" i="19"/>
  <c r="J446" i="19"/>
  <c r="J444" i="19"/>
  <c r="J443" i="19"/>
  <c r="J442" i="19"/>
  <c r="J441" i="19"/>
  <c r="J440" i="19"/>
  <c r="J439" i="19"/>
  <c r="H389" i="19"/>
  <c r="J389" i="19" s="1"/>
  <c r="H388" i="19"/>
  <c r="J388" i="19" s="1"/>
  <c r="H387" i="19"/>
  <c r="J387" i="19" s="1"/>
  <c r="H386" i="19"/>
  <c r="J386" i="19" s="1"/>
  <c r="H384" i="19"/>
  <c r="J384" i="19" s="1"/>
  <c r="H383" i="19"/>
  <c r="J383" i="19" s="1"/>
  <c r="H382" i="19"/>
  <c r="J382" i="19" s="1"/>
  <c r="H381" i="19"/>
  <c r="J381" i="19" s="1"/>
  <c r="J391" i="19"/>
  <c r="J392" i="19"/>
  <c r="J393" i="19"/>
  <c r="J394" i="19"/>
  <c r="J395" i="19"/>
  <c r="J396" i="19"/>
  <c r="J397" i="19"/>
  <c r="J372" i="19"/>
  <c r="J371" i="19"/>
  <c r="J370" i="19"/>
  <c r="J369" i="19"/>
  <c r="J368" i="19"/>
  <c r="J367" i="19"/>
  <c r="H325" i="19"/>
  <c r="J325" i="19" s="1"/>
  <c r="H324" i="19"/>
  <c r="J324" i="19" s="1"/>
  <c r="H323" i="19"/>
  <c r="J323" i="19" s="1"/>
  <c r="H322" i="19"/>
  <c r="J322" i="19" s="1"/>
  <c r="H320" i="19"/>
  <c r="J320" i="19" s="1"/>
  <c r="H319" i="19"/>
  <c r="J319" i="19" s="1"/>
  <c r="H318" i="19"/>
  <c r="J318" i="19" s="1"/>
  <c r="H317" i="19"/>
  <c r="J317" i="19" s="1"/>
  <c r="H315" i="19"/>
  <c r="J315" i="19" s="1"/>
  <c r="H314" i="19"/>
  <c r="J314" i="19" s="1"/>
  <c r="H313" i="19"/>
  <c r="J313" i="19" s="1"/>
  <c r="H312" i="19"/>
  <c r="J312" i="19" s="1"/>
  <c r="H311" i="19"/>
  <c r="J311" i="19" s="1"/>
  <c r="H310" i="19"/>
  <c r="J310" i="19" s="1"/>
  <c r="H308" i="19"/>
  <c r="J308" i="19" s="1"/>
  <c r="H307" i="19"/>
  <c r="J307" i="19" s="1"/>
  <c r="H306" i="19"/>
  <c r="J306" i="19" s="1"/>
  <c r="H305" i="19"/>
  <c r="J305" i="19" s="1"/>
  <c r="H304" i="19"/>
  <c r="J304" i="19" s="1"/>
  <c r="H303" i="19"/>
  <c r="J303" i="19" s="1"/>
  <c r="H261" i="19"/>
  <c r="J261" i="19" s="1"/>
  <c r="H260" i="19"/>
  <c r="J260" i="19" s="1"/>
  <c r="H259" i="19"/>
  <c r="J259" i="19" s="1"/>
  <c r="H258" i="19"/>
  <c r="J258" i="19" s="1"/>
  <c r="H256" i="19"/>
  <c r="J256" i="19" s="1"/>
  <c r="H255" i="19"/>
  <c r="J255" i="19" s="1"/>
  <c r="H254" i="19"/>
  <c r="J254" i="19" s="1"/>
  <c r="H253" i="19"/>
  <c r="J253" i="19" s="1"/>
  <c r="H252" i="19"/>
  <c r="J252" i="19" s="1"/>
  <c r="H251" i="19"/>
  <c r="J251" i="19" s="1"/>
  <c r="H99" i="19"/>
  <c r="J99" i="19" s="1"/>
  <c r="H100" i="19"/>
  <c r="J100" i="19" s="1"/>
  <c r="H101" i="19"/>
  <c r="J101" i="19" s="1"/>
  <c r="H102" i="19"/>
  <c r="J102" i="19" s="1"/>
  <c r="H103" i="19"/>
  <c r="J103" i="19" s="1"/>
  <c r="H104" i="19"/>
  <c r="J104" i="19" s="1"/>
  <c r="H249" i="19"/>
  <c r="J249" i="19" s="1"/>
  <c r="H248" i="19"/>
  <c r="J248" i="19" s="1"/>
  <c r="H247" i="19"/>
  <c r="J247" i="19" s="1"/>
  <c r="H246" i="19"/>
  <c r="J246" i="19" s="1"/>
  <c r="H245" i="19"/>
  <c r="J245" i="19" s="1"/>
  <c r="H244" i="19"/>
  <c r="J244" i="19" s="1"/>
  <c r="H207" i="19"/>
  <c r="J207" i="19" s="1"/>
  <c r="H206" i="19"/>
  <c r="J206" i="19" s="1"/>
  <c r="H205" i="19"/>
  <c r="J205" i="19" s="1"/>
  <c r="H204" i="19"/>
  <c r="J204" i="19" s="1"/>
  <c r="H203" i="19"/>
  <c r="J203" i="19" s="1"/>
  <c r="H202" i="19"/>
  <c r="J202" i="19" s="1"/>
  <c r="H201" i="19"/>
  <c r="J201" i="19" s="1"/>
  <c r="H191" i="19"/>
  <c r="J191" i="19" s="1"/>
  <c r="H190" i="19"/>
  <c r="J190" i="19" s="1"/>
  <c r="H189" i="19"/>
  <c r="J189" i="19" s="1"/>
  <c r="H188" i="19"/>
  <c r="J188" i="19" s="1"/>
  <c r="H186" i="19"/>
  <c r="J186" i="19" s="1"/>
  <c r="H185" i="19"/>
  <c r="J185" i="19" s="1"/>
  <c r="H184" i="19"/>
  <c r="J184" i="19" s="1"/>
  <c r="H183" i="19"/>
  <c r="J183" i="19" s="1"/>
  <c r="H182" i="19"/>
  <c r="J182" i="19" s="1"/>
  <c r="H181" i="19"/>
  <c r="J181" i="19" s="1"/>
  <c r="H137" i="19"/>
  <c r="J137" i="19" s="1"/>
  <c r="H136" i="19"/>
  <c r="J136" i="19" s="1"/>
  <c r="H135" i="19"/>
  <c r="J135" i="19" s="1"/>
  <c r="H134" i="19"/>
  <c r="J134" i="19" s="1"/>
  <c r="H133" i="19"/>
  <c r="J133" i="19" s="1"/>
  <c r="H132" i="19"/>
  <c r="J132" i="19" s="1"/>
  <c r="H131" i="19"/>
  <c r="J131" i="19" s="1"/>
  <c r="H121" i="19"/>
  <c r="J121" i="19" s="1"/>
  <c r="H120" i="19"/>
  <c r="J120" i="19" s="1"/>
  <c r="H119" i="19"/>
  <c r="J119" i="19" s="1"/>
  <c r="H118" i="19"/>
  <c r="J118" i="19" s="1"/>
  <c r="H111" i="19"/>
  <c r="J111" i="19" s="1"/>
  <c r="H110" i="19"/>
  <c r="J110" i="19" s="1"/>
  <c r="H109" i="19"/>
  <c r="J109" i="19" s="1"/>
  <c r="H108" i="19"/>
  <c r="J108" i="19" s="1"/>
  <c r="H107" i="19"/>
  <c r="J107" i="19" s="1"/>
  <c r="H106" i="19"/>
  <c r="J106" i="19" s="1"/>
  <c r="J566" i="19"/>
  <c r="J567" i="19"/>
  <c r="J568" i="19"/>
  <c r="J569" i="19"/>
  <c r="J570" i="19"/>
  <c r="J571" i="19"/>
  <c r="J572" i="19"/>
  <c r="J573" i="19"/>
  <c r="J574" i="19"/>
  <c r="J575" i="19"/>
  <c r="J576" i="19"/>
  <c r="J577" i="19"/>
  <c r="J578" i="19"/>
  <c r="J579" i="19"/>
  <c r="J580" i="19"/>
  <c r="J581" i="19"/>
  <c r="J590" i="19"/>
  <c r="J591" i="19"/>
  <c r="J592" i="19"/>
  <c r="J593" i="19"/>
  <c r="J594" i="19"/>
  <c r="J595" i="19"/>
  <c r="J604" i="19"/>
  <c r="J607" i="19"/>
  <c r="J608" i="19"/>
  <c r="J609" i="19"/>
  <c r="J610" i="19"/>
  <c r="J611" i="19"/>
  <c r="J612" i="19"/>
  <c r="J613" i="19"/>
  <c r="J494" i="19"/>
  <c r="J495" i="19"/>
  <c r="J496" i="19"/>
  <c r="J497" i="19"/>
  <c r="J498" i="19"/>
  <c r="J499" i="19"/>
  <c r="J500" i="19"/>
  <c r="J501" i="19"/>
  <c r="J502" i="19"/>
  <c r="J503" i="19"/>
  <c r="J504" i="19"/>
  <c r="J505" i="19"/>
  <c r="J506" i="19"/>
  <c r="J507" i="19"/>
  <c r="J508" i="19"/>
  <c r="J509" i="19"/>
  <c r="J518" i="19"/>
  <c r="J519" i="19"/>
  <c r="J520" i="19"/>
  <c r="J521" i="19"/>
  <c r="J522" i="19"/>
  <c r="J523" i="19"/>
  <c r="J531" i="19"/>
  <c r="J535" i="19"/>
  <c r="J536" i="19"/>
  <c r="J537" i="19"/>
  <c r="J538" i="19"/>
  <c r="J539" i="19"/>
  <c r="J540" i="19"/>
  <c r="J541" i="19"/>
  <c r="J422" i="19"/>
  <c r="J423" i="19"/>
  <c r="J424" i="19"/>
  <c r="J425" i="19"/>
  <c r="J426" i="19"/>
  <c r="J427" i="19"/>
  <c r="J428" i="19"/>
  <c r="J429" i="19"/>
  <c r="J430" i="19"/>
  <c r="J431" i="19"/>
  <c r="J432" i="19"/>
  <c r="J433" i="19"/>
  <c r="J434" i="19"/>
  <c r="J435" i="19"/>
  <c r="J436" i="19"/>
  <c r="J437" i="19"/>
  <c r="J350" i="19"/>
  <c r="J351" i="19"/>
  <c r="J352" i="19"/>
  <c r="J353" i="19"/>
  <c r="J354" i="19"/>
  <c r="J355" i="19"/>
  <c r="J356" i="19"/>
  <c r="J357" i="19"/>
  <c r="J358" i="19"/>
  <c r="J359" i="19"/>
  <c r="J360" i="19"/>
  <c r="J361" i="19"/>
  <c r="J362" i="19"/>
  <c r="J363" i="19"/>
  <c r="J364" i="19"/>
  <c r="J365" i="19"/>
  <c r="J374" i="19"/>
  <c r="J375" i="19"/>
  <c r="J376" i="19"/>
  <c r="J377" i="19"/>
  <c r="J378" i="19"/>
  <c r="J379" i="19"/>
  <c r="J286" i="19"/>
  <c r="J287" i="19"/>
  <c r="J288" i="19"/>
  <c r="J289" i="19"/>
  <c r="J290" i="19"/>
  <c r="J291" i="19"/>
  <c r="J292" i="19"/>
  <c r="J293" i="19"/>
  <c r="J294" i="19"/>
  <c r="J295" i="19"/>
  <c r="J296" i="19"/>
  <c r="J297" i="19"/>
  <c r="J298" i="19"/>
  <c r="J299" i="19"/>
  <c r="J300" i="19"/>
  <c r="H301" i="19"/>
  <c r="J301" i="19" s="1"/>
  <c r="H242" i="19"/>
  <c r="J242" i="19" s="1"/>
  <c r="H172" i="19"/>
  <c r="J172" i="19" s="1"/>
  <c r="H42" i="19"/>
  <c r="J42" i="19" s="1"/>
  <c r="H97" i="19"/>
  <c r="J97" i="19" s="1"/>
  <c r="H266" i="19"/>
  <c r="J266" i="19" s="1"/>
  <c r="H265" i="19"/>
  <c r="J265" i="19" s="1"/>
  <c r="H264" i="19"/>
  <c r="J264" i="19" s="1"/>
  <c r="H263" i="19"/>
  <c r="J263" i="19" s="1"/>
  <c r="H241" i="19"/>
  <c r="J241" i="19" s="1"/>
  <c r="H240" i="19"/>
  <c r="J240" i="19" s="1"/>
  <c r="H239" i="19"/>
  <c r="J239" i="19" s="1"/>
  <c r="H238" i="19"/>
  <c r="J238" i="19" s="1"/>
  <c r="H237" i="19"/>
  <c r="J237" i="19" s="1"/>
  <c r="H236" i="19"/>
  <c r="J236" i="19" s="1"/>
  <c r="H235" i="19"/>
  <c r="J235" i="19" s="1"/>
  <c r="H234" i="19"/>
  <c r="J234" i="19" s="1"/>
  <c r="H233" i="19"/>
  <c r="J233" i="19" s="1"/>
  <c r="H232" i="19"/>
  <c r="J232" i="19" s="1"/>
  <c r="I231" i="19"/>
  <c r="H231" i="19"/>
  <c r="I230" i="19"/>
  <c r="H230" i="19"/>
  <c r="H229" i="19"/>
  <c r="J229" i="19" s="1"/>
  <c r="I228" i="19"/>
  <c r="H228" i="19"/>
  <c r="H227" i="19"/>
  <c r="J227" i="19" s="1"/>
  <c r="H199" i="19"/>
  <c r="J199" i="19" s="1"/>
  <c r="H198" i="19"/>
  <c r="J198" i="19" s="1"/>
  <c r="H197" i="19"/>
  <c r="J197" i="19" s="1"/>
  <c r="H196" i="19"/>
  <c r="J196" i="19" s="1"/>
  <c r="H195" i="19"/>
  <c r="J195" i="19" s="1"/>
  <c r="H194" i="19"/>
  <c r="J194" i="19" s="1"/>
  <c r="H193" i="19"/>
  <c r="J193" i="19" s="1"/>
  <c r="H179" i="19"/>
  <c r="J179" i="19" s="1"/>
  <c r="H178" i="19"/>
  <c r="J178" i="19" s="1"/>
  <c r="H177" i="19"/>
  <c r="J177" i="19" s="1"/>
  <c r="H176" i="19"/>
  <c r="J176" i="19" s="1"/>
  <c r="H175" i="19"/>
  <c r="J175" i="19" s="1"/>
  <c r="H174" i="19"/>
  <c r="J174" i="19" s="1"/>
  <c r="H171" i="19"/>
  <c r="J171" i="19" s="1"/>
  <c r="H170" i="19"/>
  <c r="J170" i="19" s="1"/>
  <c r="H169" i="19"/>
  <c r="J169" i="19" s="1"/>
  <c r="H168" i="19"/>
  <c r="J168" i="19" s="1"/>
  <c r="H167" i="19"/>
  <c r="J167" i="19" s="1"/>
  <c r="H166" i="19"/>
  <c r="J166" i="19" s="1"/>
  <c r="H165" i="19"/>
  <c r="J165" i="19" s="1"/>
  <c r="H164" i="19"/>
  <c r="J164" i="19" s="1"/>
  <c r="H163" i="19"/>
  <c r="J163" i="19" s="1"/>
  <c r="H162" i="19"/>
  <c r="J162" i="19" s="1"/>
  <c r="I161" i="19"/>
  <c r="H161" i="19"/>
  <c r="I160" i="19"/>
  <c r="H160" i="19"/>
  <c r="H159" i="19"/>
  <c r="J159" i="19" s="1"/>
  <c r="I158" i="19"/>
  <c r="H158" i="19"/>
  <c r="H157" i="19"/>
  <c r="J157" i="19" s="1"/>
  <c r="H129" i="19"/>
  <c r="J129" i="19" s="1"/>
  <c r="H128" i="19"/>
  <c r="J128" i="19" s="1"/>
  <c r="H127" i="19"/>
  <c r="J127" i="19" s="1"/>
  <c r="H126" i="19"/>
  <c r="J126" i="19" s="1"/>
  <c r="H125" i="19"/>
  <c r="J125" i="19" s="1"/>
  <c r="H124" i="19"/>
  <c r="J124" i="19" s="1"/>
  <c r="H123" i="19"/>
  <c r="J123" i="19" s="1"/>
  <c r="H116" i="19"/>
  <c r="J116" i="19" s="1"/>
  <c r="H115" i="19"/>
  <c r="J115" i="19" s="1"/>
  <c r="H114" i="19"/>
  <c r="J114" i="19" s="1"/>
  <c r="H113" i="19"/>
  <c r="J113" i="19" s="1"/>
  <c r="H96" i="19"/>
  <c r="J96" i="19" s="1"/>
  <c r="H95" i="19"/>
  <c r="J95" i="19" s="1"/>
  <c r="H94" i="19"/>
  <c r="J94" i="19" s="1"/>
  <c r="H93" i="19"/>
  <c r="J93" i="19" s="1"/>
  <c r="H92" i="19"/>
  <c r="J92" i="19" s="1"/>
  <c r="H91" i="19"/>
  <c r="J91" i="19" s="1"/>
  <c r="H90" i="19"/>
  <c r="J90" i="19" s="1"/>
  <c r="H89" i="19"/>
  <c r="J89" i="19" s="1"/>
  <c r="H88" i="19"/>
  <c r="J88" i="19" s="1"/>
  <c r="H87" i="19"/>
  <c r="J87" i="19" s="1"/>
  <c r="I86" i="19"/>
  <c r="H86" i="19"/>
  <c r="I85" i="19"/>
  <c r="H85" i="19"/>
  <c r="H84" i="19"/>
  <c r="J84" i="19" s="1"/>
  <c r="I83" i="19"/>
  <c r="H83" i="19"/>
  <c r="H82" i="19"/>
  <c r="J82" i="19" s="1"/>
  <c r="J228" i="19" l="1"/>
  <c r="J230" i="19"/>
  <c r="J231" i="19"/>
  <c r="J161" i="19"/>
  <c r="J158" i="19"/>
  <c r="J160" i="19"/>
  <c r="J85" i="19"/>
  <c r="J83" i="19"/>
  <c r="J86" i="19"/>
  <c r="H54" i="19" l="1"/>
  <c r="J54" i="19" s="1"/>
  <c r="H49" i="19"/>
  <c r="J49" i="19" s="1"/>
  <c r="H41" i="19"/>
  <c r="J41" i="19" s="1"/>
  <c r="I28" i="19"/>
  <c r="I30" i="19"/>
  <c r="H61" i="19"/>
  <c r="J61" i="19" s="1"/>
  <c r="H40" i="19"/>
  <c r="J40" i="19" s="1"/>
  <c r="H39" i="19"/>
  <c r="J39" i="19" s="1"/>
  <c r="H47" i="19"/>
  <c r="J47" i="19" s="1"/>
  <c r="H38" i="19"/>
  <c r="J38" i="19" s="1"/>
  <c r="H52" i="19"/>
  <c r="J52" i="19" s="1"/>
  <c r="H37" i="19"/>
  <c r="J37" i="19" s="1"/>
  <c r="H35" i="19"/>
  <c r="J35" i="19" s="1"/>
  <c r="H29" i="19"/>
  <c r="J29" i="19" s="1"/>
  <c r="H565" i="19"/>
  <c r="J565" i="19" s="1"/>
  <c r="H564" i="19"/>
  <c r="J564" i="19" s="1"/>
  <c r="H563" i="19"/>
  <c r="J563" i="19" s="1"/>
  <c r="H562" i="19"/>
  <c r="J562" i="19" s="1"/>
  <c r="H561" i="19"/>
  <c r="J561" i="19" s="1"/>
  <c r="H560" i="19"/>
  <c r="J560" i="19" s="1"/>
  <c r="H559" i="19"/>
  <c r="J559" i="19" s="1"/>
  <c r="H558" i="19"/>
  <c r="J558" i="19" s="1"/>
  <c r="H557" i="19"/>
  <c r="J557" i="19" s="1"/>
  <c r="H556" i="19"/>
  <c r="J556" i="19" s="1"/>
  <c r="H555" i="19"/>
  <c r="J555" i="19" s="1"/>
  <c r="H554" i="19"/>
  <c r="J554" i="19" s="1"/>
  <c r="H553" i="19"/>
  <c r="J553" i="19" s="1"/>
  <c r="H552" i="19"/>
  <c r="J552" i="19" s="1"/>
  <c r="H551" i="19"/>
  <c r="J551" i="19" s="1"/>
  <c r="H550" i="19"/>
  <c r="H549" i="19"/>
  <c r="H421" i="19"/>
  <c r="J421" i="19" s="1"/>
  <c r="H420" i="19"/>
  <c r="J420" i="19" s="1"/>
  <c r="H419" i="19"/>
  <c r="J419" i="19" s="1"/>
  <c r="H418" i="19"/>
  <c r="J418" i="19" s="1"/>
  <c r="H417" i="19"/>
  <c r="J417" i="19" s="1"/>
  <c r="H416" i="19"/>
  <c r="J416" i="19" s="1"/>
  <c r="H415" i="19"/>
  <c r="J415" i="19" s="1"/>
  <c r="H414" i="19"/>
  <c r="J414" i="19" s="1"/>
  <c r="H413" i="19"/>
  <c r="J413" i="19" s="1"/>
  <c r="H412" i="19"/>
  <c r="J412" i="19" s="1"/>
  <c r="H411" i="19"/>
  <c r="J411" i="19" s="1"/>
  <c r="H410" i="19"/>
  <c r="J410" i="19" s="1"/>
  <c r="H409" i="19"/>
  <c r="J409" i="19" s="1"/>
  <c r="H408" i="19"/>
  <c r="J408" i="19" s="1"/>
  <c r="H407" i="19"/>
  <c r="J407" i="19" s="1"/>
  <c r="H406" i="19"/>
  <c r="J406" i="19" s="1"/>
  <c r="H405" i="19"/>
  <c r="J405" i="19" s="1"/>
  <c r="H493" i="19"/>
  <c r="J493" i="19" s="1"/>
  <c r="H492" i="19"/>
  <c r="J492" i="19" s="1"/>
  <c r="H491" i="19"/>
  <c r="J491" i="19" s="1"/>
  <c r="H490" i="19"/>
  <c r="J490" i="19" s="1"/>
  <c r="H489" i="19"/>
  <c r="J489" i="19" s="1"/>
  <c r="H488" i="19"/>
  <c r="J488" i="19" s="1"/>
  <c r="H487" i="19"/>
  <c r="J487" i="19" s="1"/>
  <c r="H486" i="19"/>
  <c r="J486" i="19" s="1"/>
  <c r="H485" i="19"/>
  <c r="J485" i="19" s="1"/>
  <c r="H484" i="19"/>
  <c r="J484" i="19" s="1"/>
  <c r="H483" i="19"/>
  <c r="J483" i="19" s="1"/>
  <c r="H482" i="19"/>
  <c r="J482" i="19" s="1"/>
  <c r="H481" i="19"/>
  <c r="J481" i="19" s="1"/>
  <c r="H480" i="19"/>
  <c r="J480" i="19" s="1"/>
  <c r="H479" i="19"/>
  <c r="J479" i="19" s="1"/>
  <c r="H478" i="19"/>
  <c r="J478" i="19" s="1"/>
  <c r="H477" i="19"/>
  <c r="H346" i="19"/>
  <c r="J346" i="19" s="1"/>
  <c r="H345" i="19"/>
  <c r="J345" i="19" s="1"/>
  <c r="H344" i="19"/>
  <c r="J344" i="19" s="1"/>
  <c r="H343" i="19"/>
  <c r="J343" i="19" s="1"/>
  <c r="H349" i="19"/>
  <c r="J349" i="19" s="1"/>
  <c r="H348" i="19"/>
  <c r="J348" i="19" s="1"/>
  <c r="H347" i="19"/>
  <c r="J347" i="19" s="1"/>
  <c r="H342" i="19"/>
  <c r="J342" i="19" s="1"/>
  <c r="H341" i="19"/>
  <c r="J341" i="19" s="1"/>
  <c r="H340" i="19"/>
  <c r="J340" i="19" s="1"/>
  <c r="H339" i="19"/>
  <c r="J339" i="19" s="1"/>
  <c r="H338" i="19"/>
  <c r="J338" i="19" s="1"/>
  <c r="H337" i="19"/>
  <c r="J337" i="19" s="1"/>
  <c r="H336" i="19"/>
  <c r="J336" i="19" s="1"/>
  <c r="H335" i="19"/>
  <c r="J335" i="19" s="1"/>
  <c r="H334" i="19"/>
  <c r="J334" i="19" s="1"/>
  <c r="H333" i="19"/>
  <c r="J333" i="19" s="1"/>
  <c r="H285" i="19"/>
  <c r="J285" i="19" s="1"/>
  <c r="H284" i="19"/>
  <c r="J284" i="19" s="1"/>
  <c r="H283" i="19"/>
  <c r="J283" i="19" s="1"/>
  <c r="H282" i="19"/>
  <c r="J282" i="19" s="1"/>
  <c r="H281" i="19"/>
  <c r="J281" i="19" s="1"/>
  <c r="H280" i="19"/>
  <c r="J280" i="19" s="1"/>
  <c r="H279" i="19"/>
  <c r="J279" i="19" s="1"/>
  <c r="H278" i="19"/>
  <c r="J278" i="19" s="1"/>
  <c r="H277" i="19"/>
  <c r="J277" i="19" s="1"/>
  <c r="H276" i="19"/>
  <c r="J276" i="19" s="1"/>
  <c r="H275" i="19"/>
  <c r="J275" i="19" s="1"/>
  <c r="H274" i="19"/>
  <c r="H273" i="19"/>
  <c r="H226" i="19"/>
  <c r="J226" i="19" s="1"/>
  <c r="H225" i="19"/>
  <c r="J225" i="19" s="1"/>
  <c r="H224" i="19"/>
  <c r="J224" i="19" s="1"/>
  <c r="H223" i="19"/>
  <c r="J223" i="19" s="1"/>
  <c r="H222" i="19"/>
  <c r="J222" i="19" s="1"/>
  <c r="H221" i="19"/>
  <c r="J221" i="19" s="1"/>
  <c r="H220" i="19"/>
  <c r="J220" i="19" s="1"/>
  <c r="H219" i="19"/>
  <c r="J219" i="19" s="1"/>
  <c r="H218" i="19"/>
  <c r="J218" i="19" s="1"/>
  <c r="H217" i="19"/>
  <c r="J217" i="19" s="1"/>
  <c r="H216" i="19"/>
  <c r="J216" i="19" s="1"/>
  <c r="H215" i="19"/>
  <c r="H214" i="19"/>
  <c r="H53" i="19"/>
  <c r="J53" i="19" s="1"/>
  <c r="H156" i="19"/>
  <c r="J156" i="19" s="1"/>
  <c r="H155" i="19"/>
  <c r="J155" i="19" s="1"/>
  <c r="H154" i="19"/>
  <c r="J154" i="19" s="1"/>
  <c r="H153" i="19"/>
  <c r="J153" i="19" s="1"/>
  <c r="H152" i="19"/>
  <c r="J152" i="19" s="1"/>
  <c r="H151" i="19"/>
  <c r="J151" i="19" s="1"/>
  <c r="H150" i="19"/>
  <c r="J150" i="19" s="1"/>
  <c r="H149" i="19"/>
  <c r="J149" i="19" s="1"/>
  <c r="H148" i="19"/>
  <c r="J148" i="19" s="1"/>
  <c r="H147" i="19"/>
  <c r="J147" i="19" s="1"/>
  <c r="H146" i="19"/>
  <c r="J146" i="19" s="1"/>
  <c r="H145" i="19"/>
  <c r="H144" i="19"/>
  <c r="H78" i="19"/>
  <c r="J78" i="19" s="1"/>
  <c r="H77" i="19"/>
  <c r="J77" i="19" s="1"/>
  <c r="H76" i="19"/>
  <c r="J76" i="19" s="1"/>
  <c r="H75" i="19"/>
  <c r="J75" i="19" s="1"/>
  <c r="H80" i="19"/>
  <c r="J80" i="19" s="1"/>
  <c r="H81" i="19"/>
  <c r="J81" i="19" s="1"/>
  <c r="H79" i="19"/>
  <c r="J79" i="19" s="1"/>
  <c r="H74" i="19"/>
  <c r="J74" i="19" s="1"/>
  <c r="H73" i="19"/>
  <c r="J73" i="19" s="1"/>
  <c r="H72" i="19"/>
  <c r="J72" i="19" s="1"/>
  <c r="H71" i="19"/>
  <c r="H70" i="19"/>
  <c r="H69" i="19"/>
  <c r="H548" i="19"/>
  <c r="H547" i="19"/>
  <c r="H546" i="19"/>
  <c r="H545" i="19"/>
  <c r="I476" i="19"/>
  <c r="H476" i="19"/>
  <c r="H475" i="19"/>
  <c r="J475" i="19" s="1"/>
  <c r="H474" i="19"/>
  <c r="J474" i="19" s="1"/>
  <c r="H473" i="19"/>
  <c r="J473" i="19" s="1"/>
  <c r="I404" i="19"/>
  <c r="H404" i="19"/>
  <c r="H403" i="19"/>
  <c r="J403" i="19" s="1"/>
  <c r="H402" i="19"/>
  <c r="J402" i="19" s="1"/>
  <c r="H401" i="19"/>
  <c r="J401" i="19" s="1"/>
  <c r="I332" i="19"/>
  <c r="H332" i="19"/>
  <c r="H331" i="19"/>
  <c r="J331" i="19" s="1"/>
  <c r="H330" i="19"/>
  <c r="J330" i="19" s="1"/>
  <c r="H329" i="19"/>
  <c r="J329" i="19" s="1"/>
  <c r="H272" i="19"/>
  <c r="J272" i="19" s="1"/>
  <c r="H271" i="19"/>
  <c r="J271" i="19" s="1"/>
  <c r="H270" i="19"/>
  <c r="J270" i="19" s="1"/>
  <c r="H213" i="19"/>
  <c r="J213" i="19" s="1"/>
  <c r="H212" i="19"/>
  <c r="J212" i="19" s="1"/>
  <c r="H211" i="19"/>
  <c r="J211" i="19" s="1"/>
  <c r="I68" i="19"/>
  <c r="I143" i="19"/>
  <c r="H143" i="19"/>
  <c r="H142" i="19"/>
  <c r="J142" i="19" s="1"/>
  <c r="H141" i="19"/>
  <c r="J141" i="19" s="1"/>
  <c r="H68" i="19"/>
  <c r="H67" i="19"/>
  <c r="J67" i="19" s="1"/>
  <c r="H66" i="19"/>
  <c r="J66" i="19" s="1"/>
  <c r="H32" i="19"/>
  <c r="J32" i="19" s="1"/>
  <c r="H27" i="19"/>
  <c r="J27" i="19" s="1"/>
  <c r="H30" i="19"/>
  <c r="H31" i="19"/>
  <c r="H33" i="19"/>
  <c r="J33" i="19" s="1"/>
  <c r="H34" i="19"/>
  <c r="J34" i="19" s="1"/>
  <c r="H36" i="19"/>
  <c r="J36" i="19" s="1"/>
  <c r="I31" i="19"/>
  <c r="H57" i="19"/>
  <c r="J57" i="19" s="1"/>
  <c r="H45" i="19"/>
  <c r="J45" i="19" s="1"/>
  <c r="H62" i="19"/>
  <c r="J62" i="19" s="1"/>
  <c r="H60" i="19"/>
  <c r="J60" i="19" s="1"/>
  <c r="H59" i="19"/>
  <c r="J59" i="19" s="1"/>
  <c r="H58" i="19"/>
  <c r="J58" i="19" s="1"/>
  <c r="H56" i="19"/>
  <c r="J56" i="19" s="1"/>
  <c r="H51" i="19"/>
  <c r="J51" i="19" s="1"/>
  <c r="H48" i="19"/>
  <c r="H46" i="19"/>
  <c r="H44" i="19"/>
  <c r="H21" i="19"/>
  <c r="J21" i="19" s="1"/>
  <c r="H22" i="19"/>
  <c r="J22" i="19" s="1"/>
  <c r="H23" i="19"/>
  <c r="J23" i="19" s="1"/>
  <c r="H24" i="19"/>
  <c r="J24" i="19" s="1"/>
  <c r="H25" i="19"/>
  <c r="J25" i="19" s="1"/>
  <c r="H26" i="19"/>
  <c r="J26" i="19" s="1"/>
  <c r="H28" i="19"/>
  <c r="H18" i="19"/>
  <c r="H19" i="19"/>
  <c r="H20" i="19"/>
  <c r="J20" i="19" s="1"/>
  <c r="H17" i="19"/>
  <c r="H16" i="19"/>
  <c r="J257" i="21"/>
  <c r="J235" i="21"/>
  <c r="J213" i="21"/>
  <c r="J191" i="21"/>
  <c r="J169" i="21"/>
  <c r="J147" i="21"/>
  <c r="J125" i="21"/>
  <c r="J103" i="21"/>
  <c r="J81" i="21"/>
  <c r="L398" i="19" l="1"/>
  <c r="J476" i="19"/>
  <c r="J404" i="19"/>
  <c r="L470" i="19" s="1"/>
  <c r="J332" i="19"/>
  <c r="J68" i="19"/>
  <c r="J143" i="19"/>
  <c r="J30" i="19"/>
  <c r="J31" i="19"/>
  <c r="M467" i="19" l="1"/>
  <c r="M468" i="19" s="1"/>
  <c r="M395" i="19"/>
  <c r="M396" i="19" s="1"/>
  <c r="J261" i="26"/>
  <c r="J240" i="26"/>
  <c r="J219" i="26"/>
  <c r="J198" i="26"/>
  <c r="J156" i="26"/>
  <c r="J176" i="26"/>
  <c r="J197" i="26"/>
  <c r="J136" i="26"/>
  <c r="J116" i="26"/>
  <c r="J76" i="26"/>
  <c r="J36" i="26"/>
  <c r="J737" i="21"/>
  <c r="J695" i="21"/>
  <c r="J674" i="21"/>
  <c r="J611" i="21"/>
  <c r="I98" i="21"/>
  <c r="H77" i="21"/>
  <c r="I76" i="21"/>
  <c r="H76" i="21"/>
  <c r="I54" i="21"/>
  <c r="M397" i="19" l="1"/>
  <c r="M398" i="19" s="1"/>
  <c r="M469" i="19"/>
  <c r="M470" i="19" s="1"/>
  <c r="J262" i="26"/>
  <c r="J260" i="26"/>
  <c r="J259" i="26"/>
  <c r="J258" i="26"/>
  <c r="I257" i="26"/>
  <c r="J257" i="26" s="1"/>
  <c r="I256" i="26"/>
  <c r="J256" i="26" s="1"/>
  <c r="J255" i="26"/>
  <c r="J254" i="26"/>
  <c r="J253" i="26"/>
  <c r="J252" i="26"/>
  <c r="J250" i="26"/>
  <c r="J249" i="26"/>
  <c r="J248" i="26"/>
  <c r="J247" i="26"/>
  <c r="I246" i="26"/>
  <c r="J246" i="26" s="1"/>
  <c r="I245" i="26"/>
  <c r="J245" i="26" s="1"/>
  <c r="I244" i="26"/>
  <c r="J244" i="26" s="1"/>
  <c r="I224" i="26"/>
  <c r="J224" i="26" s="1"/>
  <c r="J241" i="26"/>
  <c r="J239" i="26"/>
  <c r="J238" i="26"/>
  <c r="J237" i="26"/>
  <c r="I236" i="26"/>
  <c r="J236" i="26" s="1"/>
  <c r="I235" i="26"/>
  <c r="J235" i="26" s="1"/>
  <c r="J234" i="26"/>
  <c r="J233" i="26"/>
  <c r="J232" i="26"/>
  <c r="J231" i="26"/>
  <c r="J229" i="26"/>
  <c r="J228" i="26"/>
  <c r="J227" i="26"/>
  <c r="J226" i="26"/>
  <c r="I225" i="26"/>
  <c r="J225" i="26" s="1"/>
  <c r="I223" i="26"/>
  <c r="J223" i="26" s="1"/>
  <c r="J220" i="26"/>
  <c r="J218" i="26"/>
  <c r="J217" i="26"/>
  <c r="J216" i="26"/>
  <c r="I215" i="26"/>
  <c r="J215" i="26" s="1"/>
  <c r="I214" i="26"/>
  <c r="J214" i="26" s="1"/>
  <c r="J213" i="26"/>
  <c r="J212" i="26"/>
  <c r="J211" i="26"/>
  <c r="J210" i="26"/>
  <c r="J208" i="26"/>
  <c r="J207" i="26"/>
  <c r="J206" i="26"/>
  <c r="J205" i="26"/>
  <c r="I204" i="26"/>
  <c r="J204" i="26" s="1"/>
  <c r="I203" i="26"/>
  <c r="J203" i="26" s="1"/>
  <c r="I202" i="26"/>
  <c r="J202" i="26" s="1"/>
  <c r="I193" i="26"/>
  <c r="J193" i="26" s="1"/>
  <c r="I192" i="26"/>
  <c r="J192" i="26" s="1"/>
  <c r="I182" i="26"/>
  <c r="J182" i="26" s="1"/>
  <c r="I181" i="26"/>
  <c r="J181" i="26" s="1"/>
  <c r="I180" i="26"/>
  <c r="J180" i="26" s="1"/>
  <c r="J199" i="26"/>
  <c r="J196" i="26"/>
  <c r="J195" i="26"/>
  <c r="J194" i="26"/>
  <c r="J191" i="26"/>
  <c r="J190" i="26"/>
  <c r="J189" i="26"/>
  <c r="J188" i="26"/>
  <c r="J186" i="26"/>
  <c r="J185" i="26"/>
  <c r="J184" i="26"/>
  <c r="J183" i="26"/>
  <c r="J177" i="26"/>
  <c r="J175" i="26"/>
  <c r="J174" i="26"/>
  <c r="I173" i="26"/>
  <c r="J173" i="26" s="1"/>
  <c r="I172" i="26"/>
  <c r="J172" i="26" s="1"/>
  <c r="J171" i="26"/>
  <c r="J170" i="26"/>
  <c r="J169" i="26"/>
  <c r="J168" i="26"/>
  <c r="J167" i="26"/>
  <c r="J166" i="26"/>
  <c r="J165" i="26"/>
  <c r="J164" i="26"/>
  <c r="J163" i="26"/>
  <c r="I162" i="26"/>
  <c r="J162" i="26" s="1"/>
  <c r="I161" i="26"/>
  <c r="J161" i="26" s="1"/>
  <c r="I160" i="26"/>
  <c r="J160" i="26" s="1"/>
  <c r="I141" i="26"/>
  <c r="J141" i="26" s="1"/>
  <c r="J157" i="26"/>
  <c r="J155" i="26"/>
  <c r="J154" i="26"/>
  <c r="I153" i="26"/>
  <c r="J153" i="26" s="1"/>
  <c r="I152" i="26"/>
  <c r="J152" i="26" s="1"/>
  <c r="J151" i="26"/>
  <c r="J150" i="26"/>
  <c r="J149" i="26"/>
  <c r="J148" i="26"/>
  <c r="J147" i="26"/>
  <c r="J146" i="26"/>
  <c r="J145" i="26"/>
  <c r="J144" i="26"/>
  <c r="J143" i="26"/>
  <c r="I142" i="26"/>
  <c r="J142" i="26" s="1"/>
  <c r="I140" i="26"/>
  <c r="J140" i="26" s="1"/>
  <c r="J137" i="26"/>
  <c r="J135" i="26"/>
  <c r="J134" i="26"/>
  <c r="I133" i="26"/>
  <c r="J133" i="26" s="1"/>
  <c r="I132" i="26"/>
  <c r="J132" i="26" s="1"/>
  <c r="J131" i="26"/>
  <c r="J130" i="26"/>
  <c r="J129" i="26"/>
  <c r="J128" i="26"/>
  <c r="J127" i="26"/>
  <c r="J126" i="26"/>
  <c r="J125" i="26"/>
  <c r="J124" i="26"/>
  <c r="J123" i="26"/>
  <c r="I122" i="26"/>
  <c r="J122" i="26" s="1"/>
  <c r="I121" i="26"/>
  <c r="J121" i="26" s="1"/>
  <c r="I120" i="26"/>
  <c r="J120" i="26" s="1"/>
  <c r="J117" i="26"/>
  <c r="J115" i="26"/>
  <c r="J114" i="26"/>
  <c r="I113" i="26"/>
  <c r="J113" i="26" s="1"/>
  <c r="I112" i="26"/>
  <c r="J112" i="26" s="1"/>
  <c r="J111" i="26"/>
  <c r="J110" i="26"/>
  <c r="J109" i="26"/>
  <c r="J108" i="26"/>
  <c r="J107" i="26"/>
  <c r="J106" i="26"/>
  <c r="J105" i="26"/>
  <c r="J104" i="26"/>
  <c r="J103" i="26"/>
  <c r="J102" i="26"/>
  <c r="J101" i="26"/>
  <c r="J100" i="26"/>
  <c r="J97" i="26"/>
  <c r="J95" i="26"/>
  <c r="J94" i="26"/>
  <c r="I93" i="26"/>
  <c r="J93" i="26" s="1"/>
  <c r="I92" i="26"/>
  <c r="J92" i="26" s="1"/>
  <c r="J91" i="26"/>
  <c r="J90" i="26"/>
  <c r="J89" i="26"/>
  <c r="J88" i="26"/>
  <c r="J87" i="26"/>
  <c r="J86" i="26"/>
  <c r="J85" i="26"/>
  <c r="J84" i="26"/>
  <c r="J83" i="26"/>
  <c r="I82" i="26"/>
  <c r="J82" i="26" s="1"/>
  <c r="I81" i="26"/>
  <c r="J81" i="26" s="1"/>
  <c r="I80" i="26"/>
  <c r="J80" i="26" s="1"/>
  <c r="I61" i="26"/>
  <c r="J61" i="26" s="1"/>
  <c r="J77" i="26"/>
  <c r="J75" i="26"/>
  <c r="J74" i="26"/>
  <c r="I73" i="26"/>
  <c r="J73" i="26" s="1"/>
  <c r="I72" i="26"/>
  <c r="J72" i="26" s="1"/>
  <c r="J71" i="26"/>
  <c r="J70" i="26"/>
  <c r="J69" i="26"/>
  <c r="J68" i="26"/>
  <c r="J67" i="26"/>
  <c r="J66" i="26"/>
  <c r="J65" i="26"/>
  <c r="J64" i="26"/>
  <c r="J63" i="26"/>
  <c r="I62" i="26"/>
  <c r="J62" i="26" s="1"/>
  <c r="I60" i="26"/>
  <c r="J60" i="26" s="1"/>
  <c r="J57" i="26"/>
  <c r="J55" i="26"/>
  <c r="J54" i="26"/>
  <c r="I53" i="26"/>
  <c r="J53" i="26" s="1"/>
  <c r="I52" i="26"/>
  <c r="J52" i="26" s="1"/>
  <c r="J51" i="26"/>
  <c r="J50" i="26"/>
  <c r="J49" i="26"/>
  <c r="J48" i="26"/>
  <c r="J47" i="26"/>
  <c r="J46" i="26"/>
  <c r="J45" i="26"/>
  <c r="J44" i="26"/>
  <c r="J43" i="26"/>
  <c r="I42" i="26"/>
  <c r="J42" i="26" s="1"/>
  <c r="I41" i="26"/>
  <c r="J41" i="26" s="1"/>
  <c r="I40" i="26"/>
  <c r="J40" i="26" s="1"/>
  <c r="I33" i="26"/>
  <c r="J33" i="26" s="1"/>
  <c r="I32" i="26"/>
  <c r="J32" i="26" s="1"/>
  <c r="I22" i="26"/>
  <c r="J22" i="26" s="1"/>
  <c r="I21" i="26"/>
  <c r="J21" i="26" s="1"/>
  <c r="I20" i="26"/>
  <c r="J20" i="26" s="1"/>
  <c r="H66" i="21"/>
  <c r="H67" i="21"/>
  <c r="H68" i="21"/>
  <c r="H70" i="21"/>
  <c r="H71" i="21"/>
  <c r="H72" i="21"/>
  <c r="H73" i="21"/>
  <c r="H75" i="21"/>
  <c r="H62" i="21"/>
  <c r="H54" i="21"/>
  <c r="H55" i="21"/>
  <c r="H56" i="21"/>
  <c r="H57" i="21"/>
  <c r="H58" i="21"/>
  <c r="H59" i="21"/>
  <c r="H60" i="21"/>
  <c r="H44" i="21"/>
  <c r="H45" i="21"/>
  <c r="H46" i="21"/>
  <c r="H47" i="21"/>
  <c r="H48" i="21"/>
  <c r="H49" i="21"/>
  <c r="H50" i="21"/>
  <c r="H51" i="21"/>
  <c r="H52" i="21"/>
  <c r="H53" i="21"/>
  <c r="H43" i="21"/>
  <c r="J37" i="26"/>
  <c r="J35" i="26"/>
  <c r="J34" i="26"/>
  <c r="J31" i="26"/>
  <c r="J30" i="26"/>
  <c r="J29" i="26"/>
  <c r="J28" i="26"/>
  <c r="J27" i="26"/>
  <c r="J26" i="26"/>
  <c r="J25" i="26"/>
  <c r="J24" i="26"/>
  <c r="J23" i="26"/>
  <c r="J714" i="21"/>
  <c r="J735" i="21"/>
  <c r="I721" i="21"/>
  <c r="J721" i="21" s="1"/>
  <c r="I700" i="21"/>
  <c r="J700" i="21" s="1"/>
  <c r="I733" i="21"/>
  <c r="J733" i="21" s="1"/>
  <c r="I732" i="21"/>
  <c r="J732" i="21" s="1"/>
  <c r="I731" i="21"/>
  <c r="J731" i="21" s="1"/>
  <c r="I720" i="21"/>
  <c r="J720" i="21" s="1"/>
  <c r="I719" i="21"/>
  <c r="J719" i="21" s="1"/>
  <c r="I712" i="21"/>
  <c r="J712" i="21" s="1"/>
  <c r="I711" i="21"/>
  <c r="J711" i="21" s="1"/>
  <c r="I710" i="21"/>
  <c r="J710" i="21" s="1"/>
  <c r="I699" i="21"/>
  <c r="J699" i="21" s="1"/>
  <c r="I698" i="21"/>
  <c r="J698" i="21" s="1"/>
  <c r="I679" i="21"/>
  <c r="J679" i="21" s="1"/>
  <c r="I658" i="21"/>
  <c r="J658" i="21" s="1"/>
  <c r="J706" i="21"/>
  <c r="J727" i="21"/>
  <c r="J693" i="21"/>
  <c r="J685" i="21"/>
  <c r="J672" i="21"/>
  <c r="J664" i="21"/>
  <c r="J643" i="21"/>
  <c r="J622" i="21"/>
  <c r="I691" i="21"/>
  <c r="J691" i="21" s="1"/>
  <c r="I690" i="21"/>
  <c r="J690" i="21" s="1"/>
  <c r="I689" i="21"/>
  <c r="J689" i="21" s="1"/>
  <c r="I678" i="21"/>
  <c r="J678" i="21" s="1"/>
  <c r="I677" i="21"/>
  <c r="J677" i="21" s="1"/>
  <c r="I670" i="21"/>
  <c r="J670" i="21" s="1"/>
  <c r="I669" i="21"/>
  <c r="J669" i="21" s="1"/>
  <c r="I668" i="21"/>
  <c r="J668" i="21" s="1"/>
  <c r="I657" i="21"/>
  <c r="J657" i="21" s="1"/>
  <c r="I656" i="21"/>
  <c r="J656" i="21" s="1"/>
  <c r="I649" i="21"/>
  <c r="J649" i="21" s="1"/>
  <c r="I648" i="21"/>
  <c r="J648" i="21" s="1"/>
  <c r="I647" i="21"/>
  <c r="J647" i="21" s="1"/>
  <c r="J651" i="21"/>
  <c r="I637" i="21"/>
  <c r="J637" i="21" s="1"/>
  <c r="I636" i="21"/>
  <c r="J636" i="21" s="1"/>
  <c r="I635" i="21"/>
  <c r="J635" i="21" s="1"/>
  <c r="J638" i="21"/>
  <c r="J639" i="21"/>
  <c r="J640" i="21"/>
  <c r="J641" i="21"/>
  <c r="J642" i="21"/>
  <c r="J644" i="21"/>
  <c r="J645" i="21"/>
  <c r="J646" i="21"/>
  <c r="J650" i="21"/>
  <c r="J652" i="21"/>
  <c r="J654" i="21"/>
  <c r="I628" i="21"/>
  <c r="I627" i="21"/>
  <c r="I626" i="21"/>
  <c r="J630" i="21"/>
  <c r="I616" i="21"/>
  <c r="J616" i="21" s="1"/>
  <c r="I615" i="21"/>
  <c r="I614" i="21"/>
  <c r="J738" i="21"/>
  <c r="J736" i="21"/>
  <c r="J734" i="21"/>
  <c r="J730" i="21"/>
  <c r="J729" i="21"/>
  <c r="J728" i="21"/>
  <c r="J726" i="21"/>
  <c r="J725" i="21"/>
  <c r="J724" i="21"/>
  <c r="J723" i="21"/>
  <c r="J722" i="21"/>
  <c r="J717" i="21"/>
  <c r="J715" i="21"/>
  <c r="J713" i="21"/>
  <c r="J709" i="21"/>
  <c r="J708" i="21"/>
  <c r="J707" i="21"/>
  <c r="J705" i="21"/>
  <c r="J704" i="21"/>
  <c r="J703" i="21"/>
  <c r="J702" i="21"/>
  <c r="J701" i="21"/>
  <c r="J696" i="21"/>
  <c r="J694" i="21"/>
  <c r="J692" i="21"/>
  <c r="J688" i="21"/>
  <c r="J687" i="21"/>
  <c r="J686" i="21"/>
  <c r="J684" i="21"/>
  <c r="J683" i="21"/>
  <c r="J682" i="21"/>
  <c r="J681" i="21"/>
  <c r="J680" i="21"/>
  <c r="J675" i="21"/>
  <c r="J673" i="21"/>
  <c r="J671" i="21"/>
  <c r="J667" i="21"/>
  <c r="J666" i="21"/>
  <c r="J665" i="21"/>
  <c r="J663" i="21"/>
  <c r="J662" i="21"/>
  <c r="J661" i="21"/>
  <c r="J660" i="21"/>
  <c r="J659" i="21"/>
  <c r="L262" i="26" l="1"/>
  <c r="L241" i="26"/>
  <c r="L220" i="26"/>
  <c r="L199" i="26"/>
  <c r="L177" i="26"/>
  <c r="L157" i="26"/>
  <c r="N146" i="26" s="1"/>
  <c r="L137" i="26"/>
  <c r="L117" i="26"/>
  <c r="L97" i="26"/>
  <c r="L77" i="26"/>
  <c r="L57" i="26"/>
  <c r="L37" i="26"/>
  <c r="L696" i="21"/>
  <c r="L738" i="21"/>
  <c r="L717" i="21"/>
  <c r="L675" i="21"/>
  <c r="J633" i="21"/>
  <c r="J631" i="21"/>
  <c r="J629" i="21"/>
  <c r="J628" i="21"/>
  <c r="J627" i="21"/>
  <c r="J626" i="21"/>
  <c r="J625" i="21"/>
  <c r="J624" i="21"/>
  <c r="J623" i="21"/>
  <c r="J621" i="21"/>
  <c r="J620" i="21"/>
  <c r="J619" i="21"/>
  <c r="J618" i="21"/>
  <c r="J617" i="21"/>
  <c r="J615" i="21"/>
  <c r="J614" i="21"/>
  <c r="I580" i="21"/>
  <c r="J580" i="21" s="1"/>
  <c r="I579" i="21"/>
  <c r="J579" i="21" s="1"/>
  <c r="I578" i="21"/>
  <c r="J578" i="21" s="1"/>
  <c r="I590" i="21"/>
  <c r="J590" i="21" s="1"/>
  <c r="I589" i="21"/>
  <c r="J589" i="21" s="1"/>
  <c r="I561" i="21"/>
  <c r="J561" i="21" s="1"/>
  <c r="I544" i="21"/>
  <c r="J544" i="21" s="1"/>
  <c r="J612" i="21"/>
  <c r="J610" i="21"/>
  <c r="J609" i="21"/>
  <c r="J608" i="21"/>
  <c r="I607" i="21"/>
  <c r="J607" i="21" s="1"/>
  <c r="I606" i="21"/>
  <c r="J606" i="21" s="1"/>
  <c r="J605" i="21"/>
  <c r="J604" i="21"/>
  <c r="J603" i="21"/>
  <c r="J602" i="21"/>
  <c r="J601" i="21"/>
  <c r="J600" i="21"/>
  <c r="J599" i="21"/>
  <c r="I598" i="21"/>
  <c r="J598" i="21" s="1"/>
  <c r="I597" i="21"/>
  <c r="J597" i="21" s="1"/>
  <c r="J595" i="21"/>
  <c r="J593" i="21"/>
  <c r="J592" i="21"/>
  <c r="J591" i="21"/>
  <c r="J588" i="21"/>
  <c r="J587" i="21"/>
  <c r="J586" i="21"/>
  <c r="J585" i="21"/>
  <c r="J584" i="21"/>
  <c r="J583" i="21"/>
  <c r="J582" i="21"/>
  <c r="J581" i="21"/>
  <c r="J576" i="21"/>
  <c r="J574" i="21"/>
  <c r="J573" i="21"/>
  <c r="J572" i="21"/>
  <c r="I571" i="21"/>
  <c r="J571" i="21" s="1"/>
  <c r="I570" i="21"/>
  <c r="J570" i="21" s="1"/>
  <c r="J569" i="21"/>
  <c r="J568" i="21"/>
  <c r="J567" i="21"/>
  <c r="J566" i="21"/>
  <c r="J565" i="21"/>
  <c r="J564" i="21"/>
  <c r="J563" i="21"/>
  <c r="I562" i="21"/>
  <c r="J562" i="21" s="1"/>
  <c r="J559" i="21"/>
  <c r="J557" i="21"/>
  <c r="J556" i="21"/>
  <c r="J555" i="21"/>
  <c r="I554" i="21"/>
  <c r="J554" i="21" s="1"/>
  <c r="I553" i="21"/>
  <c r="J553" i="21" s="1"/>
  <c r="J552" i="21"/>
  <c r="J551" i="21"/>
  <c r="J550" i="21"/>
  <c r="J549" i="21"/>
  <c r="J548" i="21"/>
  <c r="J547" i="21"/>
  <c r="J546" i="21"/>
  <c r="I545" i="21"/>
  <c r="J545" i="21" s="1"/>
  <c r="I526" i="21"/>
  <c r="J526" i="21" s="1"/>
  <c r="I528" i="21"/>
  <c r="J528" i="21" s="1"/>
  <c r="I527" i="21"/>
  <c r="J527" i="21" s="1"/>
  <c r="I508" i="21"/>
  <c r="J508" i="21" s="1"/>
  <c r="I509" i="21"/>
  <c r="J509" i="21" s="1"/>
  <c r="I519" i="21"/>
  <c r="J519" i="21" s="1"/>
  <c r="I518" i="21"/>
  <c r="J518" i="21" s="1"/>
  <c r="I510" i="21"/>
  <c r="J510" i="21" s="1"/>
  <c r="J502" i="21"/>
  <c r="J498" i="21"/>
  <c r="I492" i="21"/>
  <c r="J492" i="21" s="1"/>
  <c r="I491" i="21"/>
  <c r="J491" i="21" s="1"/>
  <c r="I490" i="21"/>
  <c r="J490" i="21" s="1"/>
  <c r="J493" i="21"/>
  <c r="J494" i="21"/>
  <c r="J495" i="21"/>
  <c r="J496" i="21"/>
  <c r="J497" i="21"/>
  <c r="J499" i="21"/>
  <c r="I500" i="21"/>
  <c r="J500" i="21" s="1"/>
  <c r="I501" i="21"/>
  <c r="J501" i="21" s="1"/>
  <c r="J503" i="21"/>
  <c r="J504" i="21"/>
  <c r="J506" i="21"/>
  <c r="J511" i="21"/>
  <c r="J512" i="21"/>
  <c r="J513" i="21"/>
  <c r="J514" i="21"/>
  <c r="J515" i="21"/>
  <c r="J516" i="21"/>
  <c r="J517" i="21"/>
  <c r="J520" i="21"/>
  <c r="J521" i="21"/>
  <c r="J522" i="21"/>
  <c r="J524" i="21"/>
  <c r="J529" i="21"/>
  <c r="J530" i="21"/>
  <c r="J531" i="21"/>
  <c r="J532" i="21"/>
  <c r="J533" i="21"/>
  <c r="J534" i="21"/>
  <c r="J535" i="21"/>
  <c r="I536" i="21"/>
  <c r="J536" i="21" s="1"/>
  <c r="I537" i="21"/>
  <c r="J537" i="21" s="1"/>
  <c r="J538" i="21"/>
  <c r="J539" i="21"/>
  <c r="J540" i="21"/>
  <c r="J542" i="21"/>
  <c r="J476" i="21"/>
  <c r="I471" i="21"/>
  <c r="J471" i="21" s="1"/>
  <c r="I484" i="21"/>
  <c r="J484" i="21" s="1"/>
  <c r="I483" i="21"/>
  <c r="J483" i="21" s="1"/>
  <c r="I482" i="21"/>
  <c r="J482" i="21" s="1"/>
  <c r="I470" i="21"/>
  <c r="J470" i="21" s="1"/>
  <c r="I469" i="21"/>
  <c r="J469" i="21" s="1"/>
  <c r="I450" i="21"/>
  <c r="J450" i="21" s="1"/>
  <c r="I449" i="21"/>
  <c r="J449" i="21" s="1"/>
  <c r="I448" i="21"/>
  <c r="J448" i="21" s="1"/>
  <c r="I463" i="21"/>
  <c r="J463" i="21" s="1"/>
  <c r="I462" i="21"/>
  <c r="J462" i="21" s="1"/>
  <c r="I461" i="21"/>
  <c r="J461" i="21" s="1"/>
  <c r="J434" i="21"/>
  <c r="I441" i="21"/>
  <c r="J441" i="21" s="1"/>
  <c r="I440" i="21"/>
  <c r="J440" i="21" s="1"/>
  <c r="I429" i="21"/>
  <c r="J429" i="21" s="1"/>
  <c r="I428" i="21"/>
  <c r="J428" i="21" s="1"/>
  <c r="I427" i="21"/>
  <c r="J427" i="21" s="1"/>
  <c r="J488" i="21"/>
  <c r="J486" i="21"/>
  <c r="J485" i="21"/>
  <c r="J481" i="21"/>
  <c r="J480" i="21"/>
  <c r="J479" i="21"/>
  <c r="J478" i="21"/>
  <c r="J477" i="21"/>
  <c r="J475" i="21"/>
  <c r="J474" i="21"/>
  <c r="J473" i="21"/>
  <c r="J472" i="21"/>
  <c r="J467" i="21"/>
  <c r="J465" i="21"/>
  <c r="J464" i="21"/>
  <c r="J460" i="21"/>
  <c r="J459" i="21"/>
  <c r="J458" i="21"/>
  <c r="J456" i="21"/>
  <c r="J455" i="21"/>
  <c r="J454" i="21"/>
  <c r="J453" i="21"/>
  <c r="J452" i="21"/>
  <c r="J451" i="21"/>
  <c r="J446" i="21"/>
  <c r="J444" i="21"/>
  <c r="J443" i="21"/>
  <c r="I442" i="21"/>
  <c r="J442" i="21" s="1"/>
  <c r="J439" i="21"/>
  <c r="J438" i="21"/>
  <c r="J437" i="21"/>
  <c r="J433" i="21"/>
  <c r="J432" i="21"/>
  <c r="J431" i="21"/>
  <c r="J430" i="21"/>
  <c r="J413" i="21"/>
  <c r="J392" i="21"/>
  <c r="J371" i="21"/>
  <c r="J350" i="21"/>
  <c r="J329" i="21"/>
  <c r="J425" i="21"/>
  <c r="J423" i="21"/>
  <c r="J422" i="21"/>
  <c r="J421" i="21"/>
  <c r="I420" i="21"/>
  <c r="J420" i="21" s="1"/>
  <c r="I419" i="21"/>
  <c r="J419" i="21" s="1"/>
  <c r="I418" i="21"/>
  <c r="J418" i="21" s="1"/>
  <c r="J417" i="21"/>
  <c r="J416" i="21"/>
  <c r="J415" i="21"/>
  <c r="J414" i="21"/>
  <c r="J412" i="21"/>
  <c r="J411" i="21"/>
  <c r="J410" i="21"/>
  <c r="J409" i="21"/>
  <c r="I408" i="21"/>
  <c r="J408" i="21" s="1"/>
  <c r="I407" i="21"/>
  <c r="J407" i="21" s="1"/>
  <c r="I406" i="21"/>
  <c r="J406" i="21" s="1"/>
  <c r="J404" i="21"/>
  <c r="J402" i="21"/>
  <c r="J401" i="21"/>
  <c r="J400" i="21"/>
  <c r="I399" i="21"/>
  <c r="J399" i="21" s="1"/>
  <c r="I398" i="21"/>
  <c r="J398" i="21" s="1"/>
  <c r="I397" i="21"/>
  <c r="J397" i="21" s="1"/>
  <c r="J396" i="21"/>
  <c r="J395" i="21"/>
  <c r="J394" i="21"/>
  <c r="J393" i="21"/>
  <c r="J391" i="21"/>
  <c r="J390" i="21"/>
  <c r="J389" i="21"/>
  <c r="J388" i="21"/>
  <c r="I387" i="21"/>
  <c r="J387" i="21" s="1"/>
  <c r="I386" i="21"/>
  <c r="J386" i="21" s="1"/>
  <c r="I385" i="21"/>
  <c r="J385" i="21" s="1"/>
  <c r="J383" i="21"/>
  <c r="J381" i="21"/>
  <c r="J380" i="21"/>
  <c r="J379" i="21"/>
  <c r="I378" i="21"/>
  <c r="J378" i="21" s="1"/>
  <c r="I377" i="21"/>
  <c r="J377" i="21" s="1"/>
  <c r="I376" i="21"/>
  <c r="J376" i="21" s="1"/>
  <c r="J375" i="21"/>
  <c r="J374" i="21"/>
  <c r="J373" i="21"/>
  <c r="J372" i="21"/>
  <c r="J370" i="21"/>
  <c r="J369" i="21"/>
  <c r="J368" i="21"/>
  <c r="J367" i="21"/>
  <c r="I366" i="21"/>
  <c r="J366" i="21" s="1"/>
  <c r="I365" i="21"/>
  <c r="J365" i="21" s="1"/>
  <c r="I364" i="21"/>
  <c r="J364" i="21" s="1"/>
  <c r="J362" i="21"/>
  <c r="J360" i="21"/>
  <c r="J359" i="21"/>
  <c r="J358" i="21"/>
  <c r="I357" i="21"/>
  <c r="J357" i="21" s="1"/>
  <c r="I356" i="21"/>
  <c r="J356" i="21" s="1"/>
  <c r="I355" i="21"/>
  <c r="J355" i="21" s="1"/>
  <c r="J354" i="21"/>
  <c r="J353" i="21"/>
  <c r="J352" i="21"/>
  <c r="J351" i="21"/>
  <c r="J349" i="21"/>
  <c r="J348" i="21"/>
  <c r="J347" i="21"/>
  <c r="J346" i="21"/>
  <c r="I345" i="21"/>
  <c r="J345" i="21" s="1"/>
  <c r="I344" i="21"/>
  <c r="J344" i="21" s="1"/>
  <c r="I343" i="21"/>
  <c r="J343" i="21" s="1"/>
  <c r="J341" i="21"/>
  <c r="J339" i="21"/>
  <c r="J338" i="21"/>
  <c r="J337" i="21"/>
  <c r="I336" i="21"/>
  <c r="J336" i="21" s="1"/>
  <c r="I335" i="21"/>
  <c r="J335" i="21" s="1"/>
  <c r="I334" i="21"/>
  <c r="J334" i="21" s="1"/>
  <c r="J333" i="21"/>
  <c r="J332" i="21"/>
  <c r="J331" i="21"/>
  <c r="J330" i="21"/>
  <c r="J328" i="21"/>
  <c r="J327" i="21"/>
  <c r="J326" i="21"/>
  <c r="J325" i="21"/>
  <c r="I324" i="21"/>
  <c r="J324" i="21" s="1"/>
  <c r="I323" i="21"/>
  <c r="J323" i="21" s="1"/>
  <c r="I322" i="21"/>
  <c r="J322" i="21" s="1"/>
  <c r="M736" i="21" l="1"/>
  <c r="M737" i="21" s="1"/>
  <c r="M738" i="21" s="1"/>
  <c r="M95" i="26"/>
  <c r="M96" i="26" s="1"/>
  <c r="M97" i="26" s="1"/>
  <c r="M259" i="26"/>
  <c r="M260" i="26" s="1"/>
  <c r="M238" i="26"/>
  <c r="M239" i="26" s="1"/>
  <c r="M217" i="26"/>
  <c r="M196" i="26"/>
  <c r="M197" i="26" s="1"/>
  <c r="M198" i="26" s="1"/>
  <c r="M199" i="26" s="1"/>
  <c r="M174" i="26"/>
  <c r="M175" i="26" s="1"/>
  <c r="M154" i="26"/>
  <c r="M155" i="26" s="1"/>
  <c r="M134" i="26"/>
  <c r="M114" i="26"/>
  <c r="M115" i="26" s="1"/>
  <c r="M94" i="26"/>
  <c r="M74" i="26"/>
  <c r="M54" i="26"/>
  <c r="M34" i="26"/>
  <c r="M35" i="26" s="1"/>
  <c r="M735" i="21"/>
  <c r="M714" i="21"/>
  <c r="M715" i="21" s="1"/>
  <c r="M693" i="21"/>
  <c r="M694" i="21" s="1"/>
  <c r="M672" i="21"/>
  <c r="M673" i="21" s="1"/>
  <c r="L654" i="21"/>
  <c r="L633" i="21"/>
  <c r="L576" i="21"/>
  <c r="L559" i="21"/>
  <c r="L595" i="21"/>
  <c r="L612" i="21"/>
  <c r="L524" i="21"/>
  <c r="L542" i="21"/>
  <c r="L506" i="21"/>
  <c r="L467" i="21"/>
  <c r="L488" i="21"/>
  <c r="L446" i="21"/>
  <c r="L425" i="21"/>
  <c r="L404" i="21"/>
  <c r="L341" i="21"/>
  <c r="L362" i="21"/>
  <c r="L383" i="21"/>
  <c r="J316" i="21"/>
  <c r="J317" i="21"/>
  <c r="J296" i="21"/>
  <c r="J297" i="21"/>
  <c r="J276" i="21"/>
  <c r="J277" i="21"/>
  <c r="J320" i="21"/>
  <c r="J318" i="21"/>
  <c r="I315" i="21"/>
  <c r="J315" i="21" s="1"/>
  <c r="I314" i="21"/>
  <c r="J314" i="21" s="1"/>
  <c r="I313" i="21"/>
  <c r="J313" i="21" s="1"/>
  <c r="J312" i="21"/>
  <c r="J311" i="21"/>
  <c r="J310" i="21"/>
  <c r="J309" i="21"/>
  <c r="J308" i="21"/>
  <c r="J307" i="21"/>
  <c r="J306" i="21"/>
  <c r="J305" i="21"/>
  <c r="I304" i="21"/>
  <c r="J304" i="21" s="1"/>
  <c r="I303" i="21"/>
  <c r="J303" i="21" s="1"/>
  <c r="I302" i="21"/>
  <c r="J302" i="21" s="1"/>
  <c r="J300" i="21"/>
  <c r="J298" i="21"/>
  <c r="I295" i="21"/>
  <c r="J295" i="21" s="1"/>
  <c r="I294" i="21"/>
  <c r="J294" i="21" s="1"/>
  <c r="I293" i="21"/>
  <c r="J293" i="21" s="1"/>
  <c r="J292" i="21"/>
  <c r="J291" i="21"/>
  <c r="J290" i="21"/>
  <c r="J289" i="21"/>
  <c r="J288" i="21"/>
  <c r="J287" i="21"/>
  <c r="J286" i="21"/>
  <c r="J285" i="21"/>
  <c r="I284" i="21"/>
  <c r="J284" i="21" s="1"/>
  <c r="I283" i="21"/>
  <c r="J283" i="21" s="1"/>
  <c r="I282" i="21"/>
  <c r="J282" i="21" s="1"/>
  <c r="J280" i="21"/>
  <c r="J278" i="21"/>
  <c r="I275" i="21"/>
  <c r="J275" i="21" s="1"/>
  <c r="I274" i="21"/>
  <c r="J274" i="21" s="1"/>
  <c r="I273" i="21"/>
  <c r="J273" i="21" s="1"/>
  <c r="J272" i="21"/>
  <c r="J271" i="21"/>
  <c r="J270" i="21"/>
  <c r="J269" i="21"/>
  <c r="J268" i="21"/>
  <c r="J267" i="21"/>
  <c r="J266" i="21"/>
  <c r="J265" i="21"/>
  <c r="I264" i="21"/>
  <c r="J264" i="21" s="1"/>
  <c r="I263" i="21"/>
  <c r="J263" i="21" s="1"/>
  <c r="I262" i="21"/>
  <c r="J262" i="21" s="1"/>
  <c r="M695" i="21" l="1"/>
  <c r="M696" i="21" s="1"/>
  <c r="M573" i="21"/>
  <c r="M574" i="21" s="1"/>
  <c r="M261" i="26"/>
  <c r="M262" i="26" s="1"/>
  <c r="M219" i="26"/>
  <c r="M220" i="26" s="1"/>
  <c r="M218" i="26"/>
  <c r="M176" i="26"/>
  <c r="M177" i="26" s="1"/>
  <c r="M135" i="26"/>
  <c r="M136" i="26" s="1"/>
  <c r="M137" i="26" s="1"/>
  <c r="M116" i="26"/>
  <c r="M117" i="26" s="1"/>
  <c r="M75" i="26"/>
  <c r="M76" i="26" s="1"/>
  <c r="M77" i="26" s="1"/>
  <c r="M55" i="26"/>
  <c r="M56" i="26" s="1"/>
  <c r="M57" i="26" s="1"/>
  <c r="M240" i="26"/>
  <c r="M241" i="26" s="1"/>
  <c r="M156" i="26"/>
  <c r="M157" i="26" s="1"/>
  <c r="M36" i="26"/>
  <c r="M37" i="26" s="1"/>
  <c r="M716" i="21"/>
  <c r="M717" i="21" s="1"/>
  <c r="M674" i="21"/>
  <c r="M675" i="21" s="1"/>
  <c r="M651" i="21"/>
  <c r="M652" i="21" s="1"/>
  <c r="M630" i="21"/>
  <c r="M631" i="21" s="1"/>
  <c r="M632" i="21" s="1"/>
  <c r="M633" i="21" s="1"/>
  <c r="M609" i="21"/>
  <c r="M610" i="21" s="1"/>
  <c r="M611" i="21" s="1"/>
  <c r="M612" i="21" s="1"/>
  <c r="M592" i="21"/>
  <c r="M593" i="21" s="1"/>
  <c r="M556" i="21"/>
  <c r="M539" i="21"/>
  <c r="M540" i="21" s="1"/>
  <c r="M521" i="21"/>
  <c r="M503" i="21"/>
  <c r="M504" i="21" s="1"/>
  <c r="M505" i="21" s="1"/>
  <c r="M506" i="21" s="1"/>
  <c r="M485" i="21"/>
  <c r="M486" i="21" s="1"/>
  <c r="M487" i="21" s="1"/>
  <c r="M488" i="21" s="1"/>
  <c r="M464" i="21"/>
  <c r="M465" i="21" s="1"/>
  <c r="M443" i="21"/>
  <c r="M444" i="21" s="1"/>
  <c r="M445" i="21" s="1"/>
  <c r="M446" i="21" s="1"/>
  <c r="M422" i="21"/>
  <c r="M423" i="21" s="1"/>
  <c r="M401" i="21"/>
  <c r="M402" i="21" s="1"/>
  <c r="M403" i="21" s="1"/>
  <c r="M404" i="21" s="1"/>
  <c r="M380" i="21"/>
  <c r="M381" i="21" s="1"/>
  <c r="M359" i="21"/>
  <c r="M360" i="21" s="1"/>
  <c r="M361" i="21" s="1"/>
  <c r="M362" i="21" s="1"/>
  <c r="M338" i="21"/>
  <c r="M339" i="21" s="1"/>
  <c r="L320" i="21"/>
  <c r="L280" i="21"/>
  <c r="L300" i="21"/>
  <c r="M278" i="21" l="1"/>
  <c r="M279" i="21" s="1"/>
  <c r="M280" i="21" s="1"/>
  <c r="M541" i="21"/>
  <c r="M542" i="21" s="1"/>
  <c r="M340" i="21"/>
  <c r="M341" i="21" s="1"/>
  <c r="M424" i="21"/>
  <c r="M425" i="21" s="1"/>
  <c r="M653" i="21"/>
  <c r="M654" i="21" s="1"/>
  <c r="M557" i="21"/>
  <c r="M558" i="21" s="1"/>
  <c r="M559" i="21" s="1"/>
  <c r="M522" i="21"/>
  <c r="M523" i="21" s="1"/>
  <c r="M524" i="21" s="1"/>
  <c r="M594" i="21"/>
  <c r="M595" i="21" s="1"/>
  <c r="M298" i="21"/>
  <c r="M382" i="21"/>
  <c r="M383" i="21" s="1"/>
  <c r="M575" i="21"/>
  <c r="M576" i="21" s="1"/>
  <c r="M466" i="21"/>
  <c r="M467" i="21" s="1"/>
  <c r="M317" i="21"/>
  <c r="M297" i="21"/>
  <c r="M299" i="21"/>
  <c r="M300" i="21" s="1"/>
  <c r="M277" i="21"/>
  <c r="J260" i="21"/>
  <c r="J258" i="21"/>
  <c r="I256" i="21"/>
  <c r="J256" i="21" s="1"/>
  <c r="I255" i="21"/>
  <c r="J255" i="21" s="1"/>
  <c r="I254" i="21"/>
  <c r="J254" i="21" s="1"/>
  <c r="J253" i="21"/>
  <c r="J252" i="21"/>
  <c r="J251" i="21"/>
  <c r="J250" i="21"/>
  <c r="J249" i="21"/>
  <c r="J248" i="21"/>
  <c r="J247" i="21"/>
  <c r="J246" i="21"/>
  <c r="J245" i="21"/>
  <c r="J244" i="21"/>
  <c r="J243" i="21"/>
  <c r="I242" i="21"/>
  <c r="J242" i="21" s="1"/>
  <c r="I241" i="21"/>
  <c r="J241" i="21" s="1"/>
  <c r="I240" i="21"/>
  <c r="J240" i="21" s="1"/>
  <c r="J238" i="21"/>
  <c r="J236" i="21"/>
  <c r="I234" i="21"/>
  <c r="J234" i="21" s="1"/>
  <c r="I233" i="21"/>
  <c r="J233" i="21" s="1"/>
  <c r="I232" i="21"/>
  <c r="J232" i="21" s="1"/>
  <c r="J231" i="21"/>
  <c r="J230" i="21"/>
  <c r="J229" i="21"/>
  <c r="J228" i="21"/>
  <c r="J227" i="21"/>
  <c r="J226" i="21"/>
  <c r="J225" i="21"/>
  <c r="J224" i="21"/>
  <c r="J223" i="21"/>
  <c r="J222" i="21"/>
  <c r="J221" i="21"/>
  <c r="I220" i="21"/>
  <c r="J220" i="21" s="1"/>
  <c r="I219" i="21"/>
  <c r="J219" i="21" s="1"/>
  <c r="I218" i="21"/>
  <c r="J218" i="21" s="1"/>
  <c r="J216" i="21"/>
  <c r="J214" i="21"/>
  <c r="I212" i="21"/>
  <c r="J212" i="21" s="1"/>
  <c r="I211" i="21"/>
  <c r="J211" i="21" s="1"/>
  <c r="I210" i="21"/>
  <c r="J210" i="21" s="1"/>
  <c r="J209" i="21"/>
  <c r="J208" i="21"/>
  <c r="J207" i="21"/>
  <c r="J206" i="21"/>
  <c r="J205" i="21"/>
  <c r="J204" i="21"/>
  <c r="J203" i="21"/>
  <c r="J202" i="21"/>
  <c r="J201" i="21"/>
  <c r="J200" i="21"/>
  <c r="J199" i="21"/>
  <c r="I198" i="21"/>
  <c r="J198" i="21" s="1"/>
  <c r="I197" i="21"/>
  <c r="J197" i="21" s="1"/>
  <c r="I196" i="21"/>
  <c r="J196" i="21" s="1"/>
  <c r="J59" i="21"/>
  <c r="J194" i="21"/>
  <c r="J192" i="21"/>
  <c r="I190" i="21"/>
  <c r="J190" i="21" s="1"/>
  <c r="I189" i="21"/>
  <c r="J189" i="21" s="1"/>
  <c r="I188" i="21"/>
  <c r="J188" i="21" s="1"/>
  <c r="J187" i="21"/>
  <c r="J186" i="21"/>
  <c r="J185" i="21"/>
  <c r="J184" i="21"/>
  <c r="J183" i="21"/>
  <c r="J182" i="21"/>
  <c r="J181" i="21"/>
  <c r="J180" i="21"/>
  <c r="J179" i="21"/>
  <c r="J178" i="21"/>
  <c r="J177" i="21"/>
  <c r="I176" i="21"/>
  <c r="J176" i="21" s="1"/>
  <c r="I175" i="21"/>
  <c r="J175" i="21" s="1"/>
  <c r="I174" i="21"/>
  <c r="J174" i="21" s="1"/>
  <c r="J172" i="21"/>
  <c r="J170" i="21"/>
  <c r="I168" i="21"/>
  <c r="J168" i="21" s="1"/>
  <c r="I167" i="21"/>
  <c r="J167" i="21" s="1"/>
  <c r="I166" i="21"/>
  <c r="J166" i="21" s="1"/>
  <c r="J165" i="21"/>
  <c r="J164" i="21"/>
  <c r="J163" i="21"/>
  <c r="J162" i="21"/>
  <c r="J161" i="21"/>
  <c r="J160" i="21"/>
  <c r="J159" i="21"/>
  <c r="J158" i="21"/>
  <c r="J157" i="21"/>
  <c r="J156" i="21"/>
  <c r="J155" i="21"/>
  <c r="I154" i="21"/>
  <c r="J154" i="21" s="1"/>
  <c r="I153" i="21"/>
  <c r="J153" i="21" s="1"/>
  <c r="I152" i="21"/>
  <c r="J152" i="21" s="1"/>
  <c r="J150" i="21"/>
  <c r="J148" i="21"/>
  <c r="I146" i="21"/>
  <c r="J146" i="21" s="1"/>
  <c r="I145" i="21"/>
  <c r="J145" i="21" s="1"/>
  <c r="I144" i="21"/>
  <c r="J144" i="21" s="1"/>
  <c r="J143" i="21"/>
  <c r="J142" i="21"/>
  <c r="J141" i="21"/>
  <c r="J140" i="21"/>
  <c r="J139" i="21"/>
  <c r="J138" i="21"/>
  <c r="J137" i="21"/>
  <c r="J136" i="21"/>
  <c r="J135" i="21"/>
  <c r="J134" i="21"/>
  <c r="J133" i="21"/>
  <c r="I132" i="21"/>
  <c r="J132" i="21" s="1"/>
  <c r="I131" i="21"/>
  <c r="J131" i="21" s="1"/>
  <c r="I130" i="21"/>
  <c r="J130" i="21" s="1"/>
  <c r="M318" i="21" l="1"/>
  <c r="M319" i="21" s="1"/>
  <c r="M320" i="21" s="1"/>
  <c r="L238" i="21"/>
  <c r="L216" i="21"/>
  <c r="L260" i="21"/>
  <c r="L194" i="21"/>
  <c r="L172" i="21"/>
  <c r="L150" i="21"/>
  <c r="I110" i="21"/>
  <c r="J110" i="21" s="1"/>
  <c r="I44" i="21"/>
  <c r="J44" i="21" s="1"/>
  <c r="J128" i="21"/>
  <c r="J126" i="21"/>
  <c r="I124" i="21"/>
  <c r="J124" i="21" s="1"/>
  <c r="I123" i="21"/>
  <c r="J123" i="21" s="1"/>
  <c r="I122" i="21"/>
  <c r="J122" i="21" s="1"/>
  <c r="J121" i="21"/>
  <c r="J120" i="21"/>
  <c r="J119" i="21"/>
  <c r="J118" i="21"/>
  <c r="J117" i="21"/>
  <c r="J116" i="21"/>
  <c r="J115" i="21"/>
  <c r="J114" i="21"/>
  <c r="J113" i="21"/>
  <c r="J112" i="21"/>
  <c r="J111" i="21"/>
  <c r="I109" i="21"/>
  <c r="J109" i="21" s="1"/>
  <c r="I108" i="21"/>
  <c r="J108" i="21" s="1"/>
  <c r="J106" i="21"/>
  <c r="J104" i="21"/>
  <c r="I102" i="21"/>
  <c r="J102" i="21" s="1"/>
  <c r="I101" i="21"/>
  <c r="J101" i="21" s="1"/>
  <c r="I100" i="21"/>
  <c r="J100" i="21" s="1"/>
  <c r="J84" i="21"/>
  <c r="J82" i="21"/>
  <c r="I80" i="21"/>
  <c r="J80" i="21" s="1"/>
  <c r="I79" i="21"/>
  <c r="J79" i="21" s="1"/>
  <c r="I78" i="21"/>
  <c r="J78" i="21" s="1"/>
  <c r="M236" i="21" l="1"/>
  <c r="M148" i="21"/>
  <c r="M258" i="21"/>
  <c r="M259" i="21" s="1"/>
  <c r="M260" i="21" s="1"/>
  <c r="M257" i="21"/>
  <c r="M235" i="21"/>
  <c r="M213" i="21"/>
  <c r="M191" i="21"/>
  <c r="M192" i="21" s="1"/>
  <c r="M169" i="21"/>
  <c r="M147" i="21"/>
  <c r="L128" i="21"/>
  <c r="J62" i="21"/>
  <c r="I58" i="21"/>
  <c r="J58" i="21" s="1"/>
  <c r="J99" i="21"/>
  <c r="J98" i="21"/>
  <c r="J96" i="21"/>
  <c r="J91" i="21"/>
  <c r="I88" i="21"/>
  <c r="I87" i="21"/>
  <c r="I86" i="21"/>
  <c r="M170" i="21" l="1"/>
  <c r="M171" i="21" s="1"/>
  <c r="M172" i="21" s="1"/>
  <c r="M214" i="21"/>
  <c r="M215" i="21" s="1"/>
  <c r="M216" i="21" s="1"/>
  <c r="M126" i="21"/>
  <c r="M127" i="21" s="1"/>
  <c r="M128" i="21" s="1"/>
  <c r="M237" i="21"/>
  <c r="M238" i="21" s="1"/>
  <c r="M149" i="21"/>
  <c r="M150" i="21" s="1"/>
  <c r="M193" i="21"/>
  <c r="M194" i="21" s="1"/>
  <c r="M125" i="21"/>
  <c r="I66" i="21"/>
  <c r="J77" i="21"/>
  <c r="J76" i="21"/>
  <c r="J75" i="21"/>
  <c r="J74" i="21"/>
  <c r="J73" i="21"/>
  <c r="J72" i="21"/>
  <c r="J71" i="21"/>
  <c r="J70" i="21"/>
  <c r="J69" i="21"/>
  <c r="J68" i="21"/>
  <c r="J67" i="21"/>
  <c r="I65" i="21"/>
  <c r="H65" i="21"/>
  <c r="I64" i="21"/>
  <c r="H64" i="21"/>
  <c r="J47" i="21"/>
  <c r="J94" i="21"/>
  <c r="I57" i="21"/>
  <c r="J57" i="21" s="1"/>
  <c r="I56" i="21"/>
  <c r="J56" i="21" s="1"/>
  <c r="J60" i="21"/>
  <c r="J55" i="21"/>
  <c r="J54" i="21"/>
  <c r="J52" i="21"/>
  <c r="I43" i="21"/>
  <c r="I42" i="21"/>
  <c r="J49" i="21"/>
  <c r="J50" i="21"/>
  <c r="J92" i="21" l="1"/>
  <c r="J95" i="21"/>
  <c r="J87" i="21"/>
  <c r="J90" i="21"/>
  <c r="J89" i="21"/>
  <c r="J86" i="21"/>
  <c r="J97" i="21"/>
  <c r="J93" i="21"/>
  <c r="J88" i="21"/>
  <c r="J66" i="21"/>
  <c r="J64" i="21"/>
  <c r="J65" i="21"/>
  <c r="L106" i="21" l="1"/>
  <c r="L84" i="21"/>
  <c r="J16" i="26"/>
  <c r="M103" i="21" l="1"/>
  <c r="M104" i="21" s="1"/>
  <c r="M105" i="21" s="1"/>
  <c r="M106" i="21" s="1"/>
  <c r="M81" i="21"/>
  <c r="M82" i="21" s="1"/>
  <c r="M83" i="21" s="1"/>
  <c r="M84" i="21" s="1"/>
  <c r="H305" i="14"/>
  <c r="H302" i="14"/>
  <c r="H292" i="14"/>
  <c r="H306" i="14"/>
  <c r="H304" i="14"/>
  <c r="H303" i="14"/>
  <c r="H185" i="22"/>
  <c r="J185" i="22" s="1"/>
  <c r="I184" i="22"/>
  <c r="H184" i="22"/>
  <c r="H141" i="22"/>
  <c r="J141" i="22" s="1"/>
  <c r="I140" i="22"/>
  <c r="H140" i="22"/>
  <c r="H97" i="22"/>
  <c r="J97" i="22" s="1"/>
  <c r="I96" i="22"/>
  <c r="H96" i="22"/>
  <c r="I52" i="22"/>
  <c r="H53" i="22"/>
  <c r="J53" i="22" s="1"/>
  <c r="H52" i="22"/>
  <c r="J184" i="22" l="1"/>
  <c r="J140" i="22"/>
  <c r="J52" i="22"/>
  <c r="J96" i="22"/>
  <c r="I142" i="17" l="1"/>
  <c r="I97" i="17"/>
  <c r="I52" i="17"/>
  <c r="I1067" i="13"/>
  <c r="I1017" i="13"/>
  <c r="I968" i="13"/>
  <c r="I918" i="13"/>
  <c r="I868" i="13"/>
  <c r="I819" i="13"/>
  <c r="I769" i="13"/>
  <c r="I719" i="13"/>
  <c r="I670" i="13"/>
  <c r="I619" i="13"/>
  <c r="I567" i="13"/>
  <c r="I516" i="13"/>
  <c r="I464" i="13"/>
  <c r="I412" i="13"/>
  <c r="I361" i="13"/>
  <c r="I309" i="13"/>
  <c r="I257" i="13"/>
  <c r="I206" i="13"/>
  <c r="I154" i="13"/>
  <c r="I102" i="13"/>
  <c r="I51" i="13"/>
  <c r="I659" i="13" l="1"/>
  <c r="I40" i="13"/>
  <c r="H143" i="17"/>
  <c r="J143" i="17" s="1"/>
  <c r="H98" i="17"/>
  <c r="J98" i="17" s="1"/>
  <c r="H53" i="17"/>
  <c r="J53" i="17" s="1"/>
  <c r="H142" i="17"/>
  <c r="J142" i="17" s="1"/>
  <c r="H97" i="17"/>
  <c r="J97" i="17" s="1"/>
  <c r="H52" i="17"/>
  <c r="J52" i="17" s="1"/>
  <c r="H168" i="22" l="1"/>
  <c r="J168" i="22" s="1"/>
  <c r="H124" i="22"/>
  <c r="J124" i="22" s="1"/>
  <c r="H80" i="22"/>
  <c r="J80" i="22" s="1"/>
  <c r="G9" i="25" l="1"/>
  <c r="I9" i="25" s="1"/>
  <c r="G10" i="25"/>
  <c r="I10" i="25" s="1"/>
  <c r="G11" i="25"/>
  <c r="I11" i="25" s="1"/>
  <c r="G12" i="25"/>
  <c r="I12" i="25" s="1"/>
  <c r="G13" i="25"/>
  <c r="I13" i="25" s="1"/>
  <c r="G15" i="25"/>
  <c r="I15" i="25" s="1"/>
  <c r="G16" i="25"/>
  <c r="I16" i="25" s="1"/>
  <c r="G17" i="25"/>
  <c r="I17" i="25" s="1"/>
  <c r="G18" i="25"/>
  <c r="I18" i="25" s="1"/>
  <c r="G19" i="25"/>
  <c r="I19" i="25" s="1"/>
  <c r="G20" i="25"/>
  <c r="I20" i="25" s="1"/>
  <c r="G21" i="25"/>
  <c r="I21" i="25" s="1"/>
  <c r="G22" i="25"/>
  <c r="I22" i="25" s="1"/>
  <c r="G23" i="25"/>
  <c r="I23" i="25" s="1"/>
  <c r="G24" i="25"/>
  <c r="I24" i="25" s="1"/>
  <c r="G25" i="25"/>
  <c r="I25" i="25" s="1"/>
  <c r="G26" i="25"/>
  <c r="I26" i="25" s="1"/>
  <c r="G27" i="25"/>
  <c r="I27" i="25" s="1"/>
  <c r="G28" i="25"/>
  <c r="I28" i="25" s="1"/>
  <c r="G29" i="25"/>
  <c r="I29" i="25" s="1"/>
  <c r="G30" i="25"/>
  <c r="I30" i="25" s="1"/>
  <c r="G31" i="25"/>
  <c r="I31" i="25" s="1"/>
  <c r="G32" i="25"/>
  <c r="I32" i="25" s="1"/>
  <c r="G33" i="25"/>
  <c r="I33" i="25" s="1"/>
  <c r="G34" i="25"/>
  <c r="I34" i="25" s="1"/>
  <c r="G35" i="25"/>
  <c r="I35" i="25" s="1"/>
  <c r="G36" i="25"/>
  <c r="I36" i="25" s="1"/>
  <c r="G37" i="25"/>
  <c r="I37" i="25" s="1"/>
  <c r="G38" i="25"/>
  <c r="I38" i="25" s="1"/>
  <c r="G39" i="25"/>
  <c r="I39" i="25" s="1"/>
  <c r="G40" i="25"/>
  <c r="I40" i="25" s="1"/>
  <c r="G8" i="25"/>
  <c r="I8" i="25" s="1"/>
  <c r="J5" i="25" l="1"/>
  <c r="J8" i="22" l="1"/>
  <c r="H186" i="22"/>
  <c r="J186" i="22" s="1"/>
  <c r="H183" i="22"/>
  <c r="J183" i="22" s="1"/>
  <c r="H182" i="22"/>
  <c r="H181" i="22"/>
  <c r="H177" i="22"/>
  <c r="J177" i="22" s="1"/>
  <c r="H176" i="22"/>
  <c r="J176" i="22" s="1"/>
  <c r="H175" i="22"/>
  <c r="H174" i="22"/>
  <c r="J174" i="22" s="1"/>
  <c r="H173" i="22"/>
  <c r="J173" i="22" s="1"/>
  <c r="H172" i="22"/>
  <c r="J172" i="22" s="1"/>
  <c r="H171" i="22"/>
  <c r="J171" i="22" s="1"/>
  <c r="H170" i="22"/>
  <c r="J170" i="22" s="1"/>
  <c r="H169" i="22"/>
  <c r="J169" i="22" s="1"/>
  <c r="H167" i="22"/>
  <c r="J158" i="22"/>
  <c r="J157" i="22"/>
  <c r="H156" i="22"/>
  <c r="J156" i="22" s="1"/>
  <c r="H155" i="22"/>
  <c r="J155" i="22" s="1"/>
  <c r="H154" i="22"/>
  <c r="H153" i="22"/>
  <c r="J153" i="22" s="1"/>
  <c r="H152" i="22"/>
  <c r="J152" i="22" s="1"/>
  <c r="H149" i="22"/>
  <c r="J149" i="22" s="1"/>
  <c r="H145" i="22"/>
  <c r="J145" i="22" s="1"/>
  <c r="H144" i="22"/>
  <c r="J144" i="22" s="1"/>
  <c r="H143" i="22"/>
  <c r="J143" i="22" s="1"/>
  <c r="G190" i="22"/>
  <c r="G191" i="22"/>
  <c r="H192" i="22"/>
  <c r="H142" i="22"/>
  <c r="J142" i="22" s="1"/>
  <c r="H139" i="22"/>
  <c r="J139" i="22" s="1"/>
  <c r="H138" i="22"/>
  <c r="H137" i="22"/>
  <c r="H133" i="22"/>
  <c r="J133" i="22" s="1"/>
  <c r="H132" i="22"/>
  <c r="J132" i="22" s="1"/>
  <c r="H131" i="22"/>
  <c r="H130" i="22"/>
  <c r="J130" i="22" s="1"/>
  <c r="H129" i="22"/>
  <c r="J129" i="22" s="1"/>
  <c r="H128" i="22"/>
  <c r="J128" i="22" s="1"/>
  <c r="H127" i="22"/>
  <c r="J127" i="22" s="1"/>
  <c r="H126" i="22"/>
  <c r="J126" i="22" s="1"/>
  <c r="H125" i="22"/>
  <c r="J125" i="22" s="1"/>
  <c r="H123" i="22"/>
  <c r="J114" i="22"/>
  <c r="J113" i="22"/>
  <c r="H112" i="22"/>
  <c r="J112" i="22" s="1"/>
  <c r="H111" i="22"/>
  <c r="J111" i="22" s="1"/>
  <c r="H110" i="22"/>
  <c r="H109" i="22"/>
  <c r="J109" i="22" s="1"/>
  <c r="H108" i="22"/>
  <c r="J108" i="22" s="1"/>
  <c r="H105" i="22"/>
  <c r="J105" i="22" s="1"/>
  <c r="J102" i="22"/>
  <c r="H101" i="22"/>
  <c r="J101" i="22" s="1"/>
  <c r="H100" i="22"/>
  <c r="J100" i="22" s="1"/>
  <c r="H99" i="22"/>
  <c r="J99" i="22" s="1"/>
  <c r="H98" i="22"/>
  <c r="J98" i="22" s="1"/>
  <c r="H95" i="22"/>
  <c r="J95" i="22" s="1"/>
  <c r="H94" i="22"/>
  <c r="H93" i="22"/>
  <c r="H89" i="22"/>
  <c r="J89" i="22" s="1"/>
  <c r="H88" i="22"/>
  <c r="J88" i="22" s="1"/>
  <c r="H87" i="22"/>
  <c r="H86" i="22"/>
  <c r="J86" i="22" s="1"/>
  <c r="H85" i="22"/>
  <c r="J85" i="22" s="1"/>
  <c r="H84" i="22"/>
  <c r="J84" i="22" s="1"/>
  <c r="H83" i="22"/>
  <c r="J83" i="22" s="1"/>
  <c r="H82" i="22"/>
  <c r="J82" i="22" s="1"/>
  <c r="H81" i="22"/>
  <c r="J81" i="22" s="1"/>
  <c r="H79" i="22"/>
  <c r="J70" i="22"/>
  <c r="J69" i="22"/>
  <c r="H68" i="22"/>
  <c r="J68" i="22" s="1"/>
  <c r="H67" i="22"/>
  <c r="J67" i="22" s="1"/>
  <c r="H66" i="22"/>
  <c r="H65" i="22"/>
  <c r="J65" i="22" s="1"/>
  <c r="H64" i="22"/>
  <c r="J64" i="22" s="1"/>
  <c r="H61" i="22"/>
  <c r="J61" i="22" s="1"/>
  <c r="J58" i="22"/>
  <c r="H57" i="22"/>
  <c r="J57" i="22" s="1"/>
  <c r="H56" i="22"/>
  <c r="J56" i="22" s="1"/>
  <c r="H55" i="22"/>
  <c r="J55" i="22" s="1"/>
  <c r="J182" i="22" l="1"/>
  <c r="J154" i="22"/>
  <c r="J181" i="22"/>
  <c r="G192" i="22"/>
  <c r="J138" i="22"/>
  <c r="J66" i="22"/>
  <c r="J94" i="22"/>
  <c r="J110" i="22"/>
  <c r="J137" i="22"/>
  <c r="J93" i="22"/>
  <c r="H54" i="22"/>
  <c r="J54" i="22" s="1"/>
  <c r="H51" i="22"/>
  <c r="J51" i="22" s="1"/>
  <c r="H50" i="22"/>
  <c r="H49" i="22"/>
  <c r="H47" i="22"/>
  <c r="J47" i="22" s="1"/>
  <c r="H46" i="22"/>
  <c r="J46" i="22" s="1"/>
  <c r="H45" i="22"/>
  <c r="J45" i="22" s="1"/>
  <c r="H44" i="22"/>
  <c r="J44" i="22" s="1"/>
  <c r="H43" i="22"/>
  <c r="H42" i="22"/>
  <c r="J42" i="22" s="1"/>
  <c r="H41" i="22"/>
  <c r="J41" i="22" s="1"/>
  <c r="H40" i="22"/>
  <c r="J40" i="22" s="1"/>
  <c r="H39" i="22"/>
  <c r="J39" i="22" s="1"/>
  <c r="H38" i="22"/>
  <c r="J38" i="22" s="1"/>
  <c r="H37" i="22"/>
  <c r="J37" i="22" s="1"/>
  <c r="H36" i="22"/>
  <c r="J36" i="22" s="1"/>
  <c r="H35" i="22"/>
  <c r="H30" i="22"/>
  <c r="H29" i="22"/>
  <c r="H26" i="22"/>
  <c r="J26" i="22" s="1"/>
  <c r="H25" i="22"/>
  <c r="J25" i="22" s="1"/>
  <c r="H24" i="22"/>
  <c r="J24" i="22" s="1"/>
  <c r="H23" i="22"/>
  <c r="J23" i="22" s="1"/>
  <c r="H22" i="22"/>
  <c r="H21" i="22"/>
  <c r="J21" i="22" s="1"/>
  <c r="H20" i="22"/>
  <c r="J20" i="22" s="1"/>
  <c r="H18" i="22"/>
  <c r="J18" i="22" s="1"/>
  <c r="H17" i="22"/>
  <c r="J17" i="22" s="1"/>
  <c r="H14" i="22"/>
  <c r="J14" i="22" s="1"/>
  <c r="H13" i="22"/>
  <c r="J13" i="22" s="1"/>
  <c r="H12" i="22"/>
  <c r="J12" i="22" s="1"/>
  <c r="H11" i="22"/>
  <c r="H51" i="5"/>
  <c r="G50" i="5"/>
  <c r="G49" i="5"/>
  <c r="G51" i="5" s="1"/>
  <c r="L186" i="22" l="1"/>
  <c r="L98" i="22"/>
  <c r="L142" i="22"/>
  <c r="J49" i="22"/>
  <c r="J11" i="22"/>
  <c r="J22" i="22"/>
  <c r="J50" i="22"/>
  <c r="J53" i="21"/>
  <c r="J48" i="21"/>
  <c r="J51" i="21"/>
  <c r="J46" i="21"/>
  <c r="J45" i="21"/>
  <c r="J43" i="21"/>
  <c r="H42" i="21"/>
  <c r="J42" i="21" s="1"/>
  <c r="J39" i="21"/>
  <c r="H614" i="19"/>
  <c r="J614" i="19" s="1"/>
  <c r="H542" i="19"/>
  <c r="J542" i="19" s="1"/>
  <c r="H398" i="19"/>
  <c r="J398" i="19" s="1"/>
  <c r="J145" i="19"/>
  <c r="J144" i="19"/>
  <c r="L208" i="19" s="1"/>
  <c r="J71" i="19"/>
  <c r="J70" i="19"/>
  <c r="J69" i="19"/>
  <c r="H63" i="19"/>
  <c r="J63" i="19" s="1"/>
  <c r="J48" i="19"/>
  <c r="J46" i="19"/>
  <c r="J44" i="19"/>
  <c r="J19" i="19"/>
  <c r="J18" i="19"/>
  <c r="J17" i="19"/>
  <c r="J16" i="19"/>
  <c r="J13" i="19"/>
  <c r="L138" i="19" l="1"/>
  <c r="L54" i="22"/>
  <c r="J28" i="19"/>
  <c r="L63" i="19" s="1"/>
  <c r="L62" i="21"/>
  <c r="J274" i="19"/>
  <c r="J273" i="19"/>
  <c r="L326" i="19" s="1"/>
  <c r="J214" i="19"/>
  <c r="L267" i="19" s="1"/>
  <c r="J215" i="19"/>
  <c r="M135" i="19" l="1"/>
  <c r="M136" i="19" s="1"/>
  <c r="M60" i="19"/>
  <c r="M61" i="19" s="1"/>
  <c r="M205" i="19"/>
  <c r="M206" i="19" s="1"/>
  <c r="M59" i="21"/>
  <c r="M60" i="21" s="1"/>
  <c r="J548" i="19"/>
  <c r="J477" i="19"/>
  <c r="L542" i="19" s="1"/>
  <c r="J547" i="19"/>
  <c r="J546" i="19"/>
  <c r="J550" i="19"/>
  <c r="M539" i="19" l="1"/>
  <c r="M540" i="19" s="1"/>
  <c r="M207" i="19"/>
  <c r="M208" i="19" s="1"/>
  <c r="M62" i="19"/>
  <c r="M63" i="19" s="1"/>
  <c r="M137" i="19"/>
  <c r="M138" i="19" s="1"/>
  <c r="M264" i="19"/>
  <c r="M265" i="19" s="1"/>
  <c r="M323" i="19"/>
  <c r="M61" i="21"/>
  <c r="M62" i="21" s="1"/>
  <c r="J545" i="19"/>
  <c r="J549" i="19"/>
  <c r="M541" i="19" l="1"/>
  <c r="M542" i="19" s="1"/>
  <c r="L614" i="19"/>
  <c r="M324" i="19"/>
  <c r="M325" i="19" s="1"/>
  <c r="M326" i="19" s="1"/>
  <c r="M266" i="19"/>
  <c r="M267" i="19" s="1"/>
  <c r="M611" i="19" l="1"/>
  <c r="M612" i="19" s="1"/>
  <c r="M613" i="19" s="1"/>
  <c r="H392" i="7"/>
  <c r="J392" i="7" s="1"/>
  <c r="H390" i="7"/>
  <c r="J390" i="7" s="1"/>
  <c r="H197" i="17"/>
  <c r="G196" i="17"/>
  <c r="G195" i="17"/>
  <c r="H1100" i="13"/>
  <c r="G1099" i="13"/>
  <c r="G1098" i="13"/>
  <c r="G1100" i="13" s="1"/>
  <c r="H426" i="7"/>
  <c r="G425" i="7"/>
  <c r="G424" i="7"/>
  <c r="G426" i="7" s="1"/>
  <c r="H64" i="1"/>
  <c r="G63" i="1"/>
  <c r="G62" i="1"/>
  <c r="J105" i="6"/>
  <c r="J96" i="6"/>
  <c r="J87" i="6"/>
  <c r="J78" i="6"/>
  <c r="J69" i="6"/>
  <c r="J60" i="6"/>
  <c r="J51" i="6"/>
  <c r="J42" i="6"/>
  <c r="J33" i="6"/>
  <c r="J24" i="6"/>
  <c r="M614" i="19" l="1"/>
  <c r="G64" i="1"/>
  <c r="G197" i="17"/>
  <c r="H26" i="5"/>
  <c r="J26" i="5" s="1"/>
  <c r="H421" i="7"/>
  <c r="H420" i="7"/>
  <c r="J420" i="7" s="1"/>
  <c r="H419" i="7"/>
  <c r="J419" i="7" s="1"/>
  <c r="H418" i="7"/>
  <c r="H417" i="7"/>
  <c r="J417" i="7" s="1"/>
  <c r="H416" i="7"/>
  <c r="H415" i="7"/>
  <c r="H414" i="7"/>
  <c r="J414" i="7" s="1"/>
  <c r="H413" i="7"/>
  <c r="J413" i="7" s="1"/>
  <c r="H412" i="7"/>
  <c r="J412" i="7" s="1"/>
  <c r="H411" i="7"/>
  <c r="J411" i="7" s="1"/>
  <c r="H410" i="7"/>
  <c r="J410" i="7" s="1"/>
  <c r="H409" i="7"/>
  <c r="H408" i="7"/>
  <c r="J408" i="7" s="1"/>
  <c r="H407" i="7"/>
  <c r="H406" i="7"/>
  <c r="H405" i="7"/>
  <c r="J405" i="7" s="1"/>
  <c r="H404" i="7"/>
  <c r="J404" i="7" s="1"/>
  <c r="H403" i="7"/>
  <c r="J403" i="7" s="1"/>
  <c r="H402" i="7"/>
  <c r="J402" i="7" s="1"/>
  <c r="H401" i="7"/>
  <c r="J401" i="7" s="1"/>
  <c r="H400" i="7"/>
  <c r="J400" i="7" s="1"/>
  <c r="H399" i="7"/>
  <c r="H398" i="7"/>
  <c r="J398" i="7" s="1"/>
  <c r="H397" i="7"/>
  <c r="H396" i="7"/>
  <c r="H395" i="7"/>
  <c r="J395" i="7" s="1"/>
  <c r="H394" i="7"/>
  <c r="J394" i="7" s="1"/>
  <c r="H393" i="7"/>
  <c r="J393" i="7" s="1"/>
  <c r="H391" i="7"/>
  <c r="H389" i="7"/>
  <c r="H388" i="7"/>
  <c r="H387" i="7"/>
  <c r="H386" i="7"/>
  <c r="H385" i="7"/>
  <c r="H384" i="7"/>
  <c r="H383" i="7"/>
  <c r="H382" i="7"/>
  <c r="H381" i="7"/>
  <c r="H380" i="7"/>
  <c r="H379" i="7"/>
  <c r="H378" i="7"/>
  <c r="H377" i="7"/>
  <c r="H376" i="7"/>
  <c r="H375" i="7"/>
  <c r="H374" i="7"/>
  <c r="H373" i="7"/>
  <c r="H372" i="7"/>
  <c r="H371" i="7"/>
  <c r="H370" i="7"/>
  <c r="H369" i="7"/>
  <c r="H368" i="7"/>
  <c r="H367" i="7"/>
  <c r="H366" i="7"/>
  <c r="H365" i="7"/>
  <c r="H364" i="7"/>
  <c r="H363" i="7"/>
  <c r="H362" i="7"/>
  <c r="H361" i="7"/>
  <c r="H360" i="7"/>
  <c r="H359" i="7"/>
  <c r="H358" i="7"/>
  <c r="H357" i="7"/>
  <c r="H356" i="7"/>
  <c r="H355" i="7"/>
  <c r="H354" i="7"/>
  <c r="H353" i="7"/>
  <c r="H352" i="7"/>
  <c r="H351" i="7"/>
  <c r="H350" i="7"/>
  <c r="H349" i="7"/>
  <c r="H348" i="7"/>
  <c r="H347" i="7"/>
  <c r="H346" i="7"/>
  <c r="H345" i="7"/>
  <c r="H344" i="7"/>
  <c r="H343" i="7"/>
  <c r="H342" i="7"/>
  <c r="H341" i="7"/>
  <c r="H340" i="7"/>
  <c r="H339" i="7"/>
  <c r="H338" i="7"/>
  <c r="H337" i="7"/>
  <c r="H336" i="7"/>
  <c r="H335" i="7"/>
  <c r="H334" i="7"/>
  <c r="H333" i="7"/>
  <c r="H332" i="7"/>
  <c r="H331" i="7"/>
  <c r="H330" i="7"/>
  <c r="H329" i="7"/>
  <c r="H328" i="7"/>
  <c r="H327" i="7"/>
  <c r="H326" i="7"/>
  <c r="H325" i="7"/>
  <c r="H324" i="7"/>
  <c r="H323" i="7"/>
  <c r="H322" i="7"/>
  <c r="H321" i="7"/>
  <c r="H320" i="7"/>
  <c r="H319" i="7"/>
  <c r="H318" i="7"/>
  <c r="H317" i="7"/>
  <c r="H316" i="7"/>
  <c r="H315" i="7"/>
  <c r="H314" i="7"/>
  <c r="H313" i="7"/>
  <c r="H312" i="7"/>
  <c r="H311" i="7"/>
  <c r="H310" i="7"/>
  <c r="H309" i="7"/>
  <c r="H308" i="7"/>
  <c r="H307" i="7"/>
  <c r="H306" i="7"/>
  <c r="H305" i="7"/>
  <c r="H304" i="7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283" i="7"/>
  <c r="H282" i="7"/>
  <c r="H281" i="7"/>
  <c r="H280" i="7"/>
  <c r="H279" i="7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0" i="7"/>
  <c r="H22" i="14"/>
  <c r="H144" i="17"/>
  <c r="J144" i="17" s="1"/>
  <c r="H141" i="17"/>
  <c r="J141" i="17" s="1"/>
  <c r="H140" i="17"/>
  <c r="H139" i="17"/>
  <c r="H135" i="17"/>
  <c r="J135" i="17" s="1"/>
  <c r="H134" i="17"/>
  <c r="J134" i="17" s="1"/>
  <c r="H133" i="17"/>
  <c r="J133" i="17" s="1"/>
  <c r="H132" i="17"/>
  <c r="J132" i="17" s="1"/>
  <c r="H131" i="17"/>
  <c r="J131" i="17" s="1"/>
  <c r="H130" i="17"/>
  <c r="J130" i="17" s="1"/>
  <c r="H129" i="17"/>
  <c r="J129" i="17" s="1"/>
  <c r="H128" i="17"/>
  <c r="J128" i="17" s="1"/>
  <c r="H127" i="17"/>
  <c r="J127" i="17" s="1"/>
  <c r="H126" i="17"/>
  <c r="J126" i="17" s="1"/>
  <c r="H125" i="17"/>
  <c r="J125" i="17" s="1"/>
  <c r="H124" i="17"/>
  <c r="J115" i="17"/>
  <c r="H114" i="17"/>
  <c r="J114" i="17" s="1"/>
  <c r="H113" i="17"/>
  <c r="J113" i="17" s="1"/>
  <c r="H112" i="17"/>
  <c r="J112" i="17" s="1"/>
  <c r="H111" i="17"/>
  <c r="J111" i="17" s="1"/>
  <c r="J110" i="17"/>
  <c r="H109" i="17"/>
  <c r="J109" i="17" s="1"/>
  <c r="H106" i="17"/>
  <c r="J106" i="17" s="1"/>
  <c r="J103" i="17"/>
  <c r="H102" i="17"/>
  <c r="J102" i="17" s="1"/>
  <c r="H101" i="17"/>
  <c r="J101" i="17" s="1"/>
  <c r="H100" i="17"/>
  <c r="H99" i="17"/>
  <c r="J99" i="17" s="1"/>
  <c r="H96" i="17"/>
  <c r="J96" i="17" s="1"/>
  <c r="H95" i="17"/>
  <c r="H94" i="17"/>
  <c r="H90" i="17"/>
  <c r="J90" i="17" s="1"/>
  <c r="J89" i="17"/>
  <c r="H88" i="17"/>
  <c r="J88" i="17" s="1"/>
  <c r="H87" i="17"/>
  <c r="J87" i="17" s="1"/>
  <c r="J86" i="17"/>
  <c r="J85" i="17"/>
  <c r="H84" i="17"/>
  <c r="J84" i="17" s="1"/>
  <c r="H83" i="17"/>
  <c r="J83" i="17" s="1"/>
  <c r="H82" i="17"/>
  <c r="J82" i="17" s="1"/>
  <c r="H81" i="17"/>
  <c r="J81" i="17" s="1"/>
  <c r="H80" i="17"/>
  <c r="J80" i="17" s="1"/>
  <c r="H79" i="17"/>
  <c r="J70" i="17"/>
  <c r="H69" i="17"/>
  <c r="J69" i="17" s="1"/>
  <c r="H68" i="17"/>
  <c r="J68" i="17" s="1"/>
  <c r="H67" i="17"/>
  <c r="J67" i="17" s="1"/>
  <c r="H66" i="17"/>
  <c r="J66" i="17" s="1"/>
  <c r="J65" i="17"/>
  <c r="H64" i="17"/>
  <c r="J64" i="17" s="1"/>
  <c r="H61" i="17"/>
  <c r="J61" i="17" s="1"/>
  <c r="J58" i="17"/>
  <c r="H57" i="17"/>
  <c r="J57" i="17" s="1"/>
  <c r="H56" i="17"/>
  <c r="J56" i="17" s="1"/>
  <c r="H55" i="17"/>
  <c r="H54" i="17"/>
  <c r="J54" i="17" s="1"/>
  <c r="H51" i="17"/>
  <c r="J51" i="17" s="1"/>
  <c r="H50" i="17"/>
  <c r="H49" i="17"/>
  <c r="H47" i="17"/>
  <c r="J47" i="17" s="1"/>
  <c r="H46" i="17"/>
  <c r="J46" i="17" s="1"/>
  <c r="H45" i="17"/>
  <c r="J45" i="17" s="1"/>
  <c r="J44" i="17"/>
  <c r="H43" i="17"/>
  <c r="H42" i="17"/>
  <c r="J42" i="17" s="1"/>
  <c r="J41" i="17"/>
  <c r="J40" i="17"/>
  <c r="H39" i="17"/>
  <c r="J39" i="17" s="1"/>
  <c r="H38" i="17"/>
  <c r="J38" i="17" s="1"/>
  <c r="H37" i="17"/>
  <c r="J37" i="17" s="1"/>
  <c r="H11" i="17"/>
  <c r="J11" i="17" s="1"/>
  <c r="H12" i="17"/>
  <c r="J12" i="17" s="1"/>
  <c r="H13" i="17"/>
  <c r="J13" i="17" s="1"/>
  <c r="H16" i="17"/>
  <c r="J16" i="17" s="1"/>
  <c r="H17" i="17"/>
  <c r="J17" i="17" s="1"/>
  <c r="H19" i="17"/>
  <c r="J19" i="17" s="1"/>
  <c r="J20" i="17"/>
  <c r="H21" i="17"/>
  <c r="J21" i="17" s="1"/>
  <c r="H22" i="17"/>
  <c r="J22" i="17" s="1"/>
  <c r="H23" i="17"/>
  <c r="J23" i="17" s="1"/>
  <c r="H24" i="17"/>
  <c r="J24" i="17" s="1"/>
  <c r="H25" i="17"/>
  <c r="J25" i="17" s="1"/>
  <c r="H28" i="17"/>
  <c r="H29" i="17"/>
  <c r="H34" i="17"/>
  <c r="H35" i="17"/>
  <c r="J35" i="17" s="1"/>
  <c r="H36" i="17"/>
  <c r="J36" i="17" s="1"/>
  <c r="H10" i="17"/>
  <c r="J10" i="17" s="1"/>
  <c r="H1061" i="13"/>
  <c r="H1062" i="13"/>
  <c r="H1063" i="13"/>
  <c r="H1064" i="13"/>
  <c r="H1065" i="13"/>
  <c r="H1066" i="13"/>
  <c r="H1067" i="13"/>
  <c r="H1069" i="13"/>
  <c r="H1011" i="13"/>
  <c r="H1012" i="13"/>
  <c r="H1013" i="13"/>
  <c r="H1014" i="13"/>
  <c r="H1015" i="13"/>
  <c r="H1016" i="13"/>
  <c r="H1017" i="13"/>
  <c r="H1019" i="13"/>
  <c r="H962" i="13"/>
  <c r="H963" i="13"/>
  <c r="H964" i="13"/>
  <c r="H965" i="13"/>
  <c r="H966" i="13"/>
  <c r="H967" i="13"/>
  <c r="H968" i="13"/>
  <c r="H970" i="13"/>
  <c r="H912" i="13"/>
  <c r="H913" i="13"/>
  <c r="H914" i="13"/>
  <c r="H915" i="13"/>
  <c r="H916" i="13"/>
  <c r="H917" i="13"/>
  <c r="H918" i="13"/>
  <c r="H920" i="13"/>
  <c r="H862" i="13"/>
  <c r="H863" i="13"/>
  <c r="H864" i="13"/>
  <c r="H865" i="13"/>
  <c r="H866" i="13"/>
  <c r="H867" i="13"/>
  <c r="H868" i="13"/>
  <c r="H870" i="13"/>
  <c r="H813" i="13"/>
  <c r="H814" i="13"/>
  <c r="H815" i="13"/>
  <c r="H816" i="13"/>
  <c r="H817" i="13"/>
  <c r="H818" i="13"/>
  <c r="H819" i="13"/>
  <c r="H821" i="13"/>
  <c r="H763" i="13"/>
  <c r="H764" i="13"/>
  <c r="H765" i="13"/>
  <c r="H766" i="13"/>
  <c r="H767" i="13"/>
  <c r="H768" i="13"/>
  <c r="H769" i="13"/>
  <c r="H771" i="13"/>
  <c r="H719" i="13"/>
  <c r="H721" i="13"/>
  <c r="H713" i="13"/>
  <c r="H714" i="13"/>
  <c r="H715" i="13"/>
  <c r="H664" i="13"/>
  <c r="H665" i="13"/>
  <c r="H613" i="13"/>
  <c r="H614" i="13"/>
  <c r="H615" i="13"/>
  <c r="H616" i="13"/>
  <c r="H617" i="13"/>
  <c r="H618" i="13"/>
  <c r="H619" i="13"/>
  <c r="H621" i="13"/>
  <c r="H561" i="13"/>
  <c r="H562" i="13"/>
  <c r="H563" i="13"/>
  <c r="H564" i="13"/>
  <c r="H565" i="13"/>
  <c r="H566" i="13"/>
  <c r="H567" i="13"/>
  <c r="H569" i="13"/>
  <c r="H510" i="13"/>
  <c r="H511" i="13"/>
  <c r="H512" i="13"/>
  <c r="H513" i="13"/>
  <c r="H514" i="13"/>
  <c r="H515" i="13"/>
  <c r="H516" i="13"/>
  <c r="H518" i="13"/>
  <c r="H458" i="13"/>
  <c r="H459" i="13"/>
  <c r="H460" i="13"/>
  <c r="H461" i="13"/>
  <c r="H462" i="13"/>
  <c r="H463" i="13"/>
  <c r="H464" i="13"/>
  <c r="H466" i="13"/>
  <c r="H406" i="13"/>
  <c r="H407" i="13"/>
  <c r="H408" i="13"/>
  <c r="H409" i="13"/>
  <c r="H410" i="13"/>
  <c r="H411" i="13"/>
  <c r="H412" i="13"/>
  <c r="H414" i="13"/>
  <c r="H355" i="13"/>
  <c r="H356" i="13"/>
  <c r="H357" i="13"/>
  <c r="H358" i="13"/>
  <c r="H359" i="13"/>
  <c r="H360" i="13"/>
  <c r="H361" i="13"/>
  <c r="H363" i="13"/>
  <c r="H303" i="13"/>
  <c r="H304" i="13"/>
  <c r="H305" i="13"/>
  <c r="H306" i="13"/>
  <c r="H307" i="13"/>
  <c r="H308" i="13"/>
  <c r="H309" i="13"/>
  <c r="H311" i="13"/>
  <c r="H251" i="13"/>
  <c r="H252" i="13"/>
  <c r="H253" i="13"/>
  <c r="H254" i="13"/>
  <c r="H255" i="13"/>
  <c r="H256" i="13"/>
  <c r="H257" i="13"/>
  <c r="H259" i="13"/>
  <c r="H200" i="13"/>
  <c r="H201" i="13"/>
  <c r="H202" i="13"/>
  <c r="H203" i="13"/>
  <c r="H204" i="13"/>
  <c r="H205" i="13"/>
  <c r="H206" i="13"/>
  <c r="H208" i="13"/>
  <c r="H148" i="13"/>
  <c r="H149" i="13"/>
  <c r="H154" i="13"/>
  <c r="H156" i="13"/>
  <c r="H102" i="13"/>
  <c r="J102" i="13" s="1"/>
  <c r="H104" i="13"/>
  <c r="H96" i="13"/>
  <c r="H97" i="13"/>
  <c r="H1050" i="13"/>
  <c r="H901" i="13"/>
  <c r="H752" i="13"/>
  <c r="H601" i="13"/>
  <c r="H446" i="13"/>
  <c r="H291" i="13"/>
  <c r="L412" i="7" l="1"/>
  <c r="L402" i="7"/>
  <c r="L421" i="7"/>
  <c r="J140" i="17"/>
  <c r="J139" i="17"/>
  <c r="J100" i="17"/>
  <c r="J95" i="17"/>
  <c r="J94" i="17"/>
  <c r="J55" i="17"/>
  <c r="L99" i="17" l="1"/>
  <c r="L144" i="17"/>
  <c r="J50" i="17"/>
  <c r="J49" i="17"/>
  <c r="L54" i="17" l="1"/>
  <c r="J7" i="17"/>
  <c r="J257" i="13"/>
  <c r="J309" i="13"/>
  <c r="J361" i="13"/>
  <c r="J412" i="13"/>
  <c r="J464" i="13"/>
  <c r="J516" i="13"/>
  <c r="J567" i="13"/>
  <c r="J619" i="13"/>
  <c r="J719" i="13"/>
  <c r="J769" i="13"/>
  <c r="J819" i="13"/>
  <c r="J868" i="13"/>
  <c r="J918" i="13"/>
  <c r="J968" i="13"/>
  <c r="J1017" i="13"/>
  <c r="J1067" i="13"/>
  <c r="J154" i="13"/>
  <c r="J206" i="13"/>
  <c r="H670" i="13"/>
  <c r="J670" i="13" s="1"/>
  <c r="H45" i="13"/>
  <c r="H46" i="13"/>
  <c r="H716" i="13"/>
  <c r="H667" i="13"/>
  <c r="H666" i="13"/>
  <c r="H151" i="13"/>
  <c r="H150" i="13"/>
  <c r="H99" i="13"/>
  <c r="H98" i="13"/>
  <c r="H1060" i="13"/>
  <c r="H1059" i="13"/>
  <c r="H1010" i="13"/>
  <c r="H1009" i="13"/>
  <c r="H961" i="13"/>
  <c r="H960" i="13"/>
  <c r="H911" i="13"/>
  <c r="H910" i="13"/>
  <c r="H861" i="13"/>
  <c r="H860" i="13"/>
  <c r="H812" i="13"/>
  <c r="H811" i="13"/>
  <c r="H762" i="13"/>
  <c r="H761" i="13"/>
  <c r="H712" i="13"/>
  <c r="H711" i="13"/>
  <c r="H663" i="13"/>
  <c r="H662" i="13"/>
  <c r="H612" i="13"/>
  <c r="H611" i="13"/>
  <c r="H560" i="13"/>
  <c r="H559" i="13"/>
  <c r="H509" i="13"/>
  <c r="H508" i="13"/>
  <c r="H457" i="13"/>
  <c r="H456" i="13"/>
  <c r="H405" i="13"/>
  <c r="H404" i="13"/>
  <c r="H354" i="13"/>
  <c r="H353" i="13"/>
  <c r="H302" i="13"/>
  <c r="H301" i="13"/>
  <c r="H250" i="13"/>
  <c r="H249" i="13"/>
  <c r="H199" i="13"/>
  <c r="H198" i="13"/>
  <c r="H147" i="13"/>
  <c r="H146" i="13"/>
  <c r="H95" i="13"/>
  <c r="H94" i="13"/>
  <c r="H1054" i="13"/>
  <c r="H1004" i="13"/>
  <c r="H955" i="13"/>
  <c r="H905" i="13"/>
  <c r="H855" i="13"/>
  <c r="H806" i="13"/>
  <c r="H756" i="13"/>
  <c r="H706" i="13"/>
  <c r="H657" i="13"/>
  <c r="H606" i="13"/>
  <c r="H554" i="13"/>
  <c r="H503" i="13"/>
  <c r="H451" i="13"/>
  <c r="H399" i="13"/>
  <c r="H348" i="13"/>
  <c r="H296" i="13"/>
  <c r="H244" i="13"/>
  <c r="H193" i="13"/>
  <c r="H141" i="13"/>
  <c r="H89" i="13"/>
  <c r="H1044" i="13"/>
  <c r="H995" i="13"/>
  <c r="H946" i="13"/>
  <c r="H895" i="13"/>
  <c r="H846" i="13"/>
  <c r="H797" i="13"/>
  <c r="H746" i="13"/>
  <c r="H697" i="13"/>
  <c r="H648" i="13"/>
  <c r="H595" i="13"/>
  <c r="H544" i="13"/>
  <c r="H493" i="13"/>
  <c r="H440" i="13"/>
  <c r="H389" i="13"/>
  <c r="H338" i="13"/>
  <c r="H285" i="13"/>
  <c r="H234" i="13"/>
  <c r="H183" i="13"/>
  <c r="H130" i="13"/>
  <c r="H79" i="13"/>
  <c r="H28" i="13"/>
  <c r="H29" i="13"/>
  <c r="H19" i="6" l="1"/>
  <c r="H20" i="6"/>
  <c r="H21" i="6"/>
  <c r="H22" i="6"/>
  <c r="H23" i="6"/>
  <c r="H25" i="6"/>
  <c r="H26" i="6"/>
  <c r="H27" i="6"/>
  <c r="H28" i="6"/>
  <c r="H29" i="6"/>
  <c r="H30" i="6"/>
  <c r="H31" i="6"/>
  <c r="H32" i="6"/>
  <c r="H34" i="6"/>
  <c r="H35" i="6"/>
  <c r="H36" i="6"/>
  <c r="H37" i="6"/>
  <c r="H38" i="6"/>
  <c r="H39" i="6"/>
  <c r="H40" i="6"/>
  <c r="H41" i="6"/>
  <c r="H43" i="6"/>
  <c r="H44" i="6"/>
  <c r="H45" i="6"/>
  <c r="H46" i="6"/>
  <c r="H47" i="6"/>
  <c r="H48" i="6"/>
  <c r="H49" i="6"/>
  <c r="H50" i="6"/>
  <c r="H52" i="6"/>
  <c r="H53" i="6"/>
  <c r="H54" i="6"/>
  <c r="H55" i="6"/>
  <c r="H56" i="6"/>
  <c r="H57" i="6"/>
  <c r="H58" i="6"/>
  <c r="H59" i="6"/>
  <c r="H61" i="6"/>
  <c r="H62" i="6"/>
  <c r="H63" i="6"/>
  <c r="H64" i="6"/>
  <c r="H65" i="6"/>
  <c r="H66" i="6"/>
  <c r="H67" i="6"/>
  <c r="H68" i="6"/>
  <c r="H70" i="6"/>
  <c r="H71" i="6"/>
  <c r="H72" i="6"/>
  <c r="H73" i="6"/>
  <c r="H74" i="6"/>
  <c r="H75" i="6"/>
  <c r="H76" i="6"/>
  <c r="H77" i="6"/>
  <c r="H79" i="6"/>
  <c r="H80" i="6"/>
  <c r="H81" i="6"/>
  <c r="H82" i="6"/>
  <c r="H83" i="6"/>
  <c r="H84" i="6"/>
  <c r="H85" i="6"/>
  <c r="H86" i="6"/>
  <c r="H88" i="6"/>
  <c r="H89" i="6"/>
  <c r="H90" i="6"/>
  <c r="H91" i="6"/>
  <c r="H92" i="6"/>
  <c r="H93" i="6"/>
  <c r="H94" i="6"/>
  <c r="H95" i="6"/>
  <c r="H97" i="6"/>
  <c r="H98" i="6"/>
  <c r="H99" i="6"/>
  <c r="H100" i="6"/>
  <c r="H101" i="6"/>
  <c r="H102" i="6"/>
  <c r="H103" i="6"/>
  <c r="H104" i="6"/>
  <c r="H106" i="6"/>
  <c r="H17" i="6"/>
  <c r="H18" i="5"/>
  <c r="H19" i="5"/>
  <c r="H20" i="5"/>
  <c r="H21" i="5"/>
  <c r="H22" i="5"/>
  <c r="H23" i="5"/>
  <c r="H24" i="5"/>
  <c r="H25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J40" i="5" s="1"/>
  <c r="H41" i="5"/>
  <c r="H42" i="5"/>
  <c r="H43" i="5"/>
  <c r="H44" i="5"/>
  <c r="H45" i="5"/>
  <c r="H46" i="5"/>
  <c r="H15" i="5"/>
  <c r="H16" i="5"/>
  <c r="H17" i="5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51" i="13" l="1"/>
  <c r="J51" i="13" s="1"/>
  <c r="J104" i="6" l="1"/>
  <c r="J95" i="6"/>
  <c r="J86" i="6"/>
  <c r="J77" i="6"/>
  <c r="J68" i="6"/>
  <c r="J59" i="6"/>
  <c r="J50" i="6"/>
  <c r="J41" i="6"/>
  <c r="J32" i="6"/>
  <c r="J23" i="6"/>
  <c r="J103" i="6" l="1"/>
  <c r="J94" i="6"/>
  <c r="J85" i="6"/>
  <c r="J76" i="6"/>
  <c r="J67" i="6"/>
  <c r="J58" i="6"/>
  <c r="J49" i="6"/>
  <c r="J40" i="6"/>
  <c r="J31" i="6"/>
  <c r="J22" i="6"/>
  <c r="J17" i="1"/>
  <c r="H1071" i="13" l="1"/>
  <c r="H1072" i="13"/>
  <c r="H1073" i="13"/>
  <c r="H1074" i="13"/>
  <c r="H1075" i="13"/>
  <c r="H1076" i="13"/>
  <c r="H1077" i="13"/>
  <c r="H1078" i="13"/>
  <c r="H1079" i="13"/>
  <c r="H1080" i="13"/>
  <c r="H1081" i="13"/>
  <c r="H1082" i="13"/>
  <c r="H1083" i="13"/>
  <c r="H1084" i="13"/>
  <c r="H1085" i="13"/>
  <c r="H1086" i="13"/>
  <c r="H1087" i="13"/>
  <c r="H1088" i="13"/>
  <c r="H1089" i="13"/>
  <c r="H1090" i="13"/>
  <c r="H1091" i="13"/>
  <c r="H1092" i="13"/>
  <c r="H1094" i="13"/>
  <c r="H1070" i="13"/>
  <c r="H1045" i="13"/>
  <c r="H1046" i="13"/>
  <c r="H1047" i="13"/>
  <c r="H1048" i="13"/>
  <c r="H1049" i="13"/>
  <c r="H1051" i="13"/>
  <c r="H1052" i="13"/>
  <c r="H1053" i="13"/>
  <c r="H1055" i="13"/>
  <c r="H1056" i="13"/>
  <c r="H1057" i="13"/>
  <c r="H1058" i="13"/>
  <c r="H1021" i="13"/>
  <c r="H1022" i="13"/>
  <c r="H1023" i="13"/>
  <c r="H1024" i="13"/>
  <c r="H1025" i="13"/>
  <c r="H1026" i="13"/>
  <c r="H1027" i="13"/>
  <c r="H1028" i="13"/>
  <c r="H1029" i="13"/>
  <c r="H1030" i="13"/>
  <c r="H1031" i="13"/>
  <c r="H1032" i="13"/>
  <c r="H1033" i="13"/>
  <c r="H1034" i="13"/>
  <c r="H1035" i="13"/>
  <c r="H1036" i="13"/>
  <c r="H1037" i="13"/>
  <c r="H1038" i="13"/>
  <c r="H1039" i="13"/>
  <c r="H1040" i="13"/>
  <c r="H1041" i="13"/>
  <c r="H1043" i="13"/>
  <c r="H1020" i="13"/>
  <c r="H996" i="13"/>
  <c r="H997" i="13"/>
  <c r="H998" i="13"/>
  <c r="H999" i="13"/>
  <c r="H1000" i="13"/>
  <c r="H1001" i="13"/>
  <c r="H1002" i="13"/>
  <c r="H1003" i="13"/>
  <c r="H1005" i="13"/>
  <c r="H1006" i="13"/>
  <c r="H1007" i="13"/>
  <c r="H1008" i="13"/>
  <c r="H972" i="13"/>
  <c r="H973" i="13"/>
  <c r="H974" i="13"/>
  <c r="H975" i="13"/>
  <c r="H976" i="13"/>
  <c r="H977" i="13"/>
  <c r="H978" i="13"/>
  <c r="H979" i="13"/>
  <c r="H980" i="13"/>
  <c r="H981" i="13"/>
  <c r="H982" i="13"/>
  <c r="H983" i="13"/>
  <c r="H984" i="13"/>
  <c r="H985" i="13"/>
  <c r="H986" i="13"/>
  <c r="H987" i="13"/>
  <c r="H988" i="13"/>
  <c r="H989" i="13"/>
  <c r="H990" i="13"/>
  <c r="H991" i="13"/>
  <c r="H992" i="13"/>
  <c r="H994" i="13"/>
  <c r="H971" i="13"/>
  <c r="H947" i="13"/>
  <c r="H948" i="13"/>
  <c r="H949" i="13"/>
  <c r="H950" i="13"/>
  <c r="H951" i="13"/>
  <c r="H952" i="13"/>
  <c r="H953" i="13"/>
  <c r="H954" i="13"/>
  <c r="H956" i="13"/>
  <c r="H957" i="13"/>
  <c r="H958" i="13"/>
  <c r="H959" i="13"/>
  <c r="H922" i="13"/>
  <c r="H923" i="13"/>
  <c r="H924" i="13"/>
  <c r="H925" i="13"/>
  <c r="H926" i="13"/>
  <c r="H927" i="13"/>
  <c r="H928" i="13"/>
  <c r="H929" i="13"/>
  <c r="H930" i="13"/>
  <c r="H931" i="13"/>
  <c r="H932" i="13"/>
  <c r="H933" i="13"/>
  <c r="H934" i="13"/>
  <c r="H935" i="13"/>
  <c r="H936" i="13"/>
  <c r="H937" i="13"/>
  <c r="H938" i="13"/>
  <c r="H939" i="13"/>
  <c r="H940" i="13"/>
  <c r="H941" i="13"/>
  <c r="H942" i="13"/>
  <c r="H943" i="13"/>
  <c r="H945" i="13"/>
  <c r="H921" i="13"/>
  <c r="H896" i="13"/>
  <c r="H897" i="13"/>
  <c r="H898" i="13"/>
  <c r="H899" i="13"/>
  <c r="H900" i="13"/>
  <c r="H902" i="13"/>
  <c r="H903" i="13"/>
  <c r="H904" i="13"/>
  <c r="H906" i="13"/>
  <c r="H907" i="13"/>
  <c r="H908" i="13"/>
  <c r="H909" i="13"/>
  <c r="H872" i="13"/>
  <c r="H873" i="13"/>
  <c r="H874" i="13"/>
  <c r="H875" i="13"/>
  <c r="H876" i="13"/>
  <c r="H877" i="13"/>
  <c r="H878" i="13"/>
  <c r="H879" i="13"/>
  <c r="H880" i="13"/>
  <c r="H881" i="13"/>
  <c r="H882" i="13"/>
  <c r="H883" i="13"/>
  <c r="H884" i="13"/>
  <c r="H885" i="13"/>
  <c r="H886" i="13"/>
  <c r="H887" i="13"/>
  <c r="H888" i="13"/>
  <c r="H889" i="13"/>
  <c r="H890" i="13"/>
  <c r="H891" i="13"/>
  <c r="H892" i="13"/>
  <c r="H894" i="13"/>
  <c r="H871" i="13"/>
  <c r="H847" i="13"/>
  <c r="H848" i="13"/>
  <c r="H849" i="13"/>
  <c r="H850" i="13"/>
  <c r="H851" i="13"/>
  <c r="H852" i="13"/>
  <c r="H853" i="13"/>
  <c r="H854" i="13"/>
  <c r="H856" i="13"/>
  <c r="H857" i="13"/>
  <c r="H858" i="13"/>
  <c r="H859" i="13"/>
  <c r="H823" i="13"/>
  <c r="H824" i="13"/>
  <c r="H825" i="13"/>
  <c r="H826" i="13"/>
  <c r="H827" i="13"/>
  <c r="H828" i="13"/>
  <c r="H829" i="13"/>
  <c r="H830" i="13"/>
  <c r="H831" i="13"/>
  <c r="H832" i="13"/>
  <c r="H833" i="13"/>
  <c r="H834" i="13"/>
  <c r="H835" i="13"/>
  <c r="H836" i="13"/>
  <c r="H837" i="13"/>
  <c r="H838" i="13"/>
  <c r="H839" i="13"/>
  <c r="H840" i="13"/>
  <c r="H841" i="13"/>
  <c r="H842" i="13"/>
  <c r="H843" i="13"/>
  <c r="H845" i="13"/>
  <c r="H822" i="13"/>
  <c r="H798" i="13"/>
  <c r="H799" i="13"/>
  <c r="H800" i="13"/>
  <c r="H801" i="13"/>
  <c r="H802" i="13"/>
  <c r="H803" i="13"/>
  <c r="H804" i="13"/>
  <c r="H805" i="13"/>
  <c r="H807" i="13"/>
  <c r="H808" i="13"/>
  <c r="H809" i="13"/>
  <c r="H810" i="13"/>
  <c r="H773" i="13"/>
  <c r="H774" i="13"/>
  <c r="H775" i="13"/>
  <c r="H776" i="13"/>
  <c r="H777" i="13"/>
  <c r="H778" i="13"/>
  <c r="H779" i="13"/>
  <c r="H780" i="13"/>
  <c r="H781" i="13"/>
  <c r="H782" i="13"/>
  <c r="H783" i="13"/>
  <c r="H784" i="13"/>
  <c r="H785" i="13"/>
  <c r="H786" i="13"/>
  <c r="H787" i="13"/>
  <c r="H788" i="13"/>
  <c r="H789" i="13"/>
  <c r="H790" i="13"/>
  <c r="H791" i="13"/>
  <c r="H792" i="13"/>
  <c r="H793" i="13"/>
  <c r="H794" i="13"/>
  <c r="H796" i="13"/>
  <c r="H772" i="13"/>
  <c r="H747" i="13"/>
  <c r="H748" i="13"/>
  <c r="H749" i="13"/>
  <c r="H750" i="13"/>
  <c r="H751" i="13"/>
  <c r="H753" i="13"/>
  <c r="H754" i="13"/>
  <c r="H755" i="13"/>
  <c r="H757" i="13"/>
  <c r="H758" i="13"/>
  <c r="H759" i="13"/>
  <c r="H760" i="13"/>
  <c r="H723" i="13"/>
  <c r="H724" i="13"/>
  <c r="H725" i="13"/>
  <c r="H726" i="13"/>
  <c r="H727" i="13"/>
  <c r="H728" i="13"/>
  <c r="H729" i="13"/>
  <c r="H730" i="13"/>
  <c r="H731" i="13"/>
  <c r="H732" i="13"/>
  <c r="H733" i="13"/>
  <c r="H734" i="13"/>
  <c r="H735" i="13"/>
  <c r="H736" i="13"/>
  <c r="H737" i="13"/>
  <c r="H738" i="13"/>
  <c r="H739" i="13"/>
  <c r="H740" i="13"/>
  <c r="H741" i="13"/>
  <c r="H742" i="13"/>
  <c r="H743" i="13"/>
  <c r="H745" i="13"/>
  <c r="H722" i="13"/>
  <c r="H698" i="13"/>
  <c r="H699" i="13"/>
  <c r="H700" i="13"/>
  <c r="H701" i="13"/>
  <c r="H702" i="13"/>
  <c r="H703" i="13"/>
  <c r="H704" i="13"/>
  <c r="H705" i="13"/>
  <c r="H707" i="13"/>
  <c r="H708" i="13"/>
  <c r="H709" i="13"/>
  <c r="H710" i="13"/>
  <c r="H717" i="13"/>
  <c r="H718" i="13"/>
  <c r="H696" i="13"/>
  <c r="H674" i="13"/>
  <c r="H675" i="13"/>
  <c r="H676" i="13"/>
  <c r="H677" i="13"/>
  <c r="H678" i="13"/>
  <c r="H679" i="13"/>
  <c r="H680" i="13"/>
  <c r="H681" i="13"/>
  <c r="H682" i="13"/>
  <c r="H683" i="13"/>
  <c r="H684" i="13"/>
  <c r="H685" i="13"/>
  <c r="H686" i="13"/>
  <c r="H687" i="13"/>
  <c r="H688" i="13"/>
  <c r="H689" i="13"/>
  <c r="H690" i="13"/>
  <c r="H691" i="13"/>
  <c r="H692" i="13"/>
  <c r="H693" i="13"/>
  <c r="H694" i="13"/>
  <c r="H673" i="13"/>
  <c r="H649" i="13"/>
  <c r="H650" i="13"/>
  <c r="H651" i="13"/>
  <c r="H652" i="13"/>
  <c r="H653" i="13"/>
  <c r="H654" i="13"/>
  <c r="H655" i="13"/>
  <c r="H656" i="13"/>
  <c r="H658" i="13"/>
  <c r="H659" i="13"/>
  <c r="H660" i="13"/>
  <c r="H661" i="13"/>
  <c r="H668" i="13"/>
  <c r="H669" i="13"/>
  <c r="H672" i="13"/>
  <c r="H623" i="13"/>
  <c r="H624" i="13"/>
  <c r="H625" i="13"/>
  <c r="H626" i="13"/>
  <c r="H627" i="13"/>
  <c r="H628" i="13"/>
  <c r="H629" i="13"/>
  <c r="H630" i="13"/>
  <c r="H631" i="13"/>
  <c r="H632" i="13"/>
  <c r="H633" i="13"/>
  <c r="H634" i="13"/>
  <c r="H635" i="13"/>
  <c r="H636" i="13"/>
  <c r="H637" i="13"/>
  <c r="H638" i="13"/>
  <c r="H639" i="13"/>
  <c r="H640" i="13"/>
  <c r="H641" i="13"/>
  <c r="H642" i="13"/>
  <c r="H643" i="13"/>
  <c r="H644" i="13"/>
  <c r="H645" i="13"/>
  <c r="H647" i="13"/>
  <c r="H622" i="13"/>
  <c r="H596" i="13"/>
  <c r="H597" i="13"/>
  <c r="H598" i="13"/>
  <c r="H599" i="13"/>
  <c r="H600" i="13"/>
  <c r="H602" i="13"/>
  <c r="H603" i="13"/>
  <c r="H604" i="13"/>
  <c r="H605" i="13"/>
  <c r="H607" i="13"/>
  <c r="H608" i="13"/>
  <c r="H609" i="13"/>
  <c r="H610" i="13"/>
  <c r="H571" i="13"/>
  <c r="H572" i="13"/>
  <c r="H573" i="13"/>
  <c r="H574" i="13"/>
  <c r="H575" i="13"/>
  <c r="H576" i="13"/>
  <c r="H577" i="13"/>
  <c r="H578" i="13"/>
  <c r="H579" i="13"/>
  <c r="H580" i="13"/>
  <c r="H581" i="13"/>
  <c r="H582" i="13"/>
  <c r="H583" i="13"/>
  <c r="H584" i="13"/>
  <c r="H585" i="13"/>
  <c r="H586" i="13"/>
  <c r="H587" i="13"/>
  <c r="H588" i="13"/>
  <c r="H589" i="13"/>
  <c r="H590" i="13"/>
  <c r="H591" i="13"/>
  <c r="H592" i="13"/>
  <c r="H594" i="13"/>
  <c r="H570" i="13"/>
  <c r="J1094" i="13" l="1"/>
  <c r="J1092" i="13"/>
  <c r="J1091" i="13"/>
  <c r="J1090" i="13"/>
  <c r="J1089" i="13"/>
  <c r="J1088" i="13"/>
  <c r="J1087" i="13"/>
  <c r="J1086" i="13"/>
  <c r="J1085" i="13"/>
  <c r="J1084" i="13"/>
  <c r="J1083" i="13"/>
  <c r="J1082" i="13"/>
  <c r="J1081" i="13"/>
  <c r="J1080" i="13"/>
  <c r="J1079" i="13"/>
  <c r="J1078" i="13"/>
  <c r="J1077" i="13"/>
  <c r="J1076" i="13"/>
  <c r="J1075" i="13"/>
  <c r="J1074" i="13"/>
  <c r="J1073" i="13"/>
  <c r="J1072" i="13"/>
  <c r="J1071" i="13"/>
  <c r="J1070" i="13"/>
  <c r="J1069" i="13"/>
  <c r="J1066" i="13"/>
  <c r="J1065" i="13"/>
  <c r="J1064" i="13"/>
  <c r="J1063" i="13"/>
  <c r="J1062" i="13"/>
  <c r="J1061" i="13"/>
  <c r="J1060" i="13"/>
  <c r="J1059" i="13"/>
  <c r="J1058" i="13"/>
  <c r="J1057" i="13"/>
  <c r="J1056" i="13"/>
  <c r="J1055" i="13"/>
  <c r="J1054" i="13"/>
  <c r="J1053" i="13"/>
  <c r="J1052" i="13"/>
  <c r="J1051" i="13"/>
  <c r="J1050" i="13"/>
  <c r="J1046" i="13"/>
  <c r="J1045" i="13"/>
  <c r="J1044" i="13"/>
  <c r="J1043" i="13"/>
  <c r="J1041" i="13"/>
  <c r="J1040" i="13"/>
  <c r="J1039" i="13"/>
  <c r="J1038" i="13"/>
  <c r="J1037" i="13"/>
  <c r="J1036" i="13"/>
  <c r="J1035" i="13"/>
  <c r="J1034" i="13"/>
  <c r="J1033" i="13"/>
  <c r="J1032" i="13"/>
  <c r="J1031" i="13"/>
  <c r="J1030" i="13"/>
  <c r="J1029" i="13"/>
  <c r="J1028" i="13"/>
  <c r="J1027" i="13"/>
  <c r="J1026" i="13"/>
  <c r="J1025" i="13"/>
  <c r="J1024" i="13"/>
  <c r="J1023" i="13"/>
  <c r="J1022" i="13"/>
  <c r="J1021" i="13"/>
  <c r="J1020" i="13"/>
  <c r="J1019" i="13"/>
  <c r="J1016" i="13"/>
  <c r="J1015" i="13"/>
  <c r="J1014" i="13"/>
  <c r="J1013" i="13"/>
  <c r="J1012" i="13"/>
  <c r="J1011" i="13"/>
  <c r="J1010" i="13"/>
  <c r="J1009" i="13"/>
  <c r="J1008" i="13"/>
  <c r="J1007" i="13"/>
  <c r="J1006" i="13"/>
  <c r="J1005" i="13"/>
  <c r="J1004" i="13"/>
  <c r="J1003" i="13"/>
  <c r="J1002" i="13"/>
  <c r="J1001" i="13"/>
  <c r="J997" i="13"/>
  <c r="J996" i="13"/>
  <c r="J995" i="13"/>
  <c r="J994" i="13"/>
  <c r="J992" i="13"/>
  <c r="J991" i="13"/>
  <c r="J990" i="13"/>
  <c r="J989" i="13"/>
  <c r="J988" i="13"/>
  <c r="J987" i="13"/>
  <c r="J986" i="13"/>
  <c r="J985" i="13"/>
  <c r="J984" i="13"/>
  <c r="J983" i="13"/>
  <c r="J982" i="13"/>
  <c r="J981" i="13"/>
  <c r="J980" i="13"/>
  <c r="J979" i="13"/>
  <c r="J978" i="13"/>
  <c r="J977" i="13"/>
  <c r="J976" i="13"/>
  <c r="J975" i="13"/>
  <c r="J974" i="13"/>
  <c r="J973" i="13"/>
  <c r="J972" i="13"/>
  <c r="J971" i="13"/>
  <c r="J970" i="13"/>
  <c r="J967" i="13"/>
  <c r="J966" i="13"/>
  <c r="J965" i="13"/>
  <c r="J964" i="13"/>
  <c r="J963" i="13"/>
  <c r="J962" i="13"/>
  <c r="J961" i="13"/>
  <c r="J960" i="13"/>
  <c r="J959" i="13"/>
  <c r="J958" i="13"/>
  <c r="J957" i="13"/>
  <c r="J956" i="13"/>
  <c r="J955" i="13"/>
  <c r="J954" i="13"/>
  <c r="J953" i="13"/>
  <c r="J952" i="13"/>
  <c r="J948" i="13"/>
  <c r="J947" i="13"/>
  <c r="J946" i="13"/>
  <c r="J945" i="13"/>
  <c r="J943" i="13"/>
  <c r="J942" i="13"/>
  <c r="J941" i="13"/>
  <c r="J940" i="13"/>
  <c r="J939" i="13"/>
  <c r="J938" i="13"/>
  <c r="J937" i="13"/>
  <c r="J936" i="13"/>
  <c r="J935" i="13"/>
  <c r="J934" i="13"/>
  <c r="J933" i="13"/>
  <c r="J932" i="13"/>
  <c r="J931" i="13"/>
  <c r="J930" i="13"/>
  <c r="J929" i="13"/>
  <c r="J928" i="13"/>
  <c r="J927" i="13"/>
  <c r="J926" i="13"/>
  <c r="J925" i="13"/>
  <c r="J924" i="13"/>
  <c r="J923" i="13"/>
  <c r="J922" i="13"/>
  <c r="J921" i="13"/>
  <c r="J920" i="13"/>
  <c r="J917" i="13"/>
  <c r="J916" i="13"/>
  <c r="J915" i="13"/>
  <c r="J914" i="13"/>
  <c r="J913" i="13"/>
  <c r="J912" i="13"/>
  <c r="J911" i="13"/>
  <c r="J910" i="13"/>
  <c r="J909" i="13"/>
  <c r="J908" i="13"/>
  <c r="J907" i="13"/>
  <c r="J906" i="13"/>
  <c r="J905" i="13"/>
  <c r="J904" i="13"/>
  <c r="J903" i="13"/>
  <c r="J902" i="13"/>
  <c r="J901" i="13"/>
  <c r="J897" i="13"/>
  <c r="J896" i="13"/>
  <c r="J895" i="13"/>
  <c r="J894" i="13"/>
  <c r="J892" i="13"/>
  <c r="J891" i="13"/>
  <c r="J890" i="13"/>
  <c r="J889" i="13"/>
  <c r="J888" i="13"/>
  <c r="J887" i="13"/>
  <c r="J886" i="13"/>
  <c r="J885" i="13"/>
  <c r="J884" i="13"/>
  <c r="J883" i="13"/>
  <c r="J882" i="13"/>
  <c r="J881" i="13"/>
  <c r="J880" i="13"/>
  <c r="J879" i="13"/>
  <c r="J878" i="13"/>
  <c r="J877" i="13"/>
  <c r="J876" i="13"/>
  <c r="J875" i="13"/>
  <c r="J874" i="13"/>
  <c r="J873" i="13"/>
  <c r="J872" i="13"/>
  <c r="J871" i="13"/>
  <c r="J870" i="13"/>
  <c r="J867" i="13"/>
  <c r="J866" i="13"/>
  <c r="J865" i="13"/>
  <c r="J864" i="13"/>
  <c r="J863" i="13"/>
  <c r="J862" i="13"/>
  <c r="J861" i="13"/>
  <c r="J860" i="13"/>
  <c r="J859" i="13"/>
  <c r="J858" i="13"/>
  <c r="J857" i="13"/>
  <c r="J856" i="13"/>
  <c r="J855" i="13"/>
  <c r="J854" i="13"/>
  <c r="J853" i="13"/>
  <c r="J852" i="13"/>
  <c r="J848" i="13"/>
  <c r="J847" i="13"/>
  <c r="J846" i="13"/>
  <c r="J845" i="13"/>
  <c r="J843" i="13"/>
  <c r="J842" i="13"/>
  <c r="J841" i="13"/>
  <c r="J840" i="13"/>
  <c r="J839" i="13"/>
  <c r="J838" i="13"/>
  <c r="J837" i="13"/>
  <c r="J836" i="13"/>
  <c r="J835" i="13"/>
  <c r="J834" i="13"/>
  <c r="J833" i="13"/>
  <c r="J832" i="13"/>
  <c r="J831" i="13"/>
  <c r="J830" i="13"/>
  <c r="J829" i="13"/>
  <c r="J828" i="13"/>
  <c r="J827" i="13"/>
  <c r="J826" i="13"/>
  <c r="J825" i="13"/>
  <c r="J824" i="13"/>
  <c r="J823" i="13"/>
  <c r="J822" i="13"/>
  <c r="J821" i="13"/>
  <c r="J818" i="13"/>
  <c r="J817" i="13"/>
  <c r="J816" i="13"/>
  <c r="J815" i="13"/>
  <c r="J814" i="13"/>
  <c r="J813" i="13"/>
  <c r="J812" i="13"/>
  <c r="J811" i="13"/>
  <c r="J810" i="13"/>
  <c r="J809" i="13"/>
  <c r="J808" i="13"/>
  <c r="J807" i="13"/>
  <c r="J806" i="13"/>
  <c r="J805" i="13"/>
  <c r="J804" i="13"/>
  <c r="J803" i="13"/>
  <c r="J799" i="13"/>
  <c r="J798" i="13"/>
  <c r="J797" i="13"/>
  <c r="J796" i="13"/>
  <c r="J794" i="13"/>
  <c r="J793" i="13"/>
  <c r="J792" i="13"/>
  <c r="J791" i="13"/>
  <c r="J790" i="13"/>
  <c r="J789" i="13"/>
  <c r="J788" i="13"/>
  <c r="J787" i="13"/>
  <c r="J786" i="13"/>
  <c r="J785" i="13"/>
  <c r="J784" i="13"/>
  <c r="J783" i="13"/>
  <c r="J782" i="13"/>
  <c r="J781" i="13"/>
  <c r="J780" i="13"/>
  <c r="J779" i="13"/>
  <c r="J778" i="13"/>
  <c r="J777" i="13"/>
  <c r="J776" i="13"/>
  <c r="J775" i="13"/>
  <c r="J774" i="13"/>
  <c r="J773" i="13"/>
  <c r="J772" i="13"/>
  <c r="J771" i="13"/>
  <c r="J768" i="13"/>
  <c r="J767" i="13"/>
  <c r="J766" i="13"/>
  <c r="J765" i="13"/>
  <c r="J764" i="13"/>
  <c r="J763" i="13"/>
  <c r="J762" i="13"/>
  <c r="J761" i="13"/>
  <c r="J760" i="13"/>
  <c r="J759" i="13"/>
  <c r="J758" i="13"/>
  <c r="J757" i="13"/>
  <c r="J756" i="13"/>
  <c r="J755" i="13"/>
  <c r="J754" i="13"/>
  <c r="J753" i="13"/>
  <c r="J752" i="13"/>
  <c r="J748" i="13"/>
  <c r="J747" i="13"/>
  <c r="J746" i="13"/>
  <c r="J745" i="13"/>
  <c r="J743" i="13"/>
  <c r="J742" i="13"/>
  <c r="J741" i="13"/>
  <c r="J740" i="13"/>
  <c r="J739" i="13"/>
  <c r="J738" i="13"/>
  <c r="J737" i="13"/>
  <c r="J736" i="13"/>
  <c r="J735" i="13"/>
  <c r="J734" i="13"/>
  <c r="J733" i="13"/>
  <c r="J732" i="13"/>
  <c r="J731" i="13"/>
  <c r="J730" i="13"/>
  <c r="J729" i="13"/>
  <c r="J728" i="13"/>
  <c r="J727" i="13"/>
  <c r="J726" i="13"/>
  <c r="J725" i="13"/>
  <c r="J724" i="13"/>
  <c r="J723" i="13"/>
  <c r="J722" i="13"/>
  <c r="J721" i="13"/>
  <c r="J718" i="13"/>
  <c r="J717" i="13"/>
  <c r="J716" i="13"/>
  <c r="J715" i="13"/>
  <c r="J714" i="13"/>
  <c r="J713" i="13"/>
  <c r="J712" i="13"/>
  <c r="J711" i="13"/>
  <c r="J710" i="13"/>
  <c r="J709" i="13"/>
  <c r="J708" i="13"/>
  <c r="J707" i="13"/>
  <c r="J706" i="13"/>
  <c r="J705" i="13"/>
  <c r="J704" i="13"/>
  <c r="J703" i="13"/>
  <c r="J699" i="13"/>
  <c r="J698" i="13"/>
  <c r="J697" i="13"/>
  <c r="J696" i="13"/>
  <c r="J694" i="13"/>
  <c r="J693" i="13"/>
  <c r="J692" i="13"/>
  <c r="J691" i="13"/>
  <c r="J690" i="13"/>
  <c r="J689" i="13"/>
  <c r="J688" i="13"/>
  <c r="J687" i="13"/>
  <c r="J686" i="13"/>
  <c r="J685" i="13"/>
  <c r="J684" i="13"/>
  <c r="J683" i="13"/>
  <c r="J682" i="13"/>
  <c r="J681" i="13"/>
  <c r="J680" i="13"/>
  <c r="J679" i="13"/>
  <c r="J678" i="13"/>
  <c r="J677" i="13"/>
  <c r="J676" i="13"/>
  <c r="J675" i="13"/>
  <c r="J674" i="13"/>
  <c r="J673" i="13"/>
  <c r="L821" i="13" l="1"/>
  <c r="L1069" i="13"/>
  <c r="L771" i="13"/>
  <c r="L920" i="13"/>
  <c r="L1019" i="13"/>
  <c r="L721" i="13"/>
  <c r="L870" i="13"/>
  <c r="L970" i="13"/>
  <c r="J672" i="13"/>
  <c r="J669" i="13"/>
  <c r="J668" i="13"/>
  <c r="J667" i="13"/>
  <c r="J666" i="13"/>
  <c r="J665" i="13"/>
  <c r="J664" i="13"/>
  <c r="J663" i="13"/>
  <c r="J662" i="13"/>
  <c r="J661" i="13"/>
  <c r="J660" i="13"/>
  <c r="J659" i="13"/>
  <c r="J658" i="13"/>
  <c r="J657" i="13"/>
  <c r="J656" i="13"/>
  <c r="J655" i="13"/>
  <c r="J654" i="13"/>
  <c r="J650" i="13"/>
  <c r="J649" i="13"/>
  <c r="J648" i="13"/>
  <c r="N916" i="13" l="1"/>
  <c r="N917" i="13" s="1"/>
  <c r="N918" i="13" s="1"/>
  <c r="N767" i="13"/>
  <c r="N768" i="13" s="1"/>
  <c r="N769" i="13" s="1"/>
  <c r="N771" i="13" s="1"/>
  <c r="N1065" i="13"/>
  <c r="N1066" i="13" s="1"/>
  <c r="N1067" i="13" s="1"/>
  <c r="N1069" i="13" s="1"/>
  <c r="J623" i="13"/>
  <c r="J624" i="13"/>
  <c r="J625" i="13"/>
  <c r="J626" i="13"/>
  <c r="J627" i="13"/>
  <c r="J628" i="13"/>
  <c r="J629" i="13"/>
  <c r="J630" i="13"/>
  <c r="J631" i="13"/>
  <c r="J632" i="13"/>
  <c r="J633" i="13"/>
  <c r="J634" i="13"/>
  <c r="J635" i="13"/>
  <c r="J636" i="13"/>
  <c r="J637" i="13"/>
  <c r="J638" i="13"/>
  <c r="J639" i="13"/>
  <c r="J640" i="13"/>
  <c r="J641" i="13"/>
  <c r="J642" i="13"/>
  <c r="J643" i="13"/>
  <c r="J644" i="13"/>
  <c r="J645" i="13"/>
  <c r="J647" i="13"/>
  <c r="L672" i="13" s="1"/>
  <c r="J596" i="13"/>
  <c r="J597" i="13"/>
  <c r="J600" i="13"/>
  <c r="J601" i="13"/>
  <c r="J602" i="13"/>
  <c r="J603" i="13"/>
  <c r="J604" i="13"/>
  <c r="J605" i="13"/>
  <c r="J606" i="13"/>
  <c r="J607" i="13"/>
  <c r="J608" i="13"/>
  <c r="J609" i="13"/>
  <c r="J610" i="13"/>
  <c r="J611" i="13"/>
  <c r="J612" i="13"/>
  <c r="J613" i="13"/>
  <c r="J614" i="13"/>
  <c r="J615" i="13"/>
  <c r="J616" i="13"/>
  <c r="J617" i="13"/>
  <c r="J618" i="13"/>
  <c r="J621" i="13"/>
  <c r="J595" i="13"/>
  <c r="J571" i="13"/>
  <c r="J572" i="13"/>
  <c r="J574" i="13"/>
  <c r="J575" i="13"/>
  <c r="J576" i="13"/>
  <c r="J577" i="13"/>
  <c r="J578" i="13"/>
  <c r="J579" i="13"/>
  <c r="J580" i="13"/>
  <c r="J581" i="13"/>
  <c r="J582" i="13"/>
  <c r="J583" i="13"/>
  <c r="J584" i="13"/>
  <c r="J585" i="13"/>
  <c r="J586" i="13"/>
  <c r="J587" i="13"/>
  <c r="J588" i="13"/>
  <c r="J589" i="13"/>
  <c r="J590" i="13"/>
  <c r="J591" i="13"/>
  <c r="J592" i="13"/>
  <c r="J594" i="13"/>
  <c r="J570" i="13"/>
  <c r="H545" i="13"/>
  <c r="J545" i="13" s="1"/>
  <c r="H546" i="13"/>
  <c r="J546" i="13" s="1"/>
  <c r="H547" i="13"/>
  <c r="H548" i="13"/>
  <c r="H549" i="13"/>
  <c r="J549" i="13" s="1"/>
  <c r="H550" i="13"/>
  <c r="J550" i="13" s="1"/>
  <c r="H551" i="13"/>
  <c r="J551" i="13" s="1"/>
  <c r="H552" i="13"/>
  <c r="J552" i="13" s="1"/>
  <c r="H553" i="13"/>
  <c r="J553" i="13" s="1"/>
  <c r="J554" i="13"/>
  <c r="H555" i="13"/>
  <c r="J555" i="13" s="1"/>
  <c r="H556" i="13"/>
  <c r="J556" i="13" s="1"/>
  <c r="H557" i="13"/>
  <c r="J557" i="13" s="1"/>
  <c r="H558" i="13"/>
  <c r="J558" i="13" s="1"/>
  <c r="J559" i="13"/>
  <c r="J560" i="13"/>
  <c r="J561" i="13"/>
  <c r="J562" i="13"/>
  <c r="J563" i="13"/>
  <c r="J564" i="13"/>
  <c r="J565" i="13"/>
  <c r="J566" i="13"/>
  <c r="J569" i="13"/>
  <c r="J544" i="13"/>
  <c r="H520" i="13"/>
  <c r="J520" i="13" s="1"/>
  <c r="H521" i="13"/>
  <c r="J521" i="13" s="1"/>
  <c r="H522" i="13"/>
  <c r="J522" i="13" s="1"/>
  <c r="H523" i="13"/>
  <c r="J523" i="13" s="1"/>
  <c r="H524" i="13"/>
  <c r="J524" i="13" s="1"/>
  <c r="H525" i="13"/>
  <c r="J525" i="13" s="1"/>
  <c r="H526" i="13"/>
  <c r="J526" i="13" s="1"/>
  <c r="H527" i="13"/>
  <c r="J527" i="13" s="1"/>
  <c r="H528" i="13"/>
  <c r="J528" i="13" s="1"/>
  <c r="H529" i="13"/>
  <c r="J529" i="13" s="1"/>
  <c r="H530" i="13"/>
  <c r="J530" i="13" s="1"/>
  <c r="H531" i="13"/>
  <c r="J531" i="13" s="1"/>
  <c r="H532" i="13"/>
  <c r="J532" i="13" s="1"/>
  <c r="H533" i="13"/>
  <c r="J533" i="13" s="1"/>
  <c r="H534" i="13"/>
  <c r="J534" i="13" s="1"/>
  <c r="H535" i="13"/>
  <c r="J535" i="13" s="1"/>
  <c r="H536" i="13"/>
  <c r="J536" i="13" s="1"/>
  <c r="H537" i="13"/>
  <c r="J537" i="13" s="1"/>
  <c r="H538" i="13"/>
  <c r="J538" i="13" s="1"/>
  <c r="H539" i="13"/>
  <c r="J539" i="13" s="1"/>
  <c r="H540" i="13"/>
  <c r="J540" i="13" s="1"/>
  <c r="H541" i="13"/>
  <c r="J541" i="13" s="1"/>
  <c r="H543" i="13"/>
  <c r="J543" i="13" s="1"/>
  <c r="H519" i="13"/>
  <c r="J519" i="13" s="1"/>
  <c r="H494" i="13"/>
  <c r="J494" i="13" s="1"/>
  <c r="H495" i="13"/>
  <c r="J495" i="13" s="1"/>
  <c r="H496" i="13"/>
  <c r="H497" i="13"/>
  <c r="H498" i="13"/>
  <c r="J498" i="13" s="1"/>
  <c r="H499" i="13"/>
  <c r="J499" i="13" s="1"/>
  <c r="H500" i="13"/>
  <c r="J500" i="13" s="1"/>
  <c r="H501" i="13"/>
  <c r="J501" i="13" s="1"/>
  <c r="H502" i="13"/>
  <c r="J502" i="13" s="1"/>
  <c r="J503" i="13"/>
  <c r="H504" i="13"/>
  <c r="J504" i="13" s="1"/>
  <c r="H505" i="13"/>
  <c r="J505" i="13" s="1"/>
  <c r="H506" i="13"/>
  <c r="J506" i="13" s="1"/>
  <c r="H507" i="13"/>
  <c r="J507" i="13" s="1"/>
  <c r="J508" i="13"/>
  <c r="J509" i="13"/>
  <c r="J510" i="13"/>
  <c r="J511" i="13"/>
  <c r="J512" i="13"/>
  <c r="J513" i="13"/>
  <c r="J514" i="13"/>
  <c r="J515" i="13"/>
  <c r="J518" i="13"/>
  <c r="J493" i="13"/>
  <c r="H468" i="13"/>
  <c r="J468" i="13" s="1"/>
  <c r="H469" i="13"/>
  <c r="J469" i="13" s="1"/>
  <c r="H470" i="13"/>
  <c r="J470" i="13" s="1"/>
  <c r="H471" i="13"/>
  <c r="J471" i="13" s="1"/>
  <c r="H472" i="13"/>
  <c r="J472" i="13" s="1"/>
  <c r="H473" i="13"/>
  <c r="J473" i="13" s="1"/>
  <c r="H474" i="13"/>
  <c r="J474" i="13" s="1"/>
  <c r="H475" i="13"/>
  <c r="J475" i="13" s="1"/>
  <c r="H476" i="13"/>
  <c r="J476" i="13" s="1"/>
  <c r="H477" i="13"/>
  <c r="J477" i="13" s="1"/>
  <c r="H478" i="13"/>
  <c r="J478" i="13" s="1"/>
  <c r="H479" i="13"/>
  <c r="J479" i="13" s="1"/>
  <c r="H480" i="13"/>
  <c r="J480" i="13" s="1"/>
  <c r="H481" i="13"/>
  <c r="J481" i="13" s="1"/>
  <c r="H482" i="13"/>
  <c r="J482" i="13" s="1"/>
  <c r="H483" i="13"/>
  <c r="J483" i="13" s="1"/>
  <c r="H484" i="13"/>
  <c r="J484" i="13" s="1"/>
  <c r="H485" i="13"/>
  <c r="J485" i="13" s="1"/>
  <c r="H486" i="13"/>
  <c r="J486" i="13" s="1"/>
  <c r="H487" i="13"/>
  <c r="J487" i="13" s="1"/>
  <c r="H488" i="13"/>
  <c r="J488" i="13" s="1"/>
  <c r="H489" i="13"/>
  <c r="J489" i="13" s="1"/>
  <c r="H490" i="13"/>
  <c r="J490" i="13" s="1"/>
  <c r="H492" i="13"/>
  <c r="J492" i="13" s="1"/>
  <c r="H467" i="13"/>
  <c r="J467" i="13" s="1"/>
  <c r="H441" i="13"/>
  <c r="J441" i="13" s="1"/>
  <c r="H442" i="13"/>
  <c r="J442" i="13" s="1"/>
  <c r="H443" i="13"/>
  <c r="H444" i="13"/>
  <c r="H445" i="13"/>
  <c r="J445" i="13" s="1"/>
  <c r="J446" i="13"/>
  <c r="H447" i="13"/>
  <c r="J447" i="13" s="1"/>
  <c r="H448" i="13"/>
  <c r="J448" i="13" s="1"/>
  <c r="H449" i="13"/>
  <c r="J449" i="13" s="1"/>
  <c r="H450" i="13"/>
  <c r="J450" i="13" s="1"/>
  <c r="J451" i="13"/>
  <c r="H452" i="13"/>
  <c r="J452" i="13" s="1"/>
  <c r="H453" i="13"/>
  <c r="J453" i="13" s="1"/>
  <c r="H454" i="13"/>
  <c r="J454" i="13" s="1"/>
  <c r="H455" i="13"/>
  <c r="J455" i="13" s="1"/>
  <c r="J456" i="13"/>
  <c r="J457" i="13"/>
  <c r="J458" i="13"/>
  <c r="J459" i="13"/>
  <c r="J460" i="13"/>
  <c r="J461" i="13"/>
  <c r="J462" i="13"/>
  <c r="J463" i="13"/>
  <c r="J466" i="13"/>
  <c r="J440" i="13"/>
  <c r="H416" i="13"/>
  <c r="J416" i="13" s="1"/>
  <c r="H417" i="13"/>
  <c r="J417" i="13" s="1"/>
  <c r="H418" i="13"/>
  <c r="J418" i="13" s="1"/>
  <c r="H419" i="13"/>
  <c r="J419" i="13" s="1"/>
  <c r="H420" i="13"/>
  <c r="J420" i="13" s="1"/>
  <c r="H421" i="13"/>
  <c r="J421" i="13" s="1"/>
  <c r="H422" i="13"/>
  <c r="J422" i="13" s="1"/>
  <c r="H423" i="13"/>
  <c r="J423" i="13" s="1"/>
  <c r="H424" i="13"/>
  <c r="J424" i="13" s="1"/>
  <c r="H425" i="13"/>
  <c r="J425" i="13" s="1"/>
  <c r="H426" i="13"/>
  <c r="J426" i="13" s="1"/>
  <c r="H427" i="13"/>
  <c r="J427" i="13" s="1"/>
  <c r="H428" i="13"/>
  <c r="J428" i="13" s="1"/>
  <c r="H429" i="13"/>
  <c r="J429" i="13" s="1"/>
  <c r="H430" i="13"/>
  <c r="J430" i="13" s="1"/>
  <c r="H431" i="13"/>
  <c r="J431" i="13" s="1"/>
  <c r="H432" i="13"/>
  <c r="J432" i="13" s="1"/>
  <c r="H433" i="13"/>
  <c r="J433" i="13" s="1"/>
  <c r="H434" i="13"/>
  <c r="J434" i="13" s="1"/>
  <c r="H435" i="13"/>
  <c r="J435" i="13" s="1"/>
  <c r="H436" i="13"/>
  <c r="J436" i="13" s="1"/>
  <c r="H437" i="13"/>
  <c r="J437" i="13" s="1"/>
  <c r="H439" i="13"/>
  <c r="J439" i="13" s="1"/>
  <c r="H415" i="13"/>
  <c r="J415" i="13" s="1"/>
  <c r="H390" i="13"/>
  <c r="J390" i="13" s="1"/>
  <c r="H391" i="13"/>
  <c r="J391" i="13" s="1"/>
  <c r="H392" i="13"/>
  <c r="H393" i="13"/>
  <c r="H394" i="13"/>
  <c r="J394" i="13" s="1"/>
  <c r="H395" i="13"/>
  <c r="J395" i="13" s="1"/>
  <c r="H396" i="13"/>
  <c r="J396" i="13" s="1"/>
  <c r="H397" i="13"/>
  <c r="J397" i="13" s="1"/>
  <c r="H398" i="13"/>
  <c r="J398" i="13" s="1"/>
  <c r="J399" i="13"/>
  <c r="H400" i="13"/>
  <c r="J400" i="13" s="1"/>
  <c r="H401" i="13"/>
  <c r="J401" i="13" s="1"/>
  <c r="H402" i="13"/>
  <c r="J402" i="13" s="1"/>
  <c r="H403" i="13"/>
  <c r="J403" i="13" s="1"/>
  <c r="J404" i="13"/>
  <c r="J405" i="13"/>
  <c r="J406" i="13"/>
  <c r="J407" i="13"/>
  <c r="J408" i="13"/>
  <c r="J409" i="13"/>
  <c r="J410" i="13"/>
  <c r="J411" i="13"/>
  <c r="J414" i="13"/>
  <c r="J389" i="13"/>
  <c r="H365" i="13"/>
  <c r="J365" i="13" s="1"/>
  <c r="H366" i="13"/>
  <c r="J366" i="13" s="1"/>
  <c r="H367" i="13"/>
  <c r="J367" i="13" s="1"/>
  <c r="H368" i="13"/>
  <c r="J368" i="13" s="1"/>
  <c r="H369" i="13"/>
  <c r="J369" i="13" s="1"/>
  <c r="H370" i="13"/>
  <c r="J370" i="13" s="1"/>
  <c r="H371" i="13"/>
  <c r="J371" i="13" s="1"/>
  <c r="H372" i="13"/>
  <c r="J372" i="13" s="1"/>
  <c r="H373" i="13"/>
  <c r="J373" i="13" s="1"/>
  <c r="H374" i="13"/>
  <c r="J374" i="13" s="1"/>
  <c r="H375" i="13"/>
  <c r="J375" i="13" s="1"/>
  <c r="H376" i="13"/>
  <c r="J376" i="13" s="1"/>
  <c r="H377" i="13"/>
  <c r="J377" i="13" s="1"/>
  <c r="H378" i="13"/>
  <c r="J378" i="13" s="1"/>
  <c r="H379" i="13"/>
  <c r="J379" i="13" s="1"/>
  <c r="H380" i="13"/>
  <c r="J380" i="13" s="1"/>
  <c r="H381" i="13"/>
  <c r="J381" i="13" s="1"/>
  <c r="H382" i="13"/>
  <c r="J382" i="13" s="1"/>
  <c r="H383" i="13"/>
  <c r="J383" i="13" s="1"/>
  <c r="H384" i="13"/>
  <c r="J384" i="13" s="1"/>
  <c r="H385" i="13"/>
  <c r="J385" i="13" s="1"/>
  <c r="H386" i="13"/>
  <c r="J386" i="13" s="1"/>
  <c r="H388" i="13"/>
  <c r="J388" i="13" s="1"/>
  <c r="H364" i="13"/>
  <c r="J364" i="13" s="1"/>
  <c r="H339" i="13"/>
  <c r="J339" i="13" s="1"/>
  <c r="H340" i="13"/>
  <c r="J340" i="13" s="1"/>
  <c r="H341" i="13"/>
  <c r="H342" i="13"/>
  <c r="H343" i="13"/>
  <c r="J343" i="13" s="1"/>
  <c r="H344" i="13"/>
  <c r="J344" i="13" s="1"/>
  <c r="H345" i="13"/>
  <c r="J345" i="13" s="1"/>
  <c r="H346" i="13"/>
  <c r="J346" i="13" s="1"/>
  <c r="H347" i="13"/>
  <c r="J347" i="13" s="1"/>
  <c r="J348" i="13"/>
  <c r="H349" i="13"/>
  <c r="J349" i="13" s="1"/>
  <c r="H350" i="13"/>
  <c r="J350" i="13" s="1"/>
  <c r="H351" i="13"/>
  <c r="J351" i="13" s="1"/>
  <c r="H352" i="13"/>
  <c r="J352" i="13" s="1"/>
  <c r="J353" i="13"/>
  <c r="J354" i="13"/>
  <c r="J355" i="13"/>
  <c r="J356" i="13"/>
  <c r="J357" i="13"/>
  <c r="J358" i="13"/>
  <c r="J359" i="13"/>
  <c r="J360" i="13"/>
  <c r="J363" i="13"/>
  <c r="J338" i="13"/>
  <c r="H313" i="13"/>
  <c r="J313" i="13" s="1"/>
  <c r="H314" i="13"/>
  <c r="J314" i="13" s="1"/>
  <c r="H315" i="13"/>
  <c r="J315" i="13" s="1"/>
  <c r="H316" i="13"/>
  <c r="J316" i="13" s="1"/>
  <c r="H317" i="13"/>
  <c r="J317" i="13" s="1"/>
  <c r="H318" i="13"/>
  <c r="J318" i="13" s="1"/>
  <c r="H319" i="13"/>
  <c r="J319" i="13" s="1"/>
  <c r="H320" i="13"/>
  <c r="J320" i="13" s="1"/>
  <c r="H321" i="13"/>
  <c r="J321" i="13" s="1"/>
  <c r="H322" i="13"/>
  <c r="J322" i="13" s="1"/>
  <c r="H323" i="13"/>
  <c r="J323" i="13" s="1"/>
  <c r="H324" i="13"/>
  <c r="J324" i="13" s="1"/>
  <c r="H325" i="13"/>
  <c r="J325" i="13" s="1"/>
  <c r="H326" i="13"/>
  <c r="J326" i="13" s="1"/>
  <c r="H327" i="13"/>
  <c r="J327" i="13" s="1"/>
  <c r="H328" i="13"/>
  <c r="J328" i="13" s="1"/>
  <c r="H329" i="13"/>
  <c r="J329" i="13" s="1"/>
  <c r="H330" i="13"/>
  <c r="J330" i="13" s="1"/>
  <c r="H331" i="13"/>
  <c r="J331" i="13" s="1"/>
  <c r="H332" i="13"/>
  <c r="J332" i="13" s="1"/>
  <c r="H333" i="13"/>
  <c r="J333" i="13" s="1"/>
  <c r="H334" i="13"/>
  <c r="J334" i="13" s="1"/>
  <c r="H335" i="13"/>
  <c r="J335" i="13" s="1"/>
  <c r="H337" i="13"/>
  <c r="J337" i="13" s="1"/>
  <c r="H312" i="13"/>
  <c r="J312" i="13" s="1"/>
  <c r="H286" i="13"/>
  <c r="J286" i="13" s="1"/>
  <c r="H287" i="13"/>
  <c r="J287" i="13" s="1"/>
  <c r="H288" i="13"/>
  <c r="H289" i="13"/>
  <c r="H290" i="13"/>
  <c r="J290" i="13" s="1"/>
  <c r="J291" i="13"/>
  <c r="H292" i="13"/>
  <c r="J292" i="13" s="1"/>
  <c r="H293" i="13"/>
  <c r="J293" i="13" s="1"/>
  <c r="H294" i="13"/>
  <c r="J294" i="13" s="1"/>
  <c r="H295" i="13"/>
  <c r="J295" i="13" s="1"/>
  <c r="J296" i="13"/>
  <c r="H297" i="13"/>
  <c r="J297" i="13" s="1"/>
  <c r="H298" i="13"/>
  <c r="J298" i="13" s="1"/>
  <c r="H299" i="13"/>
  <c r="J299" i="13" s="1"/>
  <c r="H300" i="13"/>
  <c r="J300" i="13" s="1"/>
  <c r="J301" i="13"/>
  <c r="J302" i="13"/>
  <c r="J303" i="13"/>
  <c r="J304" i="13"/>
  <c r="J305" i="13"/>
  <c r="J306" i="13"/>
  <c r="J307" i="13"/>
  <c r="J308" i="13"/>
  <c r="J311" i="13"/>
  <c r="J285" i="13"/>
  <c r="H261" i="13"/>
  <c r="J261" i="13" s="1"/>
  <c r="H262" i="13"/>
  <c r="J262" i="13" s="1"/>
  <c r="H263" i="13"/>
  <c r="J263" i="13" s="1"/>
  <c r="H264" i="13"/>
  <c r="J264" i="13" s="1"/>
  <c r="H265" i="13"/>
  <c r="J265" i="13" s="1"/>
  <c r="H266" i="13"/>
  <c r="J266" i="13" s="1"/>
  <c r="H267" i="13"/>
  <c r="J267" i="13" s="1"/>
  <c r="H268" i="13"/>
  <c r="J268" i="13" s="1"/>
  <c r="H269" i="13"/>
  <c r="J269" i="13" s="1"/>
  <c r="H270" i="13"/>
  <c r="J270" i="13" s="1"/>
  <c r="H271" i="13"/>
  <c r="J271" i="13" s="1"/>
  <c r="H272" i="13"/>
  <c r="J272" i="13" s="1"/>
  <c r="H273" i="13"/>
  <c r="J273" i="13" s="1"/>
  <c r="H274" i="13"/>
  <c r="J274" i="13" s="1"/>
  <c r="H275" i="13"/>
  <c r="J275" i="13" s="1"/>
  <c r="H276" i="13"/>
  <c r="J276" i="13" s="1"/>
  <c r="H277" i="13"/>
  <c r="J277" i="13" s="1"/>
  <c r="H278" i="13"/>
  <c r="J278" i="13" s="1"/>
  <c r="H279" i="13"/>
  <c r="J279" i="13" s="1"/>
  <c r="H280" i="13"/>
  <c r="J280" i="13" s="1"/>
  <c r="H281" i="13"/>
  <c r="J281" i="13" s="1"/>
  <c r="H282" i="13"/>
  <c r="J282" i="13" s="1"/>
  <c r="H284" i="13"/>
  <c r="J284" i="13" s="1"/>
  <c r="H260" i="13"/>
  <c r="J260" i="13" s="1"/>
  <c r="H235" i="13"/>
  <c r="J235" i="13" s="1"/>
  <c r="H236" i="13"/>
  <c r="J236" i="13" s="1"/>
  <c r="H237" i="13"/>
  <c r="H238" i="13"/>
  <c r="H239" i="13"/>
  <c r="J239" i="13" s="1"/>
  <c r="H240" i="13"/>
  <c r="J240" i="13" s="1"/>
  <c r="H241" i="13"/>
  <c r="J241" i="13" s="1"/>
  <c r="H242" i="13"/>
  <c r="J242" i="13" s="1"/>
  <c r="H243" i="13"/>
  <c r="J243" i="13" s="1"/>
  <c r="J244" i="13"/>
  <c r="H245" i="13"/>
  <c r="J245" i="13" s="1"/>
  <c r="H246" i="13"/>
  <c r="J246" i="13" s="1"/>
  <c r="H247" i="13"/>
  <c r="J247" i="13" s="1"/>
  <c r="H248" i="13"/>
  <c r="J248" i="13" s="1"/>
  <c r="J249" i="13"/>
  <c r="J250" i="13"/>
  <c r="J251" i="13"/>
  <c r="J252" i="13"/>
  <c r="J253" i="13"/>
  <c r="J254" i="13"/>
  <c r="J255" i="13"/>
  <c r="J256" i="13"/>
  <c r="J259" i="13"/>
  <c r="J234" i="13"/>
  <c r="H210" i="13"/>
  <c r="J210" i="13" s="1"/>
  <c r="H211" i="13"/>
  <c r="J211" i="13" s="1"/>
  <c r="H212" i="13"/>
  <c r="J212" i="13" s="1"/>
  <c r="H213" i="13"/>
  <c r="J213" i="13" s="1"/>
  <c r="H214" i="13"/>
  <c r="J214" i="13" s="1"/>
  <c r="H215" i="13"/>
  <c r="J215" i="13" s="1"/>
  <c r="H216" i="13"/>
  <c r="J216" i="13" s="1"/>
  <c r="H217" i="13"/>
  <c r="J217" i="13" s="1"/>
  <c r="H218" i="13"/>
  <c r="J218" i="13" s="1"/>
  <c r="H219" i="13"/>
  <c r="J219" i="13" s="1"/>
  <c r="H220" i="13"/>
  <c r="J220" i="13" s="1"/>
  <c r="H221" i="13"/>
  <c r="J221" i="13" s="1"/>
  <c r="H222" i="13"/>
  <c r="J222" i="13" s="1"/>
  <c r="H223" i="13"/>
  <c r="J223" i="13" s="1"/>
  <c r="H224" i="13"/>
  <c r="J224" i="13" s="1"/>
  <c r="H225" i="13"/>
  <c r="J225" i="13" s="1"/>
  <c r="H226" i="13"/>
  <c r="J226" i="13" s="1"/>
  <c r="H227" i="13"/>
  <c r="J227" i="13" s="1"/>
  <c r="H228" i="13"/>
  <c r="J228" i="13" s="1"/>
  <c r="H229" i="13"/>
  <c r="J229" i="13" s="1"/>
  <c r="H230" i="13"/>
  <c r="J230" i="13" s="1"/>
  <c r="H231" i="13"/>
  <c r="J231" i="13" s="1"/>
  <c r="H233" i="13"/>
  <c r="J233" i="13" s="1"/>
  <c r="H209" i="13"/>
  <c r="J209" i="13" s="1"/>
  <c r="H184" i="13"/>
  <c r="J184" i="13" s="1"/>
  <c r="H185" i="13"/>
  <c r="J185" i="13" s="1"/>
  <c r="H186" i="13"/>
  <c r="H187" i="13"/>
  <c r="H188" i="13"/>
  <c r="J188" i="13" s="1"/>
  <c r="H189" i="13"/>
  <c r="J189" i="13" s="1"/>
  <c r="H190" i="13"/>
  <c r="J190" i="13" s="1"/>
  <c r="H191" i="13"/>
  <c r="J191" i="13" s="1"/>
  <c r="H192" i="13"/>
  <c r="J192" i="13" s="1"/>
  <c r="J193" i="13"/>
  <c r="H194" i="13"/>
  <c r="J194" i="13" s="1"/>
  <c r="H195" i="13"/>
  <c r="J195" i="13" s="1"/>
  <c r="H196" i="13"/>
  <c r="J196" i="13" s="1"/>
  <c r="H197" i="13"/>
  <c r="J197" i="13" s="1"/>
  <c r="J198" i="13"/>
  <c r="J199" i="13"/>
  <c r="J200" i="13"/>
  <c r="J201" i="13"/>
  <c r="J202" i="13"/>
  <c r="J203" i="13"/>
  <c r="J204" i="13"/>
  <c r="J205" i="13"/>
  <c r="J208" i="13"/>
  <c r="J183" i="13"/>
  <c r="H158" i="13"/>
  <c r="J158" i="13" s="1"/>
  <c r="H159" i="13"/>
  <c r="J159" i="13" s="1"/>
  <c r="H160" i="13"/>
  <c r="J160" i="13" s="1"/>
  <c r="H161" i="13"/>
  <c r="J161" i="13" s="1"/>
  <c r="H162" i="13"/>
  <c r="J162" i="13" s="1"/>
  <c r="H163" i="13"/>
  <c r="J163" i="13" s="1"/>
  <c r="H164" i="13"/>
  <c r="J164" i="13" s="1"/>
  <c r="H165" i="13"/>
  <c r="J165" i="13" s="1"/>
  <c r="H166" i="13"/>
  <c r="J166" i="13" s="1"/>
  <c r="H167" i="13"/>
  <c r="J167" i="13" s="1"/>
  <c r="H168" i="13"/>
  <c r="J168" i="13" s="1"/>
  <c r="H169" i="13"/>
  <c r="J169" i="13" s="1"/>
  <c r="H170" i="13"/>
  <c r="J170" i="13" s="1"/>
  <c r="H171" i="13"/>
  <c r="J171" i="13" s="1"/>
  <c r="H172" i="13"/>
  <c r="J172" i="13" s="1"/>
  <c r="H173" i="13"/>
  <c r="J173" i="13" s="1"/>
  <c r="H174" i="13"/>
  <c r="J174" i="13" s="1"/>
  <c r="H175" i="13"/>
  <c r="J175" i="13" s="1"/>
  <c r="H176" i="13"/>
  <c r="J176" i="13" s="1"/>
  <c r="H177" i="13"/>
  <c r="J177" i="13" s="1"/>
  <c r="H178" i="13"/>
  <c r="J178" i="13" s="1"/>
  <c r="H179" i="13"/>
  <c r="J179" i="13" s="1"/>
  <c r="H180" i="13"/>
  <c r="J180" i="13" s="1"/>
  <c r="H182" i="13"/>
  <c r="J182" i="13" s="1"/>
  <c r="H157" i="13"/>
  <c r="J157" i="13" s="1"/>
  <c r="H131" i="13"/>
  <c r="J131" i="13" s="1"/>
  <c r="H132" i="13"/>
  <c r="J132" i="13" s="1"/>
  <c r="H133" i="13"/>
  <c r="H134" i="13"/>
  <c r="H135" i="13"/>
  <c r="J135" i="13" s="1"/>
  <c r="H136" i="13"/>
  <c r="J136" i="13" s="1"/>
  <c r="H137" i="13"/>
  <c r="J137" i="13" s="1"/>
  <c r="H138" i="13"/>
  <c r="J138" i="13" s="1"/>
  <c r="H139" i="13"/>
  <c r="J139" i="13" s="1"/>
  <c r="H140" i="13"/>
  <c r="J140" i="13" s="1"/>
  <c r="J141" i="13"/>
  <c r="H142" i="13"/>
  <c r="J142" i="13" s="1"/>
  <c r="H143" i="13"/>
  <c r="J143" i="13" s="1"/>
  <c r="H144" i="13"/>
  <c r="J144" i="13" s="1"/>
  <c r="H145" i="13"/>
  <c r="J145" i="13" s="1"/>
  <c r="J146" i="13"/>
  <c r="J147" i="13"/>
  <c r="J148" i="13"/>
  <c r="J149" i="13"/>
  <c r="J150" i="13"/>
  <c r="J151" i="13"/>
  <c r="H152" i="13"/>
  <c r="J152" i="13" s="1"/>
  <c r="H153" i="13"/>
  <c r="J153" i="13" s="1"/>
  <c r="J156" i="13"/>
  <c r="J130" i="13"/>
  <c r="H106" i="13"/>
  <c r="J106" i="13" s="1"/>
  <c r="H107" i="13"/>
  <c r="J107" i="13" s="1"/>
  <c r="H108" i="13"/>
  <c r="J108" i="13" s="1"/>
  <c r="H109" i="13"/>
  <c r="J109" i="13" s="1"/>
  <c r="H110" i="13"/>
  <c r="J110" i="13" s="1"/>
  <c r="H111" i="13"/>
  <c r="J111" i="13" s="1"/>
  <c r="H112" i="13"/>
  <c r="J112" i="13" s="1"/>
  <c r="H113" i="13"/>
  <c r="J113" i="13" s="1"/>
  <c r="H114" i="13"/>
  <c r="J114" i="13" s="1"/>
  <c r="H115" i="13"/>
  <c r="J115" i="13" s="1"/>
  <c r="H116" i="13"/>
  <c r="J116" i="13" s="1"/>
  <c r="H117" i="13"/>
  <c r="J117" i="13" s="1"/>
  <c r="H118" i="13"/>
  <c r="J118" i="13" s="1"/>
  <c r="H119" i="13"/>
  <c r="J119" i="13" s="1"/>
  <c r="H120" i="13"/>
  <c r="J120" i="13" s="1"/>
  <c r="H121" i="13"/>
  <c r="J121" i="13" s="1"/>
  <c r="H122" i="13"/>
  <c r="J122" i="13" s="1"/>
  <c r="H123" i="13"/>
  <c r="J123" i="13" s="1"/>
  <c r="H124" i="13"/>
  <c r="J124" i="13" s="1"/>
  <c r="H125" i="13"/>
  <c r="J125" i="13" s="1"/>
  <c r="H126" i="13"/>
  <c r="J126" i="13" s="1"/>
  <c r="H127" i="13"/>
  <c r="J127" i="13" s="1"/>
  <c r="H129" i="13"/>
  <c r="J129" i="13" s="1"/>
  <c r="H105" i="13"/>
  <c r="J105" i="13" s="1"/>
  <c r="H80" i="13"/>
  <c r="J80" i="13" s="1"/>
  <c r="H81" i="13"/>
  <c r="J81" i="13" s="1"/>
  <c r="H82" i="13"/>
  <c r="H83" i="13"/>
  <c r="H84" i="13"/>
  <c r="J84" i="13" s="1"/>
  <c r="H85" i="13"/>
  <c r="J85" i="13" s="1"/>
  <c r="H86" i="13"/>
  <c r="J86" i="13" s="1"/>
  <c r="H87" i="13"/>
  <c r="J87" i="13" s="1"/>
  <c r="H88" i="13"/>
  <c r="J88" i="13" s="1"/>
  <c r="J89" i="13"/>
  <c r="H90" i="13"/>
  <c r="J90" i="13" s="1"/>
  <c r="H91" i="13"/>
  <c r="J91" i="13" s="1"/>
  <c r="H92" i="13"/>
  <c r="J92" i="13" s="1"/>
  <c r="H93" i="13"/>
  <c r="J93" i="13" s="1"/>
  <c r="J94" i="13"/>
  <c r="J95" i="13"/>
  <c r="J96" i="13"/>
  <c r="J97" i="13"/>
  <c r="J98" i="13"/>
  <c r="J99" i="13"/>
  <c r="H100" i="13"/>
  <c r="J100" i="13" s="1"/>
  <c r="H101" i="13"/>
  <c r="J101" i="13" s="1"/>
  <c r="J104" i="13"/>
  <c r="J79" i="13"/>
  <c r="H55" i="13"/>
  <c r="J55" i="13" s="1"/>
  <c r="H56" i="13"/>
  <c r="J56" i="13" s="1"/>
  <c r="H57" i="13"/>
  <c r="J57" i="13" s="1"/>
  <c r="H58" i="13"/>
  <c r="J58" i="13" s="1"/>
  <c r="H59" i="13"/>
  <c r="J59" i="13" s="1"/>
  <c r="H60" i="13"/>
  <c r="J60" i="13" s="1"/>
  <c r="H61" i="13"/>
  <c r="J61" i="13" s="1"/>
  <c r="H62" i="13"/>
  <c r="J62" i="13" s="1"/>
  <c r="H63" i="13"/>
  <c r="J63" i="13" s="1"/>
  <c r="H64" i="13"/>
  <c r="J64" i="13" s="1"/>
  <c r="H65" i="13"/>
  <c r="J65" i="13" s="1"/>
  <c r="H66" i="13"/>
  <c r="J66" i="13" s="1"/>
  <c r="H67" i="13"/>
  <c r="J67" i="13" s="1"/>
  <c r="H68" i="13"/>
  <c r="J68" i="13" s="1"/>
  <c r="H69" i="13"/>
  <c r="J69" i="13" s="1"/>
  <c r="H70" i="13"/>
  <c r="J70" i="13" s="1"/>
  <c r="H71" i="13"/>
  <c r="J71" i="13" s="1"/>
  <c r="H72" i="13"/>
  <c r="J72" i="13" s="1"/>
  <c r="H73" i="13"/>
  <c r="J73" i="13" s="1"/>
  <c r="H74" i="13"/>
  <c r="J74" i="13" s="1"/>
  <c r="H75" i="13"/>
  <c r="J75" i="13" s="1"/>
  <c r="H76" i="13"/>
  <c r="J76" i="13" s="1"/>
  <c r="H78" i="13"/>
  <c r="J78" i="13" s="1"/>
  <c r="H54" i="13"/>
  <c r="J54" i="13" s="1"/>
  <c r="J29" i="13"/>
  <c r="H30" i="13"/>
  <c r="J30" i="13" s="1"/>
  <c r="H31" i="13"/>
  <c r="H32" i="13"/>
  <c r="H33" i="13"/>
  <c r="J33" i="13" s="1"/>
  <c r="H34" i="13"/>
  <c r="J34" i="13" s="1"/>
  <c r="H35" i="13"/>
  <c r="J35" i="13" s="1"/>
  <c r="H36" i="13"/>
  <c r="J36" i="13" s="1"/>
  <c r="H37" i="13"/>
  <c r="J37" i="13" s="1"/>
  <c r="H38" i="13"/>
  <c r="J38" i="13" s="1"/>
  <c r="H39" i="13"/>
  <c r="J39" i="13" s="1"/>
  <c r="H40" i="13"/>
  <c r="J40" i="13" s="1"/>
  <c r="H41" i="13"/>
  <c r="J41" i="13" s="1"/>
  <c r="H42" i="13"/>
  <c r="J42" i="13" s="1"/>
  <c r="H43" i="13"/>
  <c r="J43" i="13" s="1"/>
  <c r="H44" i="13"/>
  <c r="J44" i="13" s="1"/>
  <c r="J45" i="13"/>
  <c r="J46" i="13"/>
  <c r="H47" i="13"/>
  <c r="J47" i="13" s="1"/>
  <c r="H48" i="13"/>
  <c r="J48" i="13" s="1"/>
  <c r="H49" i="13"/>
  <c r="J49" i="13" s="1"/>
  <c r="H50" i="13"/>
  <c r="J50" i="13" s="1"/>
  <c r="H53" i="13"/>
  <c r="J53" i="13" s="1"/>
  <c r="J622" i="13"/>
  <c r="J28" i="13"/>
  <c r="J573" i="13"/>
  <c r="K25" i="13" a="1"/>
  <c r="K25" i="13" s="1"/>
  <c r="H308" i="14"/>
  <c r="J308" i="14" s="1"/>
  <c r="H309" i="14"/>
  <c r="J309" i="14" s="1"/>
  <c r="H310" i="14"/>
  <c r="J310" i="14" s="1"/>
  <c r="H311" i="14"/>
  <c r="J311" i="14" s="1"/>
  <c r="H312" i="14"/>
  <c r="J312" i="14" s="1"/>
  <c r="H313" i="14"/>
  <c r="J313" i="14" s="1"/>
  <c r="H314" i="14"/>
  <c r="J314" i="14" s="1"/>
  <c r="H315" i="14"/>
  <c r="J315" i="14" s="1"/>
  <c r="H307" i="14"/>
  <c r="J307" i="14" s="1"/>
  <c r="J306" i="14"/>
  <c r="J305" i="14"/>
  <c r="J304" i="14"/>
  <c r="J303" i="14"/>
  <c r="J302" i="14"/>
  <c r="H301" i="14"/>
  <c r="J301" i="14" s="1"/>
  <c r="H300" i="14"/>
  <c r="J300" i="14" s="1"/>
  <c r="H298" i="14"/>
  <c r="J298" i="14" s="1"/>
  <c r="H299" i="14"/>
  <c r="J299" i="14" s="1"/>
  <c r="J297" i="14"/>
  <c r="H288" i="14"/>
  <c r="J288" i="14" s="1"/>
  <c r="H289" i="14"/>
  <c r="J289" i="14" s="1"/>
  <c r="H290" i="14"/>
  <c r="J290" i="14" s="1"/>
  <c r="H291" i="14"/>
  <c r="J291" i="14" s="1"/>
  <c r="J292" i="14"/>
  <c r="H293" i="14"/>
  <c r="J293" i="14" s="1"/>
  <c r="H294" i="14"/>
  <c r="J294" i="14" s="1"/>
  <c r="H295" i="14"/>
  <c r="J295" i="14" s="1"/>
  <c r="H296" i="14"/>
  <c r="J296" i="14" s="1"/>
  <c r="H287" i="14"/>
  <c r="J287" i="14" s="1"/>
  <c r="H278" i="14"/>
  <c r="J278" i="14" s="1"/>
  <c r="H279" i="14"/>
  <c r="J279" i="14" s="1"/>
  <c r="H280" i="14"/>
  <c r="J280" i="14" s="1"/>
  <c r="H281" i="14"/>
  <c r="J281" i="14" s="1"/>
  <c r="H282" i="14"/>
  <c r="J282" i="14" s="1"/>
  <c r="H283" i="14"/>
  <c r="J283" i="14" s="1"/>
  <c r="H284" i="14"/>
  <c r="J284" i="14" s="1"/>
  <c r="H285" i="14"/>
  <c r="J285" i="14" s="1"/>
  <c r="H286" i="14"/>
  <c r="J286" i="14" s="1"/>
  <c r="H277" i="14"/>
  <c r="J277" i="14" s="1"/>
  <c r="H268" i="14"/>
  <c r="J268" i="14" s="1"/>
  <c r="H269" i="14"/>
  <c r="J269" i="14" s="1"/>
  <c r="H270" i="14"/>
  <c r="J270" i="14" s="1"/>
  <c r="H271" i="14"/>
  <c r="J271" i="14" s="1"/>
  <c r="H272" i="14"/>
  <c r="J272" i="14" s="1"/>
  <c r="H273" i="14"/>
  <c r="J273" i="14" s="1"/>
  <c r="H274" i="14"/>
  <c r="J274" i="14" s="1"/>
  <c r="H275" i="14"/>
  <c r="J275" i="14" s="1"/>
  <c r="H276" i="14"/>
  <c r="J276" i="14" s="1"/>
  <c r="H267" i="14"/>
  <c r="J267" i="14" s="1"/>
  <c r="H259" i="14"/>
  <c r="J259" i="14" s="1"/>
  <c r="H260" i="14"/>
  <c r="J260" i="14" s="1"/>
  <c r="H261" i="14"/>
  <c r="J261" i="14" s="1"/>
  <c r="H262" i="14"/>
  <c r="J262" i="14" s="1"/>
  <c r="H263" i="14"/>
  <c r="J263" i="14" s="1"/>
  <c r="H264" i="14"/>
  <c r="J264" i="14" s="1"/>
  <c r="H265" i="14"/>
  <c r="J265" i="14" s="1"/>
  <c r="H266" i="14"/>
  <c r="J266" i="14" s="1"/>
  <c r="H258" i="14"/>
  <c r="J258" i="14" s="1"/>
  <c r="H249" i="14"/>
  <c r="J249" i="14" s="1"/>
  <c r="H250" i="14"/>
  <c r="J250" i="14" s="1"/>
  <c r="H251" i="14"/>
  <c r="J251" i="14" s="1"/>
  <c r="H252" i="14"/>
  <c r="J252" i="14" s="1"/>
  <c r="H253" i="14"/>
  <c r="J253" i="14" s="1"/>
  <c r="H254" i="14"/>
  <c r="J254" i="14" s="1"/>
  <c r="H255" i="14"/>
  <c r="J255" i="14" s="1"/>
  <c r="H256" i="14"/>
  <c r="J256" i="14" s="1"/>
  <c r="H257" i="14"/>
  <c r="J257" i="14" s="1"/>
  <c r="H248" i="14"/>
  <c r="J248" i="14" s="1"/>
  <c r="H239" i="14"/>
  <c r="J239" i="14" s="1"/>
  <c r="H240" i="14"/>
  <c r="J240" i="14" s="1"/>
  <c r="H241" i="14"/>
  <c r="J241" i="14" s="1"/>
  <c r="H242" i="14"/>
  <c r="J242" i="14" s="1"/>
  <c r="H243" i="14"/>
  <c r="J243" i="14" s="1"/>
  <c r="H244" i="14"/>
  <c r="J244" i="14" s="1"/>
  <c r="H245" i="14"/>
  <c r="J245" i="14" s="1"/>
  <c r="H246" i="14"/>
  <c r="J246" i="14" s="1"/>
  <c r="H247" i="14"/>
  <c r="J247" i="14" s="1"/>
  <c r="H238" i="14"/>
  <c r="J238" i="14" s="1"/>
  <c r="H229" i="14"/>
  <c r="J229" i="14" s="1"/>
  <c r="H230" i="14"/>
  <c r="J230" i="14" s="1"/>
  <c r="H231" i="14"/>
  <c r="J231" i="14" s="1"/>
  <c r="H232" i="14"/>
  <c r="J232" i="14" s="1"/>
  <c r="H233" i="14"/>
  <c r="J233" i="14" s="1"/>
  <c r="H234" i="14"/>
  <c r="J234" i="14" s="1"/>
  <c r="H235" i="14"/>
  <c r="J235" i="14" s="1"/>
  <c r="H236" i="14"/>
  <c r="J236" i="14" s="1"/>
  <c r="H237" i="14"/>
  <c r="J237" i="14" s="1"/>
  <c r="H228" i="14"/>
  <c r="J228" i="14" s="1"/>
  <c r="H219" i="14"/>
  <c r="J219" i="14" s="1"/>
  <c r="H220" i="14"/>
  <c r="J220" i="14" s="1"/>
  <c r="H221" i="14"/>
  <c r="J221" i="14" s="1"/>
  <c r="H222" i="14"/>
  <c r="J222" i="14" s="1"/>
  <c r="H223" i="14"/>
  <c r="J223" i="14" s="1"/>
  <c r="H224" i="14"/>
  <c r="J224" i="14" s="1"/>
  <c r="H225" i="14"/>
  <c r="J225" i="14" s="1"/>
  <c r="H226" i="14"/>
  <c r="J226" i="14" s="1"/>
  <c r="H227" i="14"/>
  <c r="J227" i="14" s="1"/>
  <c r="H218" i="14"/>
  <c r="J218" i="14" s="1"/>
  <c r="H210" i="14"/>
  <c r="J210" i="14" s="1"/>
  <c r="H211" i="14"/>
  <c r="J211" i="14" s="1"/>
  <c r="H212" i="14"/>
  <c r="J212" i="14" s="1"/>
  <c r="H213" i="14"/>
  <c r="J213" i="14" s="1"/>
  <c r="H214" i="14"/>
  <c r="J214" i="14" s="1"/>
  <c r="H215" i="14"/>
  <c r="J215" i="14" s="1"/>
  <c r="H216" i="14"/>
  <c r="J216" i="14" s="1"/>
  <c r="H217" i="14"/>
  <c r="J217" i="14" s="1"/>
  <c r="H209" i="14"/>
  <c r="J209" i="14" s="1"/>
  <c r="H200" i="14"/>
  <c r="J200" i="14" s="1"/>
  <c r="H201" i="14"/>
  <c r="J201" i="14" s="1"/>
  <c r="H202" i="14"/>
  <c r="J202" i="14" s="1"/>
  <c r="H203" i="14"/>
  <c r="J203" i="14" s="1"/>
  <c r="H204" i="14"/>
  <c r="J204" i="14" s="1"/>
  <c r="H205" i="14"/>
  <c r="J205" i="14" s="1"/>
  <c r="H206" i="14"/>
  <c r="J206" i="14" s="1"/>
  <c r="H207" i="14"/>
  <c r="J207" i="14" s="1"/>
  <c r="H208" i="14"/>
  <c r="J208" i="14" s="1"/>
  <c r="H199" i="14"/>
  <c r="J199" i="14" s="1"/>
  <c r="H190" i="14"/>
  <c r="J190" i="14" s="1"/>
  <c r="H191" i="14"/>
  <c r="J191" i="14" s="1"/>
  <c r="H192" i="14"/>
  <c r="J192" i="14" s="1"/>
  <c r="H193" i="14"/>
  <c r="J193" i="14" s="1"/>
  <c r="H194" i="14"/>
  <c r="J194" i="14" s="1"/>
  <c r="H195" i="14"/>
  <c r="J195" i="14" s="1"/>
  <c r="H196" i="14"/>
  <c r="J196" i="14" s="1"/>
  <c r="H197" i="14"/>
  <c r="J197" i="14" s="1"/>
  <c r="H198" i="14"/>
  <c r="J198" i="14" s="1"/>
  <c r="H189" i="14"/>
  <c r="J189" i="14" s="1"/>
  <c r="H180" i="14"/>
  <c r="J180" i="14" s="1"/>
  <c r="H181" i="14"/>
  <c r="J181" i="14" s="1"/>
  <c r="H182" i="14"/>
  <c r="J182" i="14" s="1"/>
  <c r="H183" i="14"/>
  <c r="J183" i="14" s="1"/>
  <c r="H184" i="14"/>
  <c r="J184" i="14" s="1"/>
  <c r="H185" i="14"/>
  <c r="J185" i="14" s="1"/>
  <c r="H186" i="14"/>
  <c r="J186" i="14" s="1"/>
  <c r="H187" i="14"/>
  <c r="J187" i="14" s="1"/>
  <c r="H188" i="14"/>
  <c r="J188" i="14" s="1"/>
  <c r="H179" i="14"/>
  <c r="J179" i="14" s="1"/>
  <c r="H170" i="14"/>
  <c r="J170" i="14" s="1"/>
  <c r="H171" i="14"/>
  <c r="J171" i="14" s="1"/>
  <c r="H172" i="14"/>
  <c r="J172" i="14" s="1"/>
  <c r="H173" i="14"/>
  <c r="J173" i="14" s="1"/>
  <c r="H174" i="14"/>
  <c r="J174" i="14" s="1"/>
  <c r="H175" i="14"/>
  <c r="J175" i="14" s="1"/>
  <c r="H176" i="14"/>
  <c r="J176" i="14" s="1"/>
  <c r="H177" i="14"/>
  <c r="J177" i="14" s="1"/>
  <c r="H178" i="14"/>
  <c r="J178" i="14" s="1"/>
  <c r="H169" i="14"/>
  <c r="J169" i="14" s="1"/>
  <c r="H161" i="14"/>
  <c r="J161" i="14" s="1"/>
  <c r="H162" i="14"/>
  <c r="J162" i="14" s="1"/>
  <c r="H163" i="14"/>
  <c r="J163" i="14" s="1"/>
  <c r="H164" i="14"/>
  <c r="J164" i="14" s="1"/>
  <c r="H165" i="14"/>
  <c r="J165" i="14" s="1"/>
  <c r="H166" i="14"/>
  <c r="J166" i="14" s="1"/>
  <c r="H167" i="14"/>
  <c r="J167" i="14" s="1"/>
  <c r="H168" i="14"/>
  <c r="J168" i="14" s="1"/>
  <c r="H160" i="14"/>
  <c r="J160" i="14" s="1"/>
  <c r="H151" i="14"/>
  <c r="J151" i="14" s="1"/>
  <c r="H152" i="14"/>
  <c r="J152" i="14" s="1"/>
  <c r="H153" i="14"/>
  <c r="J153" i="14" s="1"/>
  <c r="H154" i="14"/>
  <c r="J154" i="14" s="1"/>
  <c r="H155" i="14"/>
  <c r="J155" i="14" s="1"/>
  <c r="H156" i="14"/>
  <c r="J156" i="14" s="1"/>
  <c r="H157" i="14"/>
  <c r="J157" i="14" s="1"/>
  <c r="H158" i="14"/>
  <c r="J158" i="14" s="1"/>
  <c r="H159" i="14"/>
  <c r="J159" i="14" s="1"/>
  <c r="H150" i="14"/>
  <c r="J150" i="14" s="1"/>
  <c r="H141" i="14"/>
  <c r="J141" i="14" s="1"/>
  <c r="H142" i="14"/>
  <c r="J142" i="14" s="1"/>
  <c r="H143" i="14"/>
  <c r="J143" i="14" s="1"/>
  <c r="H144" i="14"/>
  <c r="J144" i="14" s="1"/>
  <c r="H145" i="14"/>
  <c r="J145" i="14" s="1"/>
  <c r="H146" i="14"/>
  <c r="J146" i="14" s="1"/>
  <c r="H147" i="14"/>
  <c r="J147" i="14" s="1"/>
  <c r="H148" i="14"/>
  <c r="J148" i="14" s="1"/>
  <c r="H149" i="14"/>
  <c r="J149" i="14" s="1"/>
  <c r="H140" i="14"/>
  <c r="J140" i="14" s="1"/>
  <c r="H131" i="14"/>
  <c r="J131" i="14" s="1"/>
  <c r="H132" i="14"/>
  <c r="J132" i="14" s="1"/>
  <c r="H133" i="14"/>
  <c r="J133" i="14" s="1"/>
  <c r="H134" i="14"/>
  <c r="J134" i="14" s="1"/>
  <c r="H135" i="14"/>
  <c r="J135" i="14" s="1"/>
  <c r="H136" i="14"/>
  <c r="J136" i="14" s="1"/>
  <c r="H137" i="14"/>
  <c r="J137" i="14" s="1"/>
  <c r="H138" i="14"/>
  <c r="J138" i="14" s="1"/>
  <c r="H139" i="14"/>
  <c r="J139" i="14" s="1"/>
  <c r="H130" i="14"/>
  <c r="J130" i="14" s="1"/>
  <c r="H123" i="14"/>
  <c r="J123" i="14" s="1"/>
  <c r="H121" i="14"/>
  <c r="J121" i="14" s="1"/>
  <c r="H122" i="14"/>
  <c r="J122" i="14" s="1"/>
  <c r="H124" i="14"/>
  <c r="J124" i="14" s="1"/>
  <c r="H125" i="14"/>
  <c r="J125" i="14" s="1"/>
  <c r="H126" i="14"/>
  <c r="J126" i="14" s="1"/>
  <c r="H127" i="14"/>
  <c r="J127" i="14" s="1"/>
  <c r="H128" i="14"/>
  <c r="J128" i="14" s="1"/>
  <c r="H129" i="14"/>
  <c r="J129" i="14" s="1"/>
  <c r="H120" i="14"/>
  <c r="J120" i="14" s="1"/>
  <c r="H112" i="14"/>
  <c r="J112" i="14" s="1"/>
  <c r="H113" i="14"/>
  <c r="J113" i="14" s="1"/>
  <c r="H114" i="14"/>
  <c r="J114" i="14" s="1"/>
  <c r="H115" i="14"/>
  <c r="J115" i="14" s="1"/>
  <c r="H116" i="14"/>
  <c r="J116" i="14" s="1"/>
  <c r="H117" i="14"/>
  <c r="J117" i="14" s="1"/>
  <c r="H118" i="14"/>
  <c r="J118" i="14" s="1"/>
  <c r="H119" i="14"/>
  <c r="J119" i="14" s="1"/>
  <c r="H111" i="14"/>
  <c r="J111" i="14" s="1"/>
  <c r="H102" i="14"/>
  <c r="J102" i="14" s="1"/>
  <c r="H103" i="14"/>
  <c r="J103" i="14" s="1"/>
  <c r="H104" i="14"/>
  <c r="J104" i="14" s="1"/>
  <c r="H105" i="14"/>
  <c r="J105" i="14" s="1"/>
  <c r="H106" i="14"/>
  <c r="J106" i="14" s="1"/>
  <c r="H107" i="14"/>
  <c r="J107" i="14" s="1"/>
  <c r="H108" i="14"/>
  <c r="J108" i="14" s="1"/>
  <c r="H109" i="14"/>
  <c r="J109" i="14" s="1"/>
  <c r="H110" i="14"/>
  <c r="J110" i="14" s="1"/>
  <c r="H101" i="14"/>
  <c r="J101" i="14" s="1"/>
  <c r="H92" i="14"/>
  <c r="J92" i="14" s="1"/>
  <c r="H93" i="14"/>
  <c r="J93" i="14" s="1"/>
  <c r="H94" i="14"/>
  <c r="J94" i="14" s="1"/>
  <c r="H95" i="14"/>
  <c r="J95" i="14" s="1"/>
  <c r="H96" i="14"/>
  <c r="J96" i="14" s="1"/>
  <c r="H97" i="14"/>
  <c r="J97" i="14" s="1"/>
  <c r="H98" i="14"/>
  <c r="J98" i="14" s="1"/>
  <c r="H99" i="14"/>
  <c r="J99" i="14" s="1"/>
  <c r="H100" i="14"/>
  <c r="J100" i="14" s="1"/>
  <c r="H91" i="14"/>
  <c r="J91" i="14" s="1"/>
  <c r="H82" i="14"/>
  <c r="J82" i="14" s="1"/>
  <c r="H83" i="14"/>
  <c r="J83" i="14" s="1"/>
  <c r="H84" i="14"/>
  <c r="J84" i="14" s="1"/>
  <c r="H85" i="14"/>
  <c r="J85" i="14" s="1"/>
  <c r="H86" i="14"/>
  <c r="J86" i="14" s="1"/>
  <c r="H87" i="14"/>
  <c r="J87" i="14" s="1"/>
  <c r="H88" i="14"/>
  <c r="J88" i="14" s="1"/>
  <c r="H89" i="14"/>
  <c r="J89" i="14" s="1"/>
  <c r="H90" i="14"/>
  <c r="J90" i="14" s="1"/>
  <c r="H81" i="14"/>
  <c r="J81" i="14" s="1"/>
  <c r="H72" i="14"/>
  <c r="J72" i="14" s="1"/>
  <c r="H73" i="14"/>
  <c r="J73" i="14" s="1"/>
  <c r="H74" i="14"/>
  <c r="J74" i="14" s="1"/>
  <c r="H75" i="14"/>
  <c r="J75" i="14" s="1"/>
  <c r="H76" i="14"/>
  <c r="J76" i="14" s="1"/>
  <c r="H77" i="14"/>
  <c r="J77" i="14" s="1"/>
  <c r="H78" i="14"/>
  <c r="J78" i="14" s="1"/>
  <c r="H79" i="14"/>
  <c r="J79" i="14" s="1"/>
  <c r="H80" i="14"/>
  <c r="J80" i="14" s="1"/>
  <c r="H71" i="14"/>
  <c r="J71" i="14" s="1"/>
  <c r="H63" i="14"/>
  <c r="J63" i="14" s="1"/>
  <c r="H64" i="14"/>
  <c r="J64" i="14" s="1"/>
  <c r="H65" i="14"/>
  <c r="J65" i="14" s="1"/>
  <c r="H66" i="14"/>
  <c r="J66" i="14" s="1"/>
  <c r="H67" i="14"/>
  <c r="J67" i="14" s="1"/>
  <c r="H68" i="14"/>
  <c r="J68" i="14" s="1"/>
  <c r="H69" i="14"/>
  <c r="J69" i="14" s="1"/>
  <c r="H70" i="14"/>
  <c r="J70" i="14" s="1"/>
  <c r="H62" i="14"/>
  <c r="J62" i="14" s="1"/>
  <c r="H53" i="14"/>
  <c r="J53" i="14" s="1"/>
  <c r="H54" i="14"/>
  <c r="J54" i="14" s="1"/>
  <c r="H55" i="14"/>
  <c r="J55" i="14" s="1"/>
  <c r="H56" i="14"/>
  <c r="J56" i="14" s="1"/>
  <c r="H57" i="14"/>
  <c r="J57" i="14" s="1"/>
  <c r="H58" i="14"/>
  <c r="J58" i="14" s="1"/>
  <c r="H59" i="14"/>
  <c r="J59" i="14" s="1"/>
  <c r="H60" i="14"/>
  <c r="J60" i="14" s="1"/>
  <c r="H61" i="14"/>
  <c r="J61" i="14" s="1"/>
  <c r="H52" i="14"/>
  <c r="J52" i="14" s="1"/>
  <c r="H43" i="14"/>
  <c r="J43" i="14" s="1"/>
  <c r="H44" i="14"/>
  <c r="J44" i="14" s="1"/>
  <c r="H45" i="14"/>
  <c r="J45" i="14" s="1"/>
  <c r="H46" i="14"/>
  <c r="J46" i="14" s="1"/>
  <c r="H47" i="14"/>
  <c r="J47" i="14" s="1"/>
  <c r="H48" i="14"/>
  <c r="J48" i="14" s="1"/>
  <c r="H49" i="14"/>
  <c r="J49" i="14" s="1"/>
  <c r="H50" i="14"/>
  <c r="J50" i="14" s="1"/>
  <c r="H51" i="14"/>
  <c r="J51" i="14" s="1"/>
  <c r="H42" i="14"/>
  <c r="J42" i="14" s="1"/>
  <c r="H33" i="14"/>
  <c r="J33" i="14" s="1"/>
  <c r="H34" i="14"/>
  <c r="J34" i="14" s="1"/>
  <c r="H35" i="14"/>
  <c r="J35" i="14" s="1"/>
  <c r="H36" i="14"/>
  <c r="J36" i="14" s="1"/>
  <c r="H37" i="14"/>
  <c r="J37" i="14" s="1"/>
  <c r="H38" i="14"/>
  <c r="J38" i="14" s="1"/>
  <c r="H39" i="14"/>
  <c r="J39" i="14" s="1"/>
  <c r="H40" i="14"/>
  <c r="J40" i="14" s="1"/>
  <c r="H41" i="14"/>
  <c r="J41" i="14" s="1"/>
  <c r="H32" i="14"/>
  <c r="J32" i="14" s="1"/>
  <c r="H23" i="14"/>
  <c r="J23" i="14" s="1"/>
  <c r="H24" i="14"/>
  <c r="J24" i="14" s="1"/>
  <c r="H25" i="14"/>
  <c r="J25" i="14" s="1"/>
  <c r="H26" i="14"/>
  <c r="J26" i="14" s="1"/>
  <c r="H27" i="14"/>
  <c r="J27" i="14" s="1"/>
  <c r="H28" i="14"/>
  <c r="J28" i="14" s="1"/>
  <c r="H29" i="14"/>
  <c r="J29" i="14" s="1"/>
  <c r="H30" i="14"/>
  <c r="J30" i="14" s="1"/>
  <c r="H31" i="14"/>
  <c r="J31" i="14" s="1"/>
  <c r="J22" i="14"/>
  <c r="K19" i="14" a="1"/>
  <c r="K19" i="14" s="1"/>
  <c r="J384" i="7"/>
  <c r="J385" i="7"/>
  <c r="J386" i="7"/>
  <c r="J387" i="7"/>
  <c r="J388" i="7"/>
  <c r="J389" i="7"/>
  <c r="J391" i="7"/>
  <c r="J383" i="7"/>
  <c r="J374" i="7"/>
  <c r="J375" i="7"/>
  <c r="J376" i="7"/>
  <c r="J377" i="7"/>
  <c r="J378" i="7"/>
  <c r="J379" i="7"/>
  <c r="J380" i="7"/>
  <c r="J381" i="7"/>
  <c r="J382" i="7"/>
  <c r="J373" i="7"/>
  <c r="J365" i="7"/>
  <c r="J366" i="7"/>
  <c r="J367" i="7"/>
  <c r="J368" i="7"/>
  <c r="J369" i="7"/>
  <c r="J370" i="7"/>
  <c r="J371" i="7"/>
  <c r="J372" i="7"/>
  <c r="J364" i="7"/>
  <c r="J355" i="7"/>
  <c r="J356" i="7"/>
  <c r="J357" i="7"/>
  <c r="J358" i="7"/>
  <c r="J359" i="7"/>
  <c r="J360" i="7"/>
  <c r="J361" i="7"/>
  <c r="J362" i="7"/>
  <c r="J363" i="7"/>
  <c r="J354" i="7"/>
  <c r="J345" i="7"/>
  <c r="J346" i="7"/>
  <c r="J347" i="7"/>
  <c r="J348" i="7"/>
  <c r="J349" i="7"/>
  <c r="J350" i="7"/>
  <c r="J351" i="7"/>
  <c r="J352" i="7"/>
  <c r="J353" i="7"/>
  <c r="J344" i="7"/>
  <c r="J335" i="7"/>
  <c r="J336" i="7"/>
  <c r="J337" i="7"/>
  <c r="J338" i="7"/>
  <c r="J339" i="7"/>
  <c r="J340" i="7"/>
  <c r="J341" i="7"/>
  <c r="J342" i="7"/>
  <c r="J343" i="7"/>
  <c r="J334" i="7"/>
  <c r="J325" i="7"/>
  <c r="J326" i="7"/>
  <c r="J327" i="7"/>
  <c r="J328" i="7"/>
  <c r="J329" i="7"/>
  <c r="J330" i="7"/>
  <c r="J331" i="7"/>
  <c r="J332" i="7"/>
  <c r="J333" i="7"/>
  <c r="J324" i="7"/>
  <c r="J316" i="7"/>
  <c r="J317" i="7"/>
  <c r="J318" i="7"/>
  <c r="J319" i="7"/>
  <c r="J320" i="7"/>
  <c r="J321" i="7"/>
  <c r="J322" i="7"/>
  <c r="J323" i="7"/>
  <c r="J315" i="7"/>
  <c r="J306" i="7"/>
  <c r="J307" i="7"/>
  <c r="J308" i="7"/>
  <c r="J309" i="7"/>
  <c r="J310" i="7"/>
  <c r="J311" i="7"/>
  <c r="J312" i="7"/>
  <c r="J313" i="7"/>
  <c r="J314" i="7"/>
  <c r="J305" i="7"/>
  <c r="J296" i="7"/>
  <c r="J297" i="7"/>
  <c r="J298" i="7"/>
  <c r="J299" i="7"/>
  <c r="J300" i="7"/>
  <c r="J301" i="7"/>
  <c r="J302" i="7"/>
  <c r="J303" i="7"/>
  <c r="J304" i="7"/>
  <c r="J295" i="7"/>
  <c r="J286" i="7"/>
  <c r="J287" i="7"/>
  <c r="J288" i="7"/>
  <c r="J289" i="7"/>
  <c r="J290" i="7"/>
  <c r="J291" i="7"/>
  <c r="J292" i="7"/>
  <c r="J293" i="7"/>
  <c r="J294" i="7"/>
  <c r="J285" i="7"/>
  <c r="J276" i="7"/>
  <c r="J277" i="7"/>
  <c r="J278" i="7"/>
  <c r="J279" i="7"/>
  <c r="J280" i="7"/>
  <c r="J281" i="7"/>
  <c r="J282" i="7"/>
  <c r="J283" i="7"/>
  <c r="J284" i="7"/>
  <c r="J275" i="7"/>
  <c r="J274" i="7"/>
  <c r="J267" i="7"/>
  <c r="J268" i="7"/>
  <c r="J269" i="7"/>
  <c r="J270" i="7"/>
  <c r="J271" i="7"/>
  <c r="J272" i="7"/>
  <c r="J273" i="7"/>
  <c r="J266" i="7"/>
  <c r="J257" i="7"/>
  <c r="J258" i="7"/>
  <c r="J259" i="7"/>
  <c r="J260" i="7"/>
  <c r="J261" i="7"/>
  <c r="J262" i="7"/>
  <c r="J263" i="7"/>
  <c r="J264" i="7"/>
  <c r="J265" i="7"/>
  <c r="J256" i="7"/>
  <c r="J247" i="7"/>
  <c r="J248" i="7"/>
  <c r="J249" i="7"/>
  <c r="J250" i="7"/>
  <c r="J251" i="7"/>
  <c r="J252" i="7"/>
  <c r="J253" i="7"/>
  <c r="J254" i="7"/>
  <c r="J255" i="7"/>
  <c r="J246" i="7"/>
  <c r="J237" i="7"/>
  <c r="J238" i="7"/>
  <c r="J239" i="7"/>
  <c r="J240" i="7"/>
  <c r="J241" i="7"/>
  <c r="J242" i="7"/>
  <c r="J243" i="7"/>
  <c r="J244" i="7"/>
  <c r="J245" i="7"/>
  <c r="J236" i="7"/>
  <c r="J227" i="7"/>
  <c r="J228" i="7"/>
  <c r="J229" i="7"/>
  <c r="J230" i="7"/>
  <c r="J231" i="7"/>
  <c r="J232" i="7"/>
  <c r="J233" i="7"/>
  <c r="J234" i="7"/>
  <c r="J235" i="7"/>
  <c r="J226" i="7"/>
  <c r="J218" i="7"/>
  <c r="J219" i="7"/>
  <c r="J220" i="7"/>
  <c r="J221" i="7"/>
  <c r="J222" i="7"/>
  <c r="J223" i="7"/>
  <c r="J224" i="7"/>
  <c r="J225" i="7"/>
  <c r="J217" i="7"/>
  <c r="J208" i="7"/>
  <c r="J209" i="7"/>
  <c r="J210" i="7"/>
  <c r="J211" i="7"/>
  <c r="J212" i="7"/>
  <c r="J213" i="7"/>
  <c r="J214" i="7"/>
  <c r="J215" i="7"/>
  <c r="J216" i="7"/>
  <c r="J207" i="7"/>
  <c r="J198" i="7"/>
  <c r="J199" i="7"/>
  <c r="J200" i="7"/>
  <c r="J201" i="7"/>
  <c r="J202" i="7"/>
  <c r="J203" i="7"/>
  <c r="J204" i="7"/>
  <c r="J205" i="7"/>
  <c r="J206" i="7"/>
  <c r="J197" i="7"/>
  <c r="J188" i="7"/>
  <c r="J189" i="7"/>
  <c r="J190" i="7"/>
  <c r="J191" i="7"/>
  <c r="J192" i="7"/>
  <c r="J193" i="7"/>
  <c r="J194" i="7"/>
  <c r="J195" i="7"/>
  <c r="J196" i="7"/>
  <c r="J187" i="7"/>
  <c r="J185" i="7"/>
  <c r="J178" i="7"/>
  <c r="J179" i="7"/>
  <c r="J180" i="7"/>
  <c r="J181" i="7"/>
  <c r="J182" i="7"/>
  <c r="J183" i="7"/>
  <c r="J184" i="7"/>
  <c r="J186" i="7"/>
  <c r="J177" i="7"/>
  <c r="J169" i="7"/>
  <c r="J170" i="7"/>
  <c r="J171" i="7"/>
  <c r="J172" i="7"/>
  <c r="J173" i="7"/>
  <c r="J174" i="7"/>
  <c r="J175" i="7"/>
  <c r="J176" i="7"/>
  <c r="J168" i="7"/>
  <c r="J159" i="7"/>
  <c r="J160" i="7"/>
  <c r="J161" i="7"/>
  <c r="J162" i="7"/>
  <c r="J163" i="7"/>
  <c r="J164" i="7"/>
  <c r="J165" i="7"/>
  <c r="J166" i="7"/>
  <c r="J167" i="7"/>
  <c r="J158" i="7"/>
  <c r="J149" i="7"/>
  <c r="J150" i="7"/>
  <c r="J151" i="7"/>
  <c r="J152" i="7"/>
  <c r="J153" i="7"/>
  <c r="J154" i="7"/>
  <c r="J155" i="7"/>
  <c r="J156" i="7"/>
  <c r="J157" i="7"/>
  <c r="J148" i="7"/>
  <c r="J139" i="7"/>
  <c r="J140" i="7"/>
  <c r="J141" i="7"/>
  <c r="J142" i="7"/>
  <c r="J143" i="7"/>
  <c r="J144" i="7"/>
  <c r="J145" i="7"/>
  <c r="J146" i="7"/>
  <c r="J147" i="7"/>
  <c r="J138" i="7"/>
  <c r="J129" i="7"/>
  <c r="J130" i="7"/>
  <c r="J131" i="7"/>
  <c r="J132" i="7"/>
  <c r="J133" i="7"/>
  <c r="J134" i="7"/>
  <c r="J135" i="7"/>
  <c r="J136" i="7"/>
  <c r="J137" i="7"/>
  <c r="J128" i="7"/>
  <c r="J120" i="7"/>
  <c r="J121" i="7"/>
  <c r="J122" i="7"/>
  <c r="J123" i="7"/>
  <c r="J124" i="7"/>
  <c r="J125" i="7"/>
  <c r="J126" i="7"/>
  <c r="J127" i="7"/>
  <c r="J119" i="7"/>
  <c r="J110" i="7"/>
  <c r="J111" i="7"/>
  <c r="J112" i="7"/>
  <c r="J113" i="7"/>
  <c r="J114" i="7"/>
  <c r="J115" i="7"/>
  <c r="J116" i="7"/>
  <c r="J117" i="7"/>
  <c r="J118" i="7"/>
  <c r="J109" i="7"/>
  <c r="J100" i="7"/>
  <c r="J101" i="7"/>
  <c r="J102" i="7"/>
  <c r="J103" i="7"/>
  <c r="J104" i="7"/>
  <c r="J105" i="7"/>
  <c r="J106" i="7"/>
  <c r="J107" i="7"/>
  <c r="J108" i="7"/>
  <c r="J99" i="7"/>
  <c r="J90" i="7"/>
  <c r="J91" i="7"/>
  <c r="J92" i="7"/>
  <c r="J93" i="7"/>
  <c r="J94" i="7"/>
  <c r="J95" i="7"/>
  <c r="J96" i="7"/>
  <c r="J97" i="7"/>
  <c r="J98" i="7"/>
  <c r="J89" i="7"/>
  <c r="J80" i="7"/>
  <c r="J81" i="7"/>
  <c r="J82" i="7"/>
  <c r="J83" i="7"/>
  <c r="J84" i="7"/>
  <c r="J85" i="7"/>
  <c r="J86" i="7"/>
  <c r="J87" i="7"/>
  <c r="J88" i="7"/>
  <c r="J79" i="7"/>
  <c r="J71" i="7"/>
  <c r="J72" i="7"/>
  <c r="J73" i="7"/>
  <c r="J74" i="7"/>
  <c r="J75" i="7"/>
  <c r="J76" i="7"/>
  <c r="J77" i="7"/>
  <c r="J78" i="7"/>
  <c r="J70" i="7"/>
  <c r="J61" i="7"/>
  <c r="J62" i="7"/>
  <c r="J63" i="7"/>
  <c r="J64" i="7"/>
  <c r="J65" i="7"/>
  <c r="J66" i="7"/>
  <c r="J67" i="7"/>
  <c r="J68" i="7"/>
  <c r="J69" i="7"/>
  <c r="J60" i="7"/>
  <c r="J51" i="7"/>
  <c r="J52" i="7"/>
  <c r="J53" i="7"/>
  <c r="J54" i="7"/>
  <c r="J55" i="7"/>
  <c r="J56" i="7"/>
  <c r="J57" i="7"/>
  <c r="J58" i="7"/>
  <c r="J59" i="7"/>
  <c r="J50" i="7"/>
  <c r="J41" i="7"/>
  <c r="J42" i="7"/>
  <c r="J43" i="7"/>
  <c r="J44" i="7"/>
  <c r="J45" i="7"/>
  <c r="J46" i="7"/>
  <c r="J47" i="7"/>
  <c r="J48" i="7"/>
  <c r="J49" i="7"/>
  <c r="J40" i="7"/>
  <c r="H31" i="7"/>
  <c r="J31" i="7" s="1"/>
  <c r="H32" i="7"/>
  <c r="J32" i="7" s="1"/>
  <c r="H33" i="7"/>
  <c r="J33" i="7" s="1"/>
  <c r="H34" i="7"/>
  <c r="J34" i="7" s="1"/>
  <c r="H35" i="7"/>
  <c r="J35" i="7" s="1"/>
  <c r="H36" i="7"/>
  <c r="J36" i="7" s="1"/>
  <c r="H37" i="7"/>
  <c r="J37" i="7" s="1"/>
  <c r="H38" i="7"/>
  <c r="J38" i="7" s="1"/>
  <c r="H39" i="7"/>
  <c r="J39" i="7" s="1"/>
  <c r="J30" i="7"/>
  <c r="K24" i="7" a="1"/>
  <c r="K24" i="7" s="1"/>
  <c r="J99" i="6"/>
  <c r="J100" i="6"/>
  <c r="J101" i="6"/>
  <c r="J102" i="6"/>
  <c r="J106" i="6"/>
  <c r="J98" i="6"/>
  <c r="J90" i="6"/>
  <c r="J91" i="6"/>
  <c r="J92" i="6"/>
  <c r="J93" i="6"/>
  <c r="J97" i="6"/>
  <c r="J89" i="6"/>
  <c r="J81" i="6"/>
  <c r="J82" i="6"/>
  <c r="J83" i="6"/>
  <c r="J84" i="6"/>
  <c r="J88" i="6"/>
  <c r="J80" i="6"/>
  <c r="J72" i="6"/>
  <c r="J73" i="6"/>
  <c r="J74" i="6"/>
  <c r="J75" i="6"/>
  <c r="J79" i="6"/>
  <c r="J71" i="6"/>
  <c r="J63" i="6"/>
  <c r="J64" i="6"/>
  <c r="J65" i="6"/>
  <c r="J66" i="6"/>
  <c r="J70" i="6"/>
  <c r="J62" i="6"/>
  <c r="J54" i="6"/>
  <c r="J55" i="6"/>
  <c r="J56" i="6"/>
  <c r="J57" i="6"/>
  <c r="J61" i="6"/>
  <c r="J53" i="6"/>
  <c r="J45" i="6"/>
  <c r="J46" i="6"/>
  <c r="J47" i="6"/>
  <c r="J48" i="6"/>
  <c r="J52" i="6"/>
  <c r="J43" i="6"/>
  <c r="J39" i="6"/>
  <c r="J38" i="6"/>
  <c r="J36" i="6"/>
  <c r="J37" i="6"/>
  <c r="J35" i="6"/>
  <c r="J27" i="6"/>
  <c r="J28" i="6"/>
  <c r="J29" i="6"/>
  <c r="J30" i="6"/>
  <c r="J34" i="6"/>
  <c r="H18" i="6"/>
  <c r="J18" i="6" s="1"/>
  <c r="J19" i="6"/>
  <c r="J20" i="6"/>
  <c r="J21" i="6"/>
  <c r="J25" i="6"/>
  <c r="J44" i="6"/>
  <c r="J26" i="6"/>
  <c r="J17" i="6"/>
  <c r="K14" i="6"/>
  <c r="J40" i="1"/>
  <c r="J41" i="1"/>
  <c r="J42" i="1"/>
  <c r="J39" i="1"/>
  <c r="J36" i="1"/>
  <c r="J37" i="1"/>
  <c r="J38" i="1"/>
  <c r="J35" i="1"/>
  <c r="J32" i="1"/>
  <c r="J33" i="1"/>
  <c r="J34" i="1"/>
  <c r="J31" i="1"/>
  <c r="J28" i="1"/>
  <c r="J29" i="1"/>
  <c r="J30" i="1"/>
  <c r="J27" i="1"/>
  <c r="J24" i="1"/>
  <c r="J25" i="1"/>
  <c r="J26" i="1"/>
  <c r="J23" i="1"/>
  <c r="J20" i="1"/>
  <c r="J21" i="1"/>
  <c r="J22" i="1"/>
  <c r="J19" i="1"/>
  <c r="J15" i="1"/>
  <c r="J16" i="1"/>
  <c r="J18" i="1"/>
  <c r="H14" i="1"/>
  <c r="J14" i="1" s="1"/>
  <c r="J44" i="5"/>
  <c r="J45" i="5"/>
  <c r="J46" i="5"/>
  <c r="J43" i="5"/>
  <c r="J41" i="5"/>
  <c r="J42" i="5"/>
  <c r="J39" i="5"/>
  <c r="J36" i="5"/>
  <c r="J37" i="5"/>
  <c r="J38" i="5"/>
  <c r="J35" i="5"/>
  <c r="J32" i="5"/>
  <c r="J33" i="5"/>
  <c r="J34" i="5"/>
  <c r="J31" i="5"/>
  <c r="J28" i="5"/>
  <c r="J29" i="5"/>
  <c r="J30" i="5"/>
  <c r="J27" i="5"/>
  <c r="J24" i="5"/>
  <c r="J25" i="5"/>
  <c r="J23" i="5"/>
  <c r="J20" i="5"/>
  <c r="J21" i="5"/>
  <c r="J22" i="5"/>
  <c r="J19" i="5"/>
  <c r="J16" i="5"/>
  <c r="J17" i="5"/>
  <c r="J18" i="5"/>
  <c r="J15" i="5"/>
  <c r="N920" i="13" l="1"/>
  <c r="L129" i="14"/>
  <c r="L237" i="14"/>
  <c r="L266" i="14"/>
  <c r="L100" i="14"/>
  <c r="L178" i="14"/>
  <c r="L208" i="14"/>
  <c r="L286" i="14"/>
  <c r="L315" i="14"/>
  <c r="L159" i="14"/>
  <c r="L41" i="14"/>
  <c r="L70" i="14"/>
  <c r="L149" i="14"/>
  <c r="L227" i="14"/>
  <c r="L257" i="14"/>
  <c r="L90" i="14"/>
  <c r="L119" i="14"/>
  <c r="L198" i="14"/>
  <c r="L276" i="14"/>
  <c r="L306" i="14"/>
  <c r="L51" i="14"/>
  <c r="L31" i="14"/>
  <c r="L61" i="14"/>
  <c r="L139" i="14"/>
  <c r="L168" i="14"/>
  <c r="L247" i="14"/>
  <c r="L80" i="14"/>
  <c r="L110" i="14"/>
  <c r="L188" i="14"/>
  <c r="L217" i="14"/>
  <c r="L296" i="14"/>
  <c r="L392" i="7"/>
  <c r="L127" i="7"/>
  <c r="L206" i="7"/>
  <c r="L314" i="7"/>
  <c r="L284" i="7"/>
  <c r="L69" i="7"/>
  <c r="L147" i="7"/>
  <c r="L255" i="7"/>
  <c r="L88" i="7"/>
  <c r="L118" i="7"/>
  <c r="L196" i="7"/>
  <c r="L225" i="7"/>
  <c r="L304" i="7"/>
  <c r="L382" i="7"/>
  <c r="L59" i="7"/>
  <c r="L137" i="7"/>
  <c r="L167" i="7"/>
  <c r="L245" i="7"/>
  <c r="L274" i="7"/>
  <c r="L353" i="7"/>
  <c r="L98" i="7"/>
  <c r="L39" i="7"/>
  <c r="L176" i="7"/>
  <c r="L363" i="7"/>
  <c r="L108" i="7"/>
  <c r="L186" i="7"/>
  <c r="L216" i="7"/>
  <c r="L294" i="7"/>
  <c r="L323" i="7"/>
  <c r="L333" i="7"/>
  <c r="L49" i="7"/>
  <c r="L78" i="7"/>
  <c r="L157" i="7"/>
  <c r="L235" i="7"/>
  <c r="L265" i="7"/>
  <c r="L343" i="7"/>
  <c r="L372" i="7"/>
  <c r="L518" i="13"/>
  <c r="L104" i="13"/>
  <c r="L97" i="6"/>
  <c r="L61" i="6"/>
  <c r="L88" i="6"/>
  <c r="L79" i="6"/>
  <c r="L70" i="6"/>
  <c r="L106" i="6"/>
  <c r="L52" i="6"/>
  <c r="L34" i="6"/>
  <c r="L25" i="6"/>
  <c r="L43" i="6"/>
  <c r="L26" i="5"/>
  <c r="L38" i="5"/>
  <c r="L34" i="5"/>
  <c r="L46" i="5"/>
  <c r="L22" i="5"/>
  <c r="L18" i="5"/>
  <c r="L30" i="5"/>
  <c r="L42" i="5"/>
  <c r="L569" i="13"/>
  <c r="L18" i="1"/>
  <c r="L30" i="1"/>
  <c r="L42" i="1"/>
  <c r="L38" i="1"/>
  <c r="L26" i="1"/>
  <c r="L22" i="1"/>
  <c r="L34" i="1"/>
  <c r="L621" i="13"/>
  <c r="L208" i="13"/>
  <c r="L259" i="13"/>
  <c r="L311" i="13"/>
  <c r="L156" i="13"/>
  <c r="L363" i="13"/>
  <c r="L414" i="13"/>
  <c r="L466" i="13"/>
  <c r="L53" i="13"/>
  <c r="J107" i="6"/>
  <c r="N152" i="13" l="1"/>
  <c r="N153" i="13" s="1"/>
  <c r="N307" i="13"/>
  <c r="N308" i="13" s="1"/>
  <c r="N462" i="13"/>
  <c r="N463" i="13" s="1"/>
  <c r="N464" i="13" s="1"/>
  <c r="N466" i="13" s="1"/>
  <c r="N617" i="13"/>
  <c r="N618" i="13" s="1"/>
  <c r="N309" i="13" l="1"/>
  <c r="N311" i="13" s="1"/>
  <c r="N619" i="13"/>
  <c r="N621" i="13" s="1"/>
  <c r="N154" i="13"/>
  <c r="N156" i="13" s="1"/>
</calcChain>
</file>

<file path=xl/comments1.xml><?xml version="1.0" encoding="utf-8"?>
<comments xmlns="http://schemas.openxmlformats.org/spreadsheetml/2006/main">
  <authors>
    <author>이지훈</author>
  </authors>
  <commentList>
    <comment ref="I29" authorId="0" shapeId="0">
      <text>
        <r>
          <rPr>
            <b/>
            <sz val="9"/>
            <color indexed="81"/>
            <rFont val="Tahoma"/>
            <family val="2"/>
          </rPr>
          <t>=103,498/70=85EA
      1,218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>/EA</t>
        </r>
      </text>
    </comment>
    <comment ref="I84" authorId="0" shapeId="0">
      <text>
        <r>
          <rPr>
            <b/>
            <sz val="9"/>
            <color indexed="81"/>
            <rFont val="Tahoma"/>
            <family val="2"/>
          </rPr>
          <t>=103,498/70=85EA
      1,218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>/EA</t>
        </r>
      </text>
    </comment>
    <comment ref="I159" authorId="0" shapeId="0">
      <text>
        <r>
          <rPr>
            <b/>
            <sz val="9"/>
            <color indexed="81"/>
            <rFont val="Tahoma"/>
            <family val="2"/>
          </rPr>
          <t>=103,498/70=85EA
      1,218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>/EA</t>
        </r>
      </text>
    </comment>
    <comment ref="I229" authorId="0" shapeId="0">
      <text>
        <r>
          <rPr>
            <b/>
            <sz val="9"/>
            <color indexed="81"/>
            <rFont val="Tahoma"/>
            <family val="2"/>
          </rPr>
          <t>=103,498/70=85EA
      1,218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>/EA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<sst xmlns="http://schemas.openxmlformats.org/spreadsheetml/2006/main" count="20114" uniqueCount="1810">
  <si>
    <t>식별번호</t>
    <phoneticPr fontId="1" type="noConversion"/>
  </si>
  <si>
    <t>MT-SLC-075</t>
    <phoneticPr fontId="1" type="noConversion"/>
  </si>
  <si>
    <t>MT-SLC-100</t>
    <phoneticPr fontId="1" type="noConversion"/>
  </si>
  <si>
    <t>MT-SLC-125</t>
    <phoneticPr fontId="1" type="noConversion"/>
  </si>
  <si>
    <t>MT-ML-100</t>
    <phoneticPr fontId="1" type="noConversion"/>
  </si>
  <si>
    <t>MT-ML-125</t>
    <phoneticPr fontId="1" type="noConversion"/>
  </si>
  <si>
    <t>MT-ML-150</t>
    <phoneticPr fontId="1" type="noConversion"/>
  </si>
  <si>
    <t>MT-SLC-150</t>
    <phoneticPr fontId="1" type="noConversion"/>
  </si>
  <si>
    <t>2349-8982</t>
    <phoneticPr fontId="1" type="noConversion"/>
  </si>
  <si>
    <t>2349-8983</t>
    <phoneticPr fontId="1" type="noConversion"/>
  </si>
  <si>
    <t>2349-8984</t>
    <phoneticPr fontId="1" type="noConversion"/>
  </si>
  <si>
    <t>2349-8985</t>
    <phoneticPr fontId="1" type="noConversion"/>
  </si>
  <si>
    <t>2328-2786</t>
    <phoneticPr fontId="1" type="noConversion"/>
  </si>
  <si>
    <t>2328-2787</t>
  </si>
  <si>
    <t>2328-2788</t>
  </si>
  <si>
    <t>MT-SLC-030</t>
    <phoneticPr fontId="1" type="noConversion"/>
  </si>
  <si>
    <t>MT-SLC-040</t>
    <phoneticPr fontId="1" type="noConversion"/>
  </si>
  <si>
    <t>MT-SLC-050</t>
    <phoneticPr fontId="1" type="noConversion"/>
  </si>
  <si>
    <t>MT-SLC-060</t>
    <phoneticPr fontId="1" type="noConversion"/>
  </si>
  <si>
    <t>2349-8978</t>
    <phoneticPr fontId="1" type="noConversion"/>
  </si>
  <si>
    <t>2349-8979</t>
  </si>
  <si>
    <t>2349-8980</t>
  </si>
  <si>
    <t>2349-8981</t>
  </si>
  <si>
    <t>MT-ML-030</t>
    <phoneticPr fontId="1" type="noConversion"/>
  </si>
  <si>
    <t>MT-ML-040</t>
    <phoneticPr fontId="1" type="noConversion"/>
  </si>
  <si>
    <t>MT-ML-050</t>
    <phoneticPr fontId="1" type="noConversion"/>
  </si>
  <si>
    <t>MT-ML-060</t>
    <phoneticPr fontId="1" type="noConversion"/>
  </si>
  <si>
    <t>2333-2224</t>
    <phoneticPr fontId="1" type="noConversion"/>
  </si>
  <si>
    <t>2333-2225</t>
  </si>
  <si>
    <t>2328-2785</t>
    <phoneticPr fontId="1" type="noConversion"/>
  </si>
  <si>
    <t>2333-2226</t>
    <phoneticPr fontId="1" type="noConversion"/>
  </si>
  <si>
    <t>MT-TL-050</t>
    <phoneticPr fontId="1" type="noConversion"/>
  </si>
  <si>
    <t>2333-2231</t>
    <phoneticPr fontId="1" type="noConversion"/>
  </si>
  <si>
    <t>2333-2232</t>
  </si>
  <si>
    <t>MT-TL-075</t>
    <phoneticPr fontId="1" type="noConversion"/>
  </si>
  <si>
    <t>2333-2233</t>
  </si>
  <si>
    <t>MT-TL-100</t>
    <phoneticPr fontId="1" type="noConversion"/>
  </si>
  <si>
    <t>MT-TL-150</t>
    <phoneticPr fontId="1" type="noConversion"/>
  </si>
  <si>
    <t>MT-TL-200</t>
    <phoneticPr fontId="1" type="noConversion"/>
  </si>
  <si>
    <t>2333-2234</t>
  </si>
  <si>
    <t>2333-2235</t>
  </si>
  <si>
    <t>MT-TLC-050</t>
    <phoneticPr fontId="1" type="noConversion"/>
  </si>
  <si>
    <t>MT-TLC-075</t>
    <phoneticPr fontId="1" type="noConversion"/>
  </si>
  <si>
    <t>MT-TLC-100</t>
    <phoneticPr fontId="1" type="noConversion"/>
  </si>
  <si>
    <t>MT-TLC-150</t>
    <phoneticPr fontId="1" type="noConversion"/>
  </si>
  <si>
    <t>MT-TLC-200</t>
    <phoneticPr fontId="1" type="noConversion"/>
  </si>
  <si>
    <t>2349-8986</t>
    <phoneticPr fontId="1" type="noConversion"/>
  </si>
  <si>
    <t>2349-8987</t>
  </si>
  <si>
    <t>2349-8988</t>
  </si>
  <si>
    <t>2349-8989</t>
  </si>
  <si>
    <t>2349-8990</t>
  </si>
  <si>
    <t>MT-VS</t>
    <phoneticPr fontId="1" type="noConversion"/>
  </si>
  <si>
    <t>MT-VM</t>
    <phoneticPr fontId="1" type="noConversion"/>
  </si>
  <si>
    <t>MT-VB</t>
    <phoneticPr fontId="1" type="noConversion"/>
  </si>
  <si>
    <t>2300-3466</t>
    <phoneticPr fontId="1" type="noConversion"/>
  </si>
  <si>
    <t>2300-3465</t>
    <phoneticPr fontId="1" type="noConversion"/>
  </si>
  <si>
    <t>2300-3464</t>
    <phoneticPr fontId="1" type="noConversion"/>
  </si>
  <si>
    <t>2334-5146</t>
    <phoneticPr fontId="1" type="noConversion"/>
  </si>
  <si>
    <t>2296-2442</t>
    <phoneticPr fontId="1" type="noConversion"/>
  </si>
  <si>
    <t>2365-0905</t>
  </si>
  <si>
    <t>2333-8350</t>
  </si>
  <si>
    <t>2334-5159</t>
    <phoneticPr fontId="1" type="noConversion"/>
  </si>
  <si>
    <t>2292-4176</t>
    <phoneticPr fontId="1" type="noConversion"/>
  </si>
  <si>
    <t>2373-1456</t>
    <phoneticPr fontId="1" type="noConversion"/>
  </si>
  <si>
    <t>2292-3602</t>
    <phoneticPr fontId="1" type="noConversion"/>
  </si>
  <si>
    <t>2373-1457</t>
    <phoneticPr fontId="1" type="noConversion"/>
  </si>
  <si>
    <t>2281-6473</t>
  </si>
  <si>
    <t>2281-6393</t>
  </si>
  <si>
    <t>2296-2443</t>
    <phoneticPr fontId="1" type="noConversion"/>
  </si>
  <si>
    <t>2373-1458</t>
    <phoneticPr fontId="1" type="noConversion"/>
  </si>
  <si>
    <t>2373-1459</t>
    <phoneticPr fontId="1" type="noConversion"/>
  </si>
  <si>
    <t>2296-2444</t>
  </si>
  <si>
    <t>2296-2444</t>
    <phoneticPr fontId="1" type="noConversion"/>
  </si>
  <si>
    <t>2281-6394</t>
  </si>
  <si>
    <t>2281-6395</t>
  </si>
  <si>
    <t>2296-2445</t>
    <phoneticPr fontId="1" type="noConversion"/>
  </si>
  <si>
    <t>STA-1000</t>
    <phoneticPr fontId="1" type="noConversion"/>
  </si>
  <si>
    <t>STA-1200</t>
    <phoneticPr fontId="1" type="noConversion"/>
  </si>
  <si>
    <t>STA-1500</t>
    <phoneticPr fontId="1" type="noConversion"/>
  </si>
  <si>
    <t>비고</t>
    <phoneticPr fontId="1" type="noConversion"/>
  </si>
  <si>
    <t>No</t>
    <phoneticPr fontId="1" type="noConversion"/>
  </si>
  <si>
    <t>ML-하우징-S</t>
  </si>
  <si>
    <t>MT-ML-모듈-01</t>
  </si>
  <si>
    <t>원수</t>
    <phoneticPr fontId="1" type="noConversion"/>
  </si>
  <si>
    <t>부품업체</t>
    <phoneticPr fontId="1" type="noConversion"/>
  </si>
  <si>
    <t>단가</t>
    <phoneticPr fontId="1" type="noConversion"/>
  </si>
  <si>
    <t>2분배기</t>
  </si>
  <si>
    <t>HLG-80H-36A</t>
  </si>
  <si>
    <t>4분배기</t>
  </si>
  <si>
    <t>HLG-150H-36A</t>
  </si>
  <si>
    <t>ML-하우징-L</t>
  </si>
  <si>
    <t>5분배기</t>
  </si>
  <si>
    <t>6분배기</t>
  </si>
  <si>
    <t>누전차단기</t>
  </si>
  <si>
    <t>터널등속판</t>
  </si>
  <si>
    <t>터널등하우징-S</t>
  </si>
  <si>
    <t>MT-TL-모듈-01</t>
  </si>
  <si>
    <t>3분배기</t>
  </si>
  <si>
    <t>HLG-100H-36A</t>
  </si>
  <si>
    <t>터널등하우징-L</t>
  </si>
  <si>
    <t>HLG-185H-36A</t>
  </si>
  <si>
    <t>HLG-240H-36A</t>
  </si>
  <si>
    <t>MT-TLC-모듈-01</t>
  </si>
  <si>
    <t>품목코드</t>
    <phoneticPr fontId="1" type="noConversion"/>
  </si>
  <si>
    <t>품목명</t>
    <phoneticPr fontId="1" type="noConversion"/>
  </si>
  <si>
    <t>HLG-240H-48A</t>
  </si>
  <si>
    <t>200 하우징</t>
  </si>
  <si>
    <t>20도 렌즈</t>
  </si>
  <si>
    <t>ø255 유리</t>
  </si>
  <si>
    <t>ø255 링</t>
  </si>
  <si>
    <t>케이블그랜드-PG13.5</t>
  </si>
  <si>
    <t>박스-460×460×460</t>
  </si>
  <si>
    <t>PCB-200-57</t>
  </si>
  <si>
    <t>SPD-20-240P</t>
  </si>
  <si>
    <t>30도 렌즈</t>
  </si>
  <si>
    <t>45도 렌즈</t>
  </si>
  <si>
    <t>60도 렌즈</t>
  </si>
  <si>
    <t>BATOO-200-120</t>
    <phoneticPr fontId="1" type="noConversion"/>
  </si>
  <si>
    <t>HLG-320H-48A</t>
  </si>
  <si>
    <t>400S 하우징</t>
  </si>
  <si>
    <t>ø354 링 (시보리)</t>
  </si>
  <si>
    <t>PCB-300-57</t>
  </si>
  <si>
    <t>BATOO-300-120</t>
    <phoneticPr fontId="1" type="noConversion"/>
  </si>
  <si>
    <t>600 하우징</t>
  </si>
  <si>
    <t>ø354 유리</t>
  </si>
  <si>
    <t>ø354 링</t>
  </si>
  <si>
    <t>BATOO-400-120</t>
    <phoneticPr fontId="1" type="noConversion"/>
  </si>
  <si>
    <t>BATOO-600-120</t>
    <phoneticPr fontId="1" type="noConversion"/>
  </si>
  <si>
    <t>PCB-600-57</t>
  </si>
  <si>
    <t>BATOO-800-120</t>
    <phoneticPr fontId="1" type="noConversion"/>
  </si>
  <si>
    <t>ø475 유리</t>
  </si>
  <si>
    <t>ø475 링</t>
  </si>
  <si>
    <t>케이블그랜드-PG21</t>
  </si>
  <si>
    <t>박스-500×500×500</t>
  </si>
  <si>
    <t>PCB-800-57</t>
  </si>
  <si>
    <t>BATOO-1000-120</t>
    <phoneticPr fontId="1" type="noConversion"/>
  </si>
  <si>
    <t>PCB-1000-57</t>
  </si>
  <si>
    <t>BATOO-1200-120</t>
    <phoneticPr fontId="1" type="noConversion"/>
  </si>
  <si>
    <t>PCB-1200-57</t>
  </si>
  <si>
    <t>BATOO-X400-120</t>
    <phoneticPr fontId="1" type="noConversion"/>
  </si>
  <si>
    <t>X400 하우징</t>
  </si>
  <si>
    <t>BATOO-200-020</t>
    <phoneticPr fontId="1" type="noConversion"/>
  </si>
  <si>
    <t>완제품코드</t>
    <phoneticPr fontId="1" type="noConversion"/>
  </si>
  <si>
    <t>BATOO-200-030</t>
    <phoneticPr fontId="1" type="noConversion"/>
  </si>
  <si>
    <t>ARENA-400-광각</t>
    <phoneticPr fontId="1" type="noConversion"/>
  </si>
  <si>
    <t>BATOO-200-045</t>
    <phoneticPr fontId="1" type="noConversion"/>
  </si>
  <si>
    <t>BATOO-200-060</t>
    <phoneticPr fontId="1" type="noConversion"/>
  </si>
  <si>
    <t>BATOO-300-020</t>
    <phoneticPr fontId="1" type="noConversion"/>
  </si>
  <si>
    <t>BATOO-300-030</t>
    <phoneticPr fontId="1" type="noConversion"/>
  </si>
  <si>
    <t>BATOO-300-045</t>
    <phoneticPr fontId="1" type="noConversion"/>
  </si>
  <si>
    <t>BATOO-300-060</t>
    <phoneticPr fontId="1" type="noConversion"/>
  </si>
  <si>
    <t>BATOO-400-020</t>
    <phoneticPr fontId="1" type="noConversion"/>
  </si>
  <si>
    <t>BATOO-400-030</t>
    <phoneticPr fontId="1" type="noConversion"/>
  </si>
  <si>
    <t>BATOO-400-045</t>
    <phoneticPr fontId="1" type="noConversion"/>
  </si>
  <si>
    <t>BATOO-400-060</t>
    <phoneticPr fontId="1" type="noConversion"/>
  </si>
  <si>
    <t>BATOO-600-020</t>
    <phoneticPr fontId="1" type="noConversion"/>
  </si>
  <si>
    <t>BATOO-600-030</t>
    <phoneticPr fontId="1" type="noConversion"/>
  </si>
  <si>
    <t>BATOO-600-045</t>
    <phoneticPr fontId="1" type="noConversion"/>
  </si>
  <si>
    <t>BATOO-600-060</t>
    <phoneticPr fontId="1" type="noConversion"/>
  </si>
  <si>
    <t>BATOO-800-020</t>
    <phoneticPr fontId="1" type="noConversion"/>
  </si>
  <si>
    <t>BATOO-800-030</t>
    <phoneticPr fontId="1" type="noConversion"/>
  </si>
  <si>
    <t>BATOO-800-045</t>
    <phoneticPr fontId="1" type="noConversion"/>
  </si>
  <si>
    <t>BATOO-800-060</t>
    <phoneticPr fontId="1" type="noConversion"/>
  </si>
  <si>
    <t>BATOO-1000-020</t>
    <phoneticPr fontId="1" type="noConversion"/>
  </si>
  <si>
    <t>BATOO-1000-030</t>
    <phoneticPr fontId="1" type="noConversion"/>
  </si>
  <si>
    <t>BATOO-1000-045</t>
    <phoneticPr fontId="1" type="noConversion"/>
  </si>
  <si>
    <t>BATOO-1000-060</t>
    <phoneticPr fontId="1" type="noConversion"/>
  </si>
  <si>
    <t>BATOO-1200-020</t>
    <phoneticPr fontId="1" type="noConversion"/>
  </si>
  <si>
    <t>BATOO-1200-030</t>
    <phoneticPr fontId="1" type="noConversion"/>
  </si>
  <si>
    <t>BATOO-1200-045</t>
    <phoneticPr fontId="1" type="noConversion"/>
  </si>
  <si>
    <t>BATOO-1200-060</t>
    <phoneticPr fontId="1" type="noConversion"/>
  </si>
  <si>
    <t>BATOO-X400-020</t>
    <phoneticPr fontId="1" type="noConversion"/>
  </si>
  <si>
    <t>BATOO-X400-030</t>
    <phoneticPr fontId="1" type="noConversion"/>
  </si>
  <si>
    <t>BATOO-X400-045</t>
    <phoneticPr fontId="1" type="noConversion"/>
  </si>
  <si>
    <t>BATOO-X400-060</t>
    <phoneticPr fontId="1" type="noConversion"/>
  </si>
  <si>
    <t>ARENA-400-광각(3K)</t>
    <phoneticPr fontId="1" type="noConversion"/>
  </si>
  <si>
    <t>ARENA-400-중각</t>
    <phoneticPr fontId="1" type="noConversion"/>
  </si>
  <si>
    <t>ARENA-400-중각(3K)</t>
    <phoneticPr fontId="1" type="noConversion"/>
  </si>
  <si>
    <t>ARENA-400-협각</t>
    <phoneticPr fontId="1" type="noConversion"/>
  </si>
  <si>
    <t>ARENA-400-협각(3K)</t>
    <phoneticPr fontId="1" type="noConversion"/>
  </si>
  <si>
    <t>ARENA-500-광각</t>
    <phoneticPr fontId="1" type="noConversion"/>
  </si>
  <si>
    <t>ARENA-500-광각(3K)</t>
    <phoneticPr fontId="1" type="noConversion"/>
  </si>
  <si>
    <t>ARENA-500-중각</t>
    <phoneticPr fontId="1" type="noConversion"/>
  </si>
  <si>
    <t>ARENA-500-중각(3K)</t>
    <phoneticPr fontId="1" type="noConversion"/>
  </si>
  <si>
    <t>ARENA-500-협각</t>
    <phoneticPr fontId="1" type="noConversion"/>
  </si>
  <si>
    <t>ARENA-500-협각(3K)</t>
    <phoneticPr fontId="1" type="noConversion"/>
  </si>
  <si>
    <t>ARENA-600-광각</t>
    <phoneticPr fontId="1" type="noConversion"/>
  </si>
  <si>
    <t>ARENA-600-광각(3K)</t>
    <phoneticPr fontId="1" type="noConversion"/>
  </si>
  <si>
    <t>ARENA-600-중각</t>
    <phoneticPr fontId="1" type="noConversion"/>
  </si>
  <si>
    <t>ARENA-600-중각(3K)</t>
    <phoneticPr fontId="1" type="noConversion"/>
  </si>
  <si>
    <t>ARENA-600-협각</t>
    <phoneticPr fontId="1" type="noConversion"/>
  </si>
  <si>
    <t>ARENA-600-협각(3K)</t>
    <phoneticPr fontId="1" type="noConversion"/>
  </si>
  <si>
    <t>ARENA-800-광각</t>
    <phoneticPr fontId="1" type="noConversion"/>
  </si>
  <si>
    <t>HLG-480H-48A</t>
  </si>
  <si>
    <t>ARENA-800-광각(3K)</t>
    <phoneticPr fontId="1" type="noConversion"/>
  </si>
  <si>
    <t>ARENA-800-중각(3K)</t>
    <phoneticPr fontId="1" type="noConversion"/>
  </si>
  <si>
    <t>ARENA-800-중각</t>
    <phoneticPr fontId="1" type="noConversion"/>
  </si>
  <si>
    <t>ARENA-800-협각(3K)</t>
    <phoneticPr fontId="1" type="noConversion"/>
  </si>
  <si>
    <t>ARENA-800-협각</t>
    <phoneticPr fontId="1" type="noConversion"/>
  </si>
  <si>
    <t>MT-FL-1000A-020</t>
    <phoneticPr fontId="1" type="noConversion"/>
  </si>
  <si>
    <t>MT-FL-1000A-030</t>
    <phoneticPr fontId="1" type="noConversion"/>
  </si>
  <si>
    <t>MT-FL-1000A-045</t>
    <phoneticPr fontId="1" type="noConversion"/>
  </si>
  <si>
    <t>MT-FL-1000A-060</t>
    <phoneticPr fontId="1" type="noConversion"/>
  </si>
  <si>
    <t>MT-FL-1000A-120</t>
    <phoneticPr fontId="1" type="noConversion"/>
  </si>
  <si>
    <t>MT-FL-1200A-020</t>
    <phoneticPr fontId="1" type="noConversion"/>
  </si>
  <si>
    <t>MT-FL-1200A-030</t>
    <phoneticPr fontId="1" type="noConversion"/>
  </si>
  <si>
    <t>MT-FL-1200A-045</t>
    <phoneticPr fontId="1" type="noConversion"/>
  </si>
  <si>
    <t>MT-FL-1200A-060</t>
    <phoneticPr fontId="1" type="noConversion"/>
  </si>
  <si>
    <t>MT-FL-1200A-120</t>
    <phoneticPr fontId="1" type="noConversion"/>
  </si>
  <si>
    <t>MT-FL-300A-020</t>
    <phoneticPr fontId="1" type="noConversion"/>
  </si>
  <si>
    <t>MT-FL-300A-030</t>
    <phoneticPr fontId="1" type="noConversion"/>
  </si>
  <si>
    <t>MT-FL-300A-045</t>
    <phoneticPr fontId="1" type="noConversion"/>
  </si>
  <si>
    <t>MT-FL-300A-060</t>
    <phoneticPr fontId="1" type="noConversion"/>
  </si>
  <si>
    <t>MT-FL-300A-120</t>
    <phoneticPr fontId="1" type="noConversion"/>
  </si>
  <si>
    <t>MT-FL-400S-020</t>
    <phoneticPr fontId="1" type="noConversion"/>
  </si>
  <si>
    <t>MT-FL-400S-030</t>
    <phoneticPr fontId="1" type="noConversion"/>
  </si>
  <si>
    <t>MT-FL-400S-045</t>
    <phoneticPr fontId="1" type="noConversion"/>
  </si>
  <si>
    <t>MT-FL-400S-060</t>
    <phoneticPr fontId="1" type="noConversion"/>
  </si>
  <si>
    <t>MT-FL-400S-120</t>
    <phoneticPr fontId="1" type="noConversion"/>
  </si>
  <si>
    <t>PCB-400A-57</t>
  </si>
  <si>
    <t>MT-FL-600A-020</t>
    <phoneticPr fontId="1" type="noConversion"/>
  </si>
  <si>
    <t>MT-FL-600A-030</t>
    <phoneticPr fontId="1" type="noConversion"/>
  </si>
  <si>
    <t>MT-FL-600A-045</t>
    <phoneticPr fontId="1" type="noConversion"/>
  </si>
  <si>
    <t>MT-FL-600A-060</t>
    <phoneticPr fontId="1" type="noConversion"/>
  </si>
  <si>
    <t>MT-FL-600A-120</t>
    <phoneticPr fontId="1" type="noConversion"/>
  </si>
  <si>
    <t>MT-FL-800A-020</t>
    <phoneticPr fontId="1" type="noConversion"/>
  </si>
  <si>
    <t>MT-FL-800A-030</t>
    <phoneticPr fontId="1" type="noConversion"/>
  </si>
  <si>
    <t>MT-FL-800A-045</t>
    <phoneticPr fontId="1" type="noConversion"/>
  </si>
  <si>
    <t>MT-FL-800A-060</t>
    <phoneticPr fontId="1" type="noConversion"/>
  </si>
  <si>
    <t>MT-FL-800A-120</t>
    <phoneticPr fontId="1" type="noConversion"/>
  </si>
  <si>
    <t>컨버터</t>
    <phoneticPr fontId="1" type="noConversion"/>
  </si>
  <si>
    <t>METAL PCB 1.6T</t>
    <phoneticPr fontId="1" type="noConversion"/>
  </si>
  <si>
    <t>커버, 강화유리, 4T</t>
    <phoneticPr fontId="1" type="noConversion"/>
  </si>
  <si>
    <t>MTT</t>
    <phoneticPr fontId="1" type="noConversion"/>
  </si>
  <si>
    <t>2407-8350</t>
  </si>
  <si>
    <t>매그나텍</t>
    <phoneticPr fontId="1" type="noConversion"/>
  </si>
  <si>
    <t>200 하우징</t>
    <phoneticPr fontId="1" type="noConversion"/>
  </si>
  <si>
    <t>3분배기</t>
    <phoneticPr fontId="1" type="noConversion"/>
  </si>
  <si>
    <t>외함</t>
    <phoneticPr fontId="1" type="noConversion"/>
  </si>
  <si>
    <t>㈜창성씨앤엘</t>
    <phoneticPr fontId="1" type="noConversion"/>
  </si>
  <si>
    <t>Mean Well</t>
  </si>
  <si>
    <t>창성씨앤엘</t>
  </si>
  <si>
    <t>창성씨앤엘</t>
    <phoneticPr fontId="1" type="noConversion"/>
  </si>
  <si>
    <t>3.0T AL , 534x415x107</t>
  </si>
  <si>
    <t>3.0T AL , 534x415x107</t>
    <phoneticPr fontId="1" type="noConversion"/>
  </si>
  <si>
    <t>3.0T AL , 710x415x107</t>
  </si>
  <si>
    <t>3.0T AL , 710x415x107</t>
    <phoneticPr fontId="1" type="noConversion"/>
  </si>
  <si>
    <t>2.0T, 350x150, 눈부심방지장치</t>
    <phoneticPr fontId="1" type="noConversion"/>
  </si>
  <si>
    <t>2.0T, 354x200, 눈부심방지장치</t>
    <phoneticPr fontId="1" type="noConversion"/>
  </si>
  <si>
    <t>2.0T, 475x200, 눈부심방지장치</t>
    <phoneticPr fontId="1" type="noConversion"/>
  </si>
  <si>
    <t>대진다이캐스팅</t>
    <phoneticPr fontId="1" type="noConversion"/>
  </si>
  <si>
    <t>Any Casting</t>
    <phoneticPr fontId="1" type="noConversion"/>
  </si>
  <si>
    <t>Black</t>
    <phoneticPr fontId="1" type="noConversion"/>
  </si>
  <si>
    <t>Black(시보리: 베이지)</t>
    <phoneticPr fontId="1" type="noConversion"/>
  </si>
  <si>
    <t>소요량</t>
  </si>
  <si>
    <t>소요량</t>
    <phoneticPr fontId="1" type="noConversion"/>
  </si>
  <si>
    <t>재료비</t>
    <phoneticPr fontId="1" type="noConversion"/>
  </si>
  <si>
    <t>품명</t>
    <phoneticPr fontId="1" type="noConversion"/>
  </si>
  <si>
    <t>수량</t>
    <phoneticPr fontId="1" type="noConversion"/>
  </si>
  <si>
    <t>MT-SLC-075</t>
  </si>
  <si>
    <t>MT-SLC-100</t>
  </si>
  <si>
    <t>MT-SLC-125</t>
  </si>
  <si>
    <t>MT-ML-100</t>
  </si>
  <si>
    <t>MT-ML-125</t>
  </si>
  <si>
    <t>MT-ML-150</t>
  </si>
  <si>
    <t>TTL</t>
    <phoneticPr fontId="1" type="noConversion"/>
  </si>
  <si>
    <t>재료비</t>
  </si>
  <si>
    <t>단가</t>
  </si>
  <si>
    <t>MT-ML-030</t>
  </si>
  <si>
    <t>MT-ML-040</t>
  </si>
  <si>
    <t>MT-ML-050</t>
  </si>
  <si>
    <t>MT-ML-060</t>
  </si>
  <si>
    <t>MT-SLC-030</t>
  </si>
  <si>
    <t>MT-SLC-040</t>
  </si>
  <si>
    <t>MT-SLC-050</t>
  </si>
  <si>
    <t>MT-SLC-060</t>
  </si>
  <si>
    <t>MT-TL-050</t>
  </si>
  <si>
    <t>MT-TL-075</t>
  </si>
  <si>
    <t>MT-TL-100</t>
  </si>
  <si>
    <t>MT-TL-150</t>
  </si>
  <si>
    <t>MT-TL-200</t>
  </si>
  <si>
    <t>MT-TLC-050</t>
  </si>
  <si>
    <t>MT-TLC-075</t>
  </si>
  <si>
    <t>MT-TLC-100</t>
  </si>
  <si>
    <t>MT-TLC-150</t>
  </si>
  <si>
    <t>MT-TLC-200</t>
  </si>
  <si>
    <t>BATOO-200-020</t>
  </si>
  <si>
    <t>BATOO-200-030</t>
  </si>
  <si>
    <t>BATOO-200-045</t>
  </si>
  <si>
    <t>BATOO-200-060</t>
  </si>
  <si>
    <t>BATOO-200-120</t>
  </si>
  <si>
    <t>MT-FL-300A-020</t>
  </si>
  <si>
    <t>MT-FL-300A-030</t>
  </si>
  <si>
    <t>MT-FL-300A-045</t>
  </si>
  <si>
    <t>MT-FL-300A-060</t>
  </si>
  <si>
    <t>MT-FL-300A-120</t>
  </si>
  <si>
    <t>MT-FL-400S-020</t>
  </si>
  <si>
    <t>MT-FL-400S-030</t>
  </si>
  <si>
    <t>MT-FL-400S-045</t>
  </si>
  <si>
    <t>MT-FL-400S-060</t>
  </si>
  <si>
    <t>MT-FL-400S-120</t>
  </si>
  <si>
    <t>MT-FL-600A-020</t>
  </si>
  <si>
    <t>MT-FL-600A-030</t>
  </si>
  <si>
    <t>MT-FL-600A-045</t>
  </si>
  <si>
    <t>MT-FL-600A-060</t>
  </si>
  <si>
    <t>MT-FL-600A-120</t>
  </si>
  <si>
    <t>MT-FL-800A-020</t>
  </si>
  <si>
    <t>MT-FL-800A-030</t>
  </si>
  <si>
    <t>MT-FL-800A-045</t>
  </si>
  <si>
    <t>MT-FL-800A-060</t>
  </si>
  <si>
    <t>MT-FL-800A-120</t>
  </si>
  <si>
    <t>MT-FL-1000A-020</t>
  </si>
  <si>
    <t>MT-FL-1000A-030</t>
  </si>
  <si>
    <t>MT-FL-1000A-045</t>
  </si>
  <si>
    <t>MT-FL-1000A-060</t>
  </si>
  <si>
    <t>MT-FL-1000A-120</t>
  </si>
  <si>
    <t>MT-FL-1200A-020</t>
  </si>
  <si>
    <t>MT-FL-1200A-030</t>
  </si>
  <si>
    <t>MT-FL-1200A-045</t>
  </si>
  <si>
    <t>MT-FL-1200A-060</t>
  </si>
  <si>
    <t>MT-FL-1200A-120</t>
  </si>
  <si>
    <t>ARENA-400-광각</t>
  </si>
  <si>
    <t>ARENA-400-광각(3K)</t>
  </si>
  <si>
    <t>ARENA-400-중각</t>
  </si>
  <si>
    <t>ARENA-400-중각(3K)</t>
  </si>
  <si>
    <t>ARENA-400-협각</t>
  </si>
  <si>
    <t>ARENA-400-협각(3K)</t>
  </si>
  <si>
    <t>ARENA-500-광각</t>
  </si>
  <si>
    <t>ARENA-500-광각(3K)</t>
  </si>
  <si>
    <t>ARENA-500-중각</t>
  </si>
  <si>
    <t>ARENA-500-중각(3K)</t>
  </si>
  <si>
    <t>ARENA-500-협각</t>
  </si>
  <si>
    <t>ARENA-500-협각(3K)</t>
  </si>
  <si>
    <t>ARENA-600-광각</t>
  </si>
  <si>
    <t>ARENA-600-광각(3K)</t>
  </si>
  <si>
    <t>ARENA-600-중각</t>
  </si>
  <si>
    <t>ARENA-600-중각(3K)</t>
  </si>
  <si>
    <t>ARENA-600-협각</t>
  </si>
  <si>
    <t>ARENA-600-협각(3K)</t>
  </si>
  <si>
    <t>ARENA-800-광각</t>
  </si>
  <si>
    <t>ARENA-800-광각(3K)</t>
  </si>
  <si>
    <t>ARENA-800-중각</t>
  </si>
  <si>
    <t>ARENA-800-중각(3K)</t>
  </si>
  <si>
    <t>ARENA-800-협각</t>
  </si>
  <si>
    <t>ARENA-800-협각(3K)</t>
  </si>
  <si>
    <t>ARENA-200S-광각</t>
    <phoneticPr fontId="1" type="noConversion"/>
  </si>
  <si>
    <t>ARENA-200S-광각(3K)</t>
    <phoneticPr fontId="1" type="noConversion"/>
  </si>
  <si>
    <t>ARENA-200S-중각</t>
    <phoneticPr fontId="1" type="noConversion"/>
  </si>
  <si>
    <t>ARENA-200S-중각(3K)</t>
    <phoneticPr fontId="1" type="noConversion"/>
  </si>
  <si>
    <t>ARENA-200S-협각</t>
    <phoneticPr fontId="1" type="noConversion"/>
  </si>
  <si>
    <t>ARENA-200S-협각(3K)</t>
    <phoneticPr fontId="1" type="noConversion"/>
  </si>
  <si>
    <t>ARENA-300S-광각</t>
    <phoneticPr fontId="1" type="noConversion"/>
  </si>
  <si>
    <t>ARENA-300S-광각(3K)</t>
    <phoneticPr fontId="1" type="noConversion"/>
  </si>
  <si>
    <t>ARENA-300S-중각</t>
    <phoneticPr fontId="1" type="noConversion"/>
  </si>
  <si>
    <t>ARENA-300S-중각(3K)</t>
    <phoneticPr fontId="1" type="noConversion"/>
  </si>
  <si>
    <t>ARENA-300S-협각</t>
    <phoneticPr fontId="1" type="noConversion"/>
  </si>
  <si>
    <t>ARENA-300S-협각(3K)</t>
    <phoneticPr fontId="1" type="noConversion"/>
  </si>
  <si>
    <t>ARENA-400S-광각</t>
    <phoneticPr fontId="1" type="noConversion"/>
  </si>
  <si>
    <t>ARENA-400S-광각(3K)</t>
    <phoneticPr fontId="1" type="noConversion"/>
  </si>
  <si>
    <t>ARENA-400S-중각</t>
    <phoneticPr fontId="1" type="noConversion"/>
  </si>
  <si>
    <t>ARENA-400S-중각(3K)</t>
    <phoneticPr fontId="1" type="noConversion"/>
  </si>
  <si>
    <t>ARENA-400S-협각</t>
    <phoneticPr fontId="1" type="noConversion"/>
  </si>
  <si>
    <t>ARENA-400S-협각(3K)</t>
    <phoneticPr fontId="1" type="noConversion"/>
  </si>
  <si>
    <t>2.0T AL</t>
    <phoneticPr fontId="1" type="noConversion"/>
  </si>
  <si>
    <t>누전차단기(LS)</t>
    <phoneticPr fontId="1" type="noConversion"/>
  </si>
  <si>
    <t>정도기전/대성철물</t>
    <phoneticPr fontId="1" type="noConversion"/>
  </si>
  <si>
    <t>대윤코퍼레이션</t>
  </si>
  <si>
    <t>대윤코퍼레이션</t>
    <phoneticPr fontId="1" type="noConversion"/>
  </si>
  <si>
    <t>엘컴텍</t>
    <phoneticPr fontId="1" type="noConversion"/>
  </si>
  <si>
    <t>창성INT(승리글로벌)</t>
    <phoneticPr fontId="1" type="noConversion"/>
  </si>
  <si>
    <t>UPF-60S-36CQH</t>
    <phoneticPr fontId="1" type="noConversion"/>
  </si>
  <si>
    <t>UPF-150S-36CQH</t>
    <phoneticPr fontId="1" type="noConversion"/>
  </si>
  <si>
    <t>UPF-200S-36CQH</t>
    <phoneticPr fontId="1" type="noConversion"/>
  </si>
  <si>
    <t>UPF-80S-36CQH</t>
    <phoneticPr fontId="1" type="noConversion"/>
  </si>
  <si>
    <t>UPF-40S-36CQH</t>
    <phoneticPr fontId="1" type="noConversion"/>
  </si>
  <si>
    <t>ARENA-200S-광각</t>
  </si>
  <si>
    <t>ø255 유리</t>
    <phoneticPr fontId="1" type="noConversion"/>
  </si>
  <si>
    <t>케이블그랜드-PG13.5</t>
    <phoneticPr fontId="1" type="noConversion"/>
  </si>
  <si>
    <t>ARENA-400S-광각</t>
  </si>
  <si>
    <t>ASH-400</t>
    <phoneticPr fontId="1" type="noConversion"/>
  </si>
  <si>
    <t>AH-600</t>
    <phoneticPr fontId="1" type="noConversion"/>
  </si>
  <si>
    <t>A하우징</t>
    <phoneticPr fontId="1" type="noConversion"/>
  </si>
  <si>
    <t>AS하우징</t>
    <phoneticPr fontId="1" type="noConversion"/>
  </si>
  <si>
    <t>A-HP-01</t>
    <phoneticPr fontId="1" type="noConversion"/>
  </si>
  <si>
    <t>A-히트파이프</t>
    <phoneticPr fontId="1" type="noConversion"/>
  </si>
  <si>
    <t>ARENA-400S-광각(3K)</t>
  </si>
  <si>
    <t>A-리플렉터-더미</t>
    <phoneticPr fontId="1" type="noConversion"/>
  </si>
  <si>
    <t>ARENA-200S-광각(3K)</t>
  </si>
  <si>
    <t>2411-6265</t>
  </si>
  <si>
    <t>2411-6265</t>
    <phoneticPr fontId="1" type="noConversion"/>
  </si>
  <si>
    <t>2411-6266</t>
  </si>
  <si>
    <t>2411-6266</t>
    <phoneticPr fontId="1" type="noConversion"/>
  </si>
  <si>
    <t>ARENA-300S-광각</t>
  </si>
  <si>
    <t>ARENA-300S-광각(3K)</t>
  </si>
  <si>
    <t>2411-6267</t>
  </si>
  <si>
    <t>2411-6267</t>
    <phoneticPr fontId="1" type="noConversion"/>
  </si>
  <si>
    <t>ARENA-200S-중각</t>
  </si>
  <si>
    <t>ARENA-200S-중각(3K)</t>
  </si>
  <si>
    <t>ARENA-200S-협각</t>
  </si>
  <si>
    <t>ARENA-200S-협각(3K)</t>
  </si>
  <si>
    <t>AS-리플렉터-더미</t>
    <phoneticPr fontId="1" type="noConversion"/>
  </si>
  <si>
    <t>A-리플렉터-중각</t>
    <phoneticPr fontId="1" type="noConversion"/>
  </si>
  <si>
    <t>AS-리플렉터-중각</t>
    <phoneticPr fontId="1" type="noConversion"/>
  </si>
  <si>
    <t>A-MR-01</t>
  </si>
  <si>
    <t>A-MR-01</t>
    <phoneticPr fontId="1" type="noConversion"/>
  </si>
  <si>
    <t>AS-MR-01</t>
    <phoneticPr fontId="1" type="noConversion"/>
  </si>
  <si>
    <t>A-RSR-01</t>
  </si>
  <si>
    <t>A-RSR-01</t>
    <phoneticPr fontId="1" type="noConversion"/>
  </si>
  <si>
    <t>AS-RSR-01</t>
    <phoneticPr fontId="1" type="noConversion"/>
  </si>
  <si>
    <t>A-LSR-01</t>
  </si>
  <si>
    <t>A-LSR-01</t>
    <phoneticPr fontId="1" type="noConversion"/>
  </si>
  <si>
    <t>AS-LSR-01</t>
    <phoneticPr fontId="1" type="noConversion"/>
  </si>
  <si>
    <t>A-리플렉터-메인</t>
  </si>
  <si>
    <t>A-리플렉터-메인</t>
    <phoneticPr fontId="1" type="noConversion"/>
  </si>
  <si>
    <t>AS-리플렉터-메인</t>
    <phoneticPr fontId="1" type="noConversion"/>
  </si>
  <si>
    <t>A-리플렉터-좌측</t>
  </si>
  <si>
    <t>A-리플렉터-좌측</t>
    <phoneticPr fontId="1" type="noConversion"/>
  </si>
  <si>
    <t>AS-리플렉터-좌측</t>
    <phoneticPr fontId="1" type="noConversion"/>
  </si>
  <si>
    <t>A-리플렉터-우측</t>
  </si>
  <si>
    <t>AS-리플렉터-우측</t>
    <phoneticPr fontId="1" type="noConversion"/>
  </si>
  <si>
    <t>A-리플렉터 브라켓-하</t>
    <phoneticPr fontId="1" type="noConversion"/>
  </si>
  <si>
    <t>AS-리플렉터 브라켓-하</t>
    <phoneticPr fontId="1" type="noConversion"/>
  </si>
  <si>
    <t>A-리플렉터 브라켓-상</t>
    <phoneticPr fontId="1" type="noConversion"/>
  </si>
  <si>
    <t>AS-리플렉터 브라켓-상</t>
    <phoneticPr fontId="1" type="noConversion"/>
  </si>
  <si>
    <t>A-리플렉터 브라켓-중</t>
    <phoneticPr fontId="1" type="noConversion"/>
  </si>
  <si>
    <t>A-히트파이프 브라켓</t>
    <phoneticPr fontId="1" type="noConversion"/>
  </si>
  <si>
    <t>AS-히트파이프 브라켓</t>
    <phoneticPr fontId="1" type="noConversion"/>
  </si>
  <si>
    <t>A-전면 유리</t>
    <phoneticPr fontId="1" type="noConversion"/>
  </si>
  <si>
    <t>AS-전면 유리</t>
    <phoneticPr fontId="1" type="noConversion"/>
  </si>
  <si>
    <t>A-유리 실링</t>
    <phoneticPr fontId="1" type="noConversion"/>
  </si>
  <si>
    <t>A-림-상</t>
    <phoneticPr fontId="1" type="noConversion"/>
  </si>
  <si>
    <t>AS-림-상</t>
    <phoneticPr fontId="1" type="noConversion"/>
  </si>
  <si>
    <t>A-RIM-01</t>
    <phoneticPr fontId="1" type="noConversion"/>
  </si>
  <si>
    <t>AS-RIM-01</t>
    <phoneticPr fontId="1" type="noConversion"/>
  </si>
  <si>
    <t>A-림-하</t>
    <phoneticPr fontId="1" type="noConversion"/>
  </si>
  <si>
    <t>AS-림-하</t>
    <phoneticPr fontId="1" type="noConversion"/>
  </si>
  <si>
    <t>A-RIM-02</t>
    <phoneticPr fontId="1" type="noConversion"/>
  </si>
  <si>
    <t>AS-RIM-03</t>
    <phoneticPr fontId="1" type="noConversion"/>
  </si>
  <si>
    <t>AS-RIM-02</t>
    <phoneticPr fontId="1" type="noConversion"/>
  </si>
  <si>
    <t>A-RIM-03</t>
    <phoneticPr fontId="1" type="noConversion"/>
  </si>
  <si>
    <t>A-브라켓마운트 우</t>
    <phoneticPr fontId="1" type="noConversion"/>
  </si>
  <si>
    <t>A-BRKTMT-02</t>
    <phoneticPr fontId="1" type="noConversion"/>
  </si>
  <si>
    <t>A-브라켓마운트 좌</t>
    <phoneticPr fontId="1" type="noConversion"/>
  </si>
  <si>
    <t>A-BRKTMT-01</t>
    <phoneticPr fontId="1" type="noConversion"/>
  </si>
  <si>
    <t>PCB-A-72-57</t>
    <phoneticPr fontId="1" type="noConversion"/>
  </si>
  <si>
    <t>PCB-A-72-30</t>
    <phoneticPr fontId="1" type="noConversion"/>
  </si>
  <si>
    <t>PCB-A-96-57</t>
    <phoneticPr fontId="1" type="noConversion"/>
  </si>
  <si>
    <t>PCB-A-96-30</t>
    <phoneticPr fontId="1" type="noConversion"/>
  </si>
  <si>
    <t>PCB-A-72구-57</t>
    <phoneticPr fontId="1" type="noConversion"/>
  </si>
  <si>
    <t>PCB-A-72구-30</t>
    <phoneticPr fontId="1" type="noConversion"/>
  </si>
  <si>
    <t>PCB-A-96구-57</t>
    <phoneticPr fontId="1" type="noConversion"/>
  </si>
  <si>
    <t>PCB-A-96구-30</t>
    <phoneticPr fontId="1" type="noConversion"/>
  </si>
  <si>
    <t>PCB-AS-24-57</t>
    <phoneticPr fontId="1" type="noConversion"/>
  </si>
  <si>
    <t>PCB-AS-24구-57</t>
    <phoneticPr fontId="1" type="noConversion"/>
  </si>
  <si>
    <t>PCB-AS-72구-30</t>
    <phoneticPr fontId="1" type="noConversion"/>
  </si>
  <si>
    <t>ARENA-300S-중각</t>
  </si>
  <si>
    <t>ARENA-300S-중각(3K)</t>
  </si>
  <si>
    <t>ARENA-300S-협각</t>
  </si>
  <si>
    <t>ARENA-300S-협각(3K)</t>
  </si>
  <si>
    <t>ARENA-400S-중각</t>
  </si>
  <si>
    <t>ARENA-400S-중각(3K)</t>
  </si>
  <si>
    <t>ARENA-400S-협각</t>
  </si>
  <si>
    <t>ARENA-400S-협각(3K)</t>
  </si>
  <si>
    <t>HLG-320H-36A</t>
    <phoneticPr fontId="1" type="noConversion"/>
  </si>
  <si>
    <t>PCB-AS-36-57</t>
    <phoneticPr fontId="1" type="noConversion"/>
  </si>
  <si>
    <t>PCB-AS-36구-57</t>
    <phoneticPr fontId="1" type="noConversion"/>
  </si>
  <si>
    <t>PCB-AS-36-30</t>
    <phoneticPr fontId="1" type="noConversion"/>
  </si>
  <si>
    <t>PCB-AS-36구-30</t>
    <phoneticPr fontId="1" type="noConversion"/>
  </si>
  <si>
    <t>PCB-AS-48-57</t>
    <phoneticPr fontId="1" type="noConversion"/>
  </si>
  <si>
    <t>PCB-AS-48-30</t>
    <phoneticPr fontId="1" type="noConversion"/>
  </si>
  <si>
    <t>PCB-AS-48구-57</t>
    <phoneticPr fontId="1" type="noConversion"/>
  </si>
  <si>
    <t>PCB-AS-48구-30</t>
    <phoneticPr fontId="1" type="noConversion"/>
  </si>
  <si>
    <t>품명</t>
  </si>
  <si>
    <t>가로등기구</t>
    <phoneticPr fontId="1" type="noConversion"/>
  </si>
  <si>
    <t>보안등기구</t>
    <phoneticPr fontId="1" type="noConversion"/>
  </si>
  <si>
    <t>터널등기구</t>
    <phoneticPr fontId="1" type="noConversion"/>
  </si>
  <si>
    <t>투광등기구(BATOO)</t>
    <phoneticPr fontId="1" type="noConversion"/>
  </si>
  <si>
    <t>투광등기구(MT-FL)</t>
    <phoneticPr fontId="1" type="noConversion"/>
  </si>
  <si>
    <t>투광등기구(ARENA)</t>
    <phoneticPr fontId="1" type="noConversion"/>
  </si>
  <si>
    <t>투광등기구(STA)</t>
    <phoneticPr fontId="1" type="noConversion"/>
  </si>
  <si>
    <t>3B</t>
    <phoneticPr fontId="1" type="noConversion"/>
  </si>
  <si>
    <t>4B</t>
    <phoneticPr fontId="1" type="noConversion"/>
  </si>
  <si>
    <t>5B</t>
    <phoneticPr fontId="1" type="noConversion"/>
  </si>
  <si>
    <t>6B</t>
    <phoneticPr fontId="1" type="noConversion"/>
  </si>
  <si>
    <t>2B</t>
    <phoneticPr fontId="1" type="noConversion"/>
  </si>
  <si>
    <t>3.0T 방열판, 1.5T METAL PCB</t>
    <phoneticPr fontId="1" type="noConversion"/>
  </si>
  <si>
    <t>A-DR-600</t>
    <phoneticPr fontId="1" type="noConversion"/>
  </si>
  <si>
    <t>AS-DR-400</t>
    <phoneticPr fontId="1" type="noConversion"/>
  </si>
  <si>
    <t>MT-TNH-S</t>
    <phoneticPr fontId="1" type="noConversion"/>
  </si>
  <si>
    <t>MT-TNH-L</t>
    <phoneticPr fontId="1" type="noConversion"/>
  </si>
  <si>
    <t>MT-TN-ALPNL-20</t>
    <phoneticPr fontId="1" type="noConversion"/>
  </si>
  <si>
    <t>MT-Lens-TC2001</t>
    <phoneticPr fontId="1" type="noConversion"/>
  </si>
  <si>
    <t>MT-Lens-TP3001</t>
    <phoneticPr fontId="1" type="noConversion"/>
  </si>
  <si>
    <t>MT-Lens-TP4501</t>
    <phoneticPr fontId="1" type="noConversion"/>
  </si>
  <si>
    <t>MT-Lens-TP6001</t>
    <phoneticPr fontId="1" type="noConversion"/>
  </si>
  <si>
    <t>MT-BH-200</t>
    <phoneticPr fontId="1" type="noConversion"/>
  </si>
  <si>
    <t>MT-BH-400S</t>
    <phoneticPr fontId="1" type="noConversion"/>
  </si>
  <si>
    <t>MT-BH-600</t>
    <phoneticPr fontId="1" type="noConversion"/>
  </si>
  <si>
    <t>MT-BH-800</t>
    <phoneticPr fontId="1" type="noConversion"/>
  </si>
  <si>
    <t>MT-BH-X400</t>
    <phoneticPr fontId="1" type="noConversion"/>
  </si>
  <si>
    <t>MT-BGlass-255</t>
    <phoneticPr fontId="1" type="noConversion"/>
  </si>
  <si>
    <t>MT-BGlass-354</t>
    <phoneticPr fontId="1" type="noConversion"/>
  </si>
  <si>
    <t>MT-BGlass-475</t>
    <phoneticPr fontId="1" type="noConversion"/>
  </si>
  <si>
    <t>MT-BRing-255</t>
    <phoneticPr fontId="1" type="noConversion"/>
  </si>
  <si>
    <t>MT-BRing-354</t>
    <phoneticPr fontId="1" type="noConversion"/>
  </si>
  <si>
    <t>MT-BRing-475</t>
    <phoneticPr fontId="1" type="noConversion"/>
  </si>
  <si>
    <t>MT-BSibori-354</t>
    <phoneticPr fontId="1" type="noConversion"/>
  </si>
  <si>
    <t>ø354 링 (시보리)</t>
    <phoneticPr fontId="1" type="noConversion"/>
  </si>
  <si>
    <t>MT-CBGD-PG135</t>
    <phoneticPr fontId="1" type="noConversion"/>
  </si>
  <si>
    <t>MT-CBGD-PG21</t>
    <phoneticPr fontId="1" type="noConversion"/>
  </si>
  <si>
    <t>MT-BBRKT-255</t>
    <phoneticPr fontId="1" type="noConversion"/>
  </si>
  <si>
    <t>MT-BBRKT-354</t>
    <phoneticPr fontId="1" type="noConversion"/>
  </si>
  <si>
    <t>MT-BBRKT-475</t>
    <phoneticPr fontId="1" type="noConversion"/>
  </si>
  <si>
    <t>MT-BOX-460</t>
    <phoneticPr fontId="1" type="noConversion"/>
  </si>
  <si>
    <t>MT-BOX-500</t>
    <phoneticPr fontId="1" type="noConversion"/>
  </si>
  <si>
    <t>MT-SLCH-S</t>
    <phoneticPr fontId="1" type="noConversion"/>
  </si>
  <si>
    <t>MT-MLH-S</t>
    <phoneticPr fontId="1" type="noConversion"/>
  </si>
  <si>
    <t>MT-SLCH-L</t>
    <phoneticPr fontId="1" type="noConversion"/>
  </si>
  <si>
    <t>MT-MLH-L</t>
    <phoneticPr fontId="1" type="noConversion"/>
  </si>
  <si>
    <t>SLC-하우징-S</t>
  </si>
  <si>
    <t>SLC-하우징-S</t>
    <phoneticPr fontId="1" type="noConversion"/>
  </si>
  <si>
    <t>SLC-하우징-L</t>
    <phoneticPr fontId="1" type="noConversion"/>
  </si>
  <si>
    <t>컨버터(안정기)</t>
    <phoneticPr fontId="1" type="noConversion"/>
  </si>
  <si>
    <t>A-렌즈-협각</t>
    <phoneticPr fontId="1" type="noConversion"/>
  </si>
  <si>
    <t>AS-렌즈-협각</t>
    <phoneticPr fontId="1" type="noConversion"/>
  </si>
  <si>
    <t>A-Lens-Hyup</t>
    <phoneticPr fontId="1" type="noConversion"/>
  </si>
  <si>
    <t>AS-Lens-Hyup</t>
    <phoneticPr fontId="1" type="noConversion"/>
  </si>
  <si>
    <t>MT-MD-ELSM-025</t>
    <phoneticPr fontId="1" type="noConversion"/>
  </si>
  <si>
    <t>MT-MD-ELTB-025</t>
    <phoneticPr fontId="1" type="noConversion"/>
  </si>
  <si>
    <t>MT-CBGD-M20</t>
    <phoneticPr fontId="1" type="noConversion"/>
  </si>
  <si>
    <t>케이블그랜드-M20</t>
    <phoneticPr fontId="1" type="noConversion"/>
  </si>
  <si>
    <t>MT-VTPG-M20</t>
    <phoneticPr fontId="1" type="noConversion"/>
  </si>
  <si>
    <t>벤트플러그-M20</t>
    <phoneticPr fontId="1" type="noConversion"/>
  </si>
  <si>
    <t>포장비닐-01</t>
    <phoneticPr fontId="1" type="noConversion"/>
  </si>
  <si>
    <t>컨버터(안정기)</t>
    <phoneticPr fontId="9" type="noConversion"/>
  </si>
  <si>
    <t>누전차단기</t>
    <phoneticPr fontId="1" type="noConversion"/>
  </si>
  <si>
    <t xml:space="preserve"> </t>
    <phoneticPr fontId="1" type="noConversion"/>
  </si>
  <si>
    <t>A-FGlass-01</t>
  </si>
  <si>
    <t>A-FGlass-01</t>
    <phoneticPr fontId="1" type="noConversion"/>
  </si>
  <si>
    <t>AS-FGlass-01</t>
    <phoneticPr fontId="1" type="noConversion"/>
  </si>
  <si>
    <t>A-GSealing-01</t>
  </si>
  <si>
    <t>A-GSealing-01</t>
    <phoneticPr fontId="1" type="noConversion"/>
  </si>
  <si>
    <t>A-RBRKT-01</t>
    <phoneticPr fontId="1" type="noConversion"/>
  </si>
  <si>
    <t>A-RBRKT-02</t>
    <phoneticPr fontId="1" type="noConversion"/>
  </si>
  <si>
    <t>A-RBRKT-03</t>
    <phoneticPr fontId="1" type="noConversion"/>
  </si>
  <si>
    <t>AS-HP-BRKT-01</t>
    <phoneticPr fontId="1" type="noConversion"/>
  </si>
  <si>
    <t>MT-ABOX-01</t>
    <phoneticPr fontId="1" type="noConversion"/>
  </si>
  <si>
    <t>A-포장박스</t>
    <phoneticPr fontId="1" type="noConversion"/>
  </si>
  <si>
    <t>PCB-A-72-57</t>
  </si>
  <si>
    <t>PCB-A-72-30</t>
  </si>
  <si>
    <t>PCB-AS-72-30</t>
    <phoneticPr fontId="1" type="noConversion"/>
  </si>
  <si>
    <t>PCB-200-57</t>
    <phoneticPr fontId="1" type="noConversion"/>
  </si>
  <si>
    <t>HLG-240H-48A</t>
    <phoneticPr fontId="1" type="noConversion"/>
  </si>
  <si>
    <t>A-HP-BRKT-01</t>
    <phoneticPr fontId="1" type="noConversion"/>
  </si>
  <si>
    <t>MT-PVINYL-01</t>
    <phoneticPr fontId="1" type="noConversion"/>
  </si>
  <si>
    <t>AH-600</t>
  </si>
  <si>
    <t>A-MidR-600</t>
    <phoneticPr fontId="1" type="noConversion"/>
  </si>
  <si>
    <t>AS-R-BRKT-01</t>
    <phoneticPr fontId="1" type="noConversion"/>
  </si>
  <si>
    <t>AS-R-BRKT-02</t>
    <phoneticPr fontId="1" type="noConversion"/>
  </si>
  <si>
    <t>AS-MidR-400</t>
    <phoneticPr fontId="1" type="noConversion"/>
  </si>
  <si>
    <t>Mean Well(피에스유코리아)</t>
    <phoneticPr fontId="1" type="noConversion"/>
  </si>
  <si>
    <t>세전사</t>
    <phoneticPr fontId="1" type="noConversion"/>
  </si>
  <si>
    <t>금강유리제경</t>
    <phoneticPr fontId="1" type="noConversion"/>
  </si>
  <si>
    <t>UNION(승리글로벌)</t>
    <phoneticPr fontId="1" type="noConversion"/>
  </si>
  <si>
    <t>HLG-320H-48A</t>
    <phoneticPr fontId="1" type="noConversion"/>
  </si>
  <si>
    <t>HLG-480H-48A</t>
    <phoneticPr fontId="1" type="noConversion"/>
  </si>
  <si>
    <t>엘레판트</t>
    <phoneticPr fontId="1" type="noConversion"/>
  </si>
  <si>
    <t>기해</t>
    <phoneticPr fontId="1" type="noConversion"/>
  </si>
  <si>
    <t>성광실리텍</t>
    <phoneticPr fontId="1" type="noConversion"/>
  </si>
  <si>
    <t>다온하이테크</t>
    <phoneticPr fontId="1" type="noConversion"/>
  </si>
  <si>
    <t>서진산업</t>
    <phoneticPr fontId="1" type="noConversion"/>
  </si>
  <si>
    <t>보강포장</t>
    <phoneticPr fontId="1" type="noConversion"/>
  </si>
  <si>
    <t>박스-460×460×460</t>
    <phoneticPr fontId="1" type="noConversion"/>
  </si>
  <si>
    <t>박스-500×500×500</t>
    <phoneticPr fontId="1" type="noConversion"/>
  </si>
  <si>
    <t>2333-2233</t>
    <phoneticPr fontId="1" type="noConversion"/>
  </si>
  <si>
    <t>HLG-80H-36A</t>
    <phoneticPr fontId="1" type="noConversion"/>
  </si>
  <si>
    <t>HLG-150H-36A</t>
    <phoneticPr fontId="1" type="noConversion"/>
  </si>
  <si>
    <t>HLG-185H-36A</t>
    <phoneticPr fontId="1" type="noConversion"/>
  </si>
  <si>
    <t>HLG-240H-36A</t>
    <phoneticPr fontId="1" type="noConversion"/>
  </si>
  <si>
    <t>ML-하우징-S</t>
    <phoneticPr fontId="1" type="noConversion"/>
  </si>
  <si>
    <t>ML-하우징-L</t>
    <phoneticPr fontId="1" type="noConversion"/>
  </si>
  <si>
    <t>터널등하우징-S</t>
    <phoneticPr fontId="1" type="noConversion"/>
  </si>
  <si>
    <t>터널등하우징-L</t>
    <phoneticPr fontId="1" type="noConversion"/>
  </si>
  <si>
    <t>터널등속판</t>
    <phoneticPr fontId="1" type="noConversion"/>
  </si>
  <si>
    <t>ø255 바이저</t>
    <phoneticPr fontId="1" type="noConversion"/>
  </si>
  <si>
    <t>ø354 바이저</t>
    <phoneticPr fontId="1" type="noConversion"/>
  </si>
  <si>
    <t>ø475 바이저</t>
    <phoneticPr fontId="1" type="noConversion"/>
  </si>
  <si>
    <t>400S 하우징</t>
    <phoneticPr fontId="1" type="noConversion"/>
  </si>
  <si>
    <t>600 하우징</t>
    <phoneticPr fontId="1" type="noConversion"/>
  </si>
  <si>
    <t>X400 하우징</t>
    <phoneticPr fontId="1" type="noConversion"/>
  </si>
  <si>
    <t>PCB-300-57</t>
    <phoneticPr fontId="1" type="noConversion"/>
  </si>
  <si>
    <t>PCB-600-57</t>
    <phoneticPr fontId="1" type="noConversion"/>
  </si>
  <si>
    <t>PCB-800-57</t>
    <phoneticPr fontId="1" type="noConversion"/>
  </si>
  <si>
    <t>PCB-1000-57</t>
    <phoneticPr fontId="1" type="noConversion"/>
  </si>
  <si>
    <t>PCB-1200-57</t>
    <phoneticPr fontId="1" type="noConversion"/>
  </si>
  <si>
    <t>ø354 유리</t>
    <phoneticPr fontId="1" type="noConversion"/>
  </si>
  <si>
    <t>ø475 유리</t>
    <phoneticPr fontId="1" type="noConversion"/>
  </si>
  <si>
    <t>ø255 링</t>
    <phoneticPr fontId="1" type="noConversion"/>
  </si>
  <si>
    <t>ø354 링</t>
    <phoneticPr fontId="1" type="noConversion"/>
  </si>
  <si>
    <t>ø475 링</t>
    <phoneticPr fontId="1" type="noConversion"/>
  </si>
  <si>
    <t>케이블그랜드-PG21</t>
    <phoneticPr fontId="1" type="noConversion"/>
  </si>
  <si>
    <t>20도 렌즈</t>
    <phoneticPr fontId="1" type="noConversion"/>
  </si>
  <si>
    <t>SPD-20-240P</t>
    <phoneticPr fontId="1" type="noConversion"/>
  </si>
  <si>
    <t>단자대</t>
  </si>
  <si>
    <t>단자대</t>
    <phoneticPr fontId="1" type="noConversion"/>
  </si>
  <si>
    <t>단자대-4P</t>
  </si>
  <si>
    <t>단자대-4P</t>
    <phoneticPr fontId="1" type="noConversion"/>
  </si>
  <si>
    <t>1000 하우징</t>
  </si>
  <si>
    <t>1000 하우징</t>
    <phoneticPr fontId="1" type="noConversion"/>
  </si>
  <si>
    <t>케이블그랜드-PG16</t>
    <phoneticPr fontId="1" type="noConversion"/>
  </si>
  <si>
    <t>MT-CBGD-PG16BK</t>
    <phoneticPr fontId="1" type="noConversion"/>
  </si>
  <si>
    <t>Black Plastic</t>
    <phoneticPr fontId="1" type="noConversion"/>
  </si>
  <si>
    <t>A-림-좌우</t>
    <phoneticPr fontId="1" type="noConversion"/>
  </si>
  <si>
    <t>AS-림-좌우</t>
    <phoneticPr fontId="1" type="noConversion"/>
  </si>
  <si>
    <t>PCB-1200-57</t>
    <phoneticPr fontId="1" type="noConversion"/>
  </si>
  <si>
    <t>2292-3602</t>
  </si>
  <si>
    <t>PCB-400A-57</t>
    <phoneticPr fontId="1" type="noConversion"/>
  </si>
  <si>
    <t>PCB-400A-57</t>
    <phoneticPr fontId="1" type="noConversion"/>
  </si>
  <si>
    <t>PCB-400B-57</t>
    <phoneticPr fontId="1" type="noConversion"/>
  </si>
  <si>
    <t>ø255 ㄷ 브라켓</t>
    <phoneticPr fontId="1" type="noConversion"/>
  </si>
  <si>
    <t>ø475 ㄷ 브라켓</t>
    <phoneticPr fontId="1" type="noConversion"/>
  </si>
  <si>
    <t>ø255 ㄷ 브라켓</t>
    <phoneticPr fontId="1" type="noConversion"/>
  </si>
  <si>
    <t>ø354 ㄷ 브라켓</t>
    <phoneticPr fontId="1" type="noConversion"/>
  </si>
  <si>
    <t>MT-A-BRKT</t>
  </si>
  <si>
    <t>MT-A-BRKT</t>
    <phoneticPr fontId="1" type="noConversion"/>
  </si>
  <si>
    <t>ARENA ㄷ 브라켓</t>
  </si>
  <si>
    <t>ARENA ㄷ 브라켓</t>
    <phoneticPr fontId="1" type="noConversion"/>
  </si>
  <si>
    <t>2373-1456</t>
  </si>
  <si>
    <t>ARENA-400-광각(3K)</t>
    <phoneticPr fontId="1" type="noConversion"/>
  </si>
  <si>
    <t>ARENA-400-증각</t>
    <phoneticPr fontId="1" type="noConversion"/>
  </si>
  <si>
    <t>ARENA-400-증각(3K)</t>
    <phoneticPr fontId="1" type="noConversion"/>
  </si>
  <si>
    <t>ARENA-400-협각</t>
    <phoneticPr fontId="1" type="noConversion"/>
  </si>
  <si>
    <t>2373-1457</t>
    <phoneticPr fontId="1" type="noConversion"/>
  </si>
  <si>
    <t>2373-1458</t>
    <phoneticPr fontId="1" type="noConversion"/>
  </si>
  <si>
    <t>2373-1459</t>
    <phoneticPr fontId="1" type="noConversion"/>
  </si>
  <si>
    <t>ARENA-200S-광각</t>
    <phoneticPr fontId="1" type="noConversion"/>
  </si>
  <si>
    <t>MT-AS-BRKT</t>
    <phoneticPr fontId="1" type="noConversion"/>
  </si>
  <si>
    <t>ARENA S ㄷ 브라켓</t>
    <phoneticPr fontId="1" type="noConversion"/>
  </si>
  <si>
    <t>AL M14 NUT</t>
    <phoneticPr fontId="1" type="noConversion"/>
  </si>
  <si>
    <t>HLG-480H-54A</t>
  </si>
  <si>
    <t>컨버터</t>
  </si>
  <si>
    <t>MT-STA-H-01</t>
    <phoneticPr fontId="1" type="noConversion"/>
  </si>
  <si>
    <t>MT-STA-RIM-01</t>
    <phoneticPr fontId="1" type="noConversion"/>
  </si>
  <si>
    <t>매그나텍</t>
  </si>
  <si>
    <t>고방열METAL PCB 3.0T</t>
  </si>
  <si>
    <t>PCB-STA-108-57</t>
    <phoneticPr fontId="1" type="noConversion"/>
  </si>
  <si>
    <t>커버, 강화유리, 4T</t>
  </si>
  <si>
    <t>MT-STA-Glass</t>
    <phoneticPr fontId="1" type="noConversion"/>
  </si>
  <si>
    <t>MT-STA-LensSp</t>
    <phoneticPr fontId="1" type="noConversion"/>
  </si>
  <si>
    <t>MT-STA-LensHd</t>
    <phoneticPr fontId="1" type="noConversion"/>
  </si>
  <si>
    <t>MT-STA-DSR</t>
    <phoneticPr fontId="1" type="noConversion"/>
  </si>
  <si>
    <t>MT-STA-RetaHP</t>
    <phoneticPr fontId="1" type="noConversion"/>
  </si>
  <si>
    <t>MT-STA-ALN14</t>
    <phoneticPr fontId="1" type="noConversion"/>
  </si>
  <si>
    <t>MT-STALens-20</t>
    <phoneticPr fontId="1" type="noConversion"/>
  </si>
  <si>
    <t>MT-STALens-35</t>
    <phoneticPr fontId="1" type="noConversion"/>
  </si>
  <si>
    <t>UPF-100S-36CQH</t>
    <phoneticPr fontId="1" type="noConversion"/>
  </si>
  <si>
    <t>가로등외함,     3.0T AL , 590x330x161</t>
    <phoneticPr fontId="1" type="noConversion"/>
  </si>
  <si>
    <t>보안등외함,     3.0T AL , 514x267x89</t>
    <phoneticPr fontId="1" type="noConversion"/>
  </si>
  <si>
    <t>가로등외함,     3.0T AL , 865x385x195</t>
    <phoneticPr fontId="1" type="noConversion"/>
  </si>
  <si>
    <t>강진특수고무</t>
    <phoneticPr fontId="1" type="noConversion"/>
  </si>
  <si>
    <t>ø255 유리</t>
    <phoneticPr fontId="1" type="noConversion"/>
  </si>
  <si>
    <t>MT-STA-LensB-01</t>
    <phoneticPr fontId="1" type="noConversion"/>
  </si>
  <si>
    <t xml:space="preserve">	MT-STA-LensCover</t>
    <phoneticPr fontId="1" type="noConversion"/>
  </si>
  <si>
    <t>Lens Bottom(STA)</t>
    <phoneticPr fontId="1" type="noConversion"/>
  </si>
  <si>
    <t>Inner Lens Cover</t>
    <phoneticPr fontId="1" type="noConversion"/>
  </si>
  <si>
    <t>STA사각 림</t>
    <phoneticPr fontId="1" type="noConversion"/>
  </si>
  <si>
    <t>MT-STA-DMCOVER</t>
    <phoneticPr fontId="1" type="noConversion"/>
  </si>
  <si>
    <t>MT-STA-HeatPlate</t>
    <phoneticPr fontId="1" type="noConversion"/>
  </si>
  <si>
    <t>STA유리</t>
    <phoneticPr fontId="1" type="noConversion"/>
  </si>
  <si>
    <t xml:space="preserve">STA Retainer heat pipe </t>
    <phoneticPr fontId="1" type="noConversion"/>
  </si>
  <si>
    <t>STA 20도 렌즈</t>
    <phoneticPr fontId="1" type="noConversion"/>
  </si>
  <si>
    <t>STA 30도 렌즈</t>
    <phoneticPr fontId="1" type="noConversion"/>
  </si>
  <si>
    <t>STA-1200</t>
  </si>
  <si>
    <t>STA-1500</t>
  </si>
  <si>
    <t>2403-3465</t>
  </si>
  <si>
    <t>PCB-STA-135-57</t>
    <phoneticPr fontId="1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</si>
  <si>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" type="noConversion"/>
  </si>
  <si>
    <t>정도기전</t>
    <phoneticPr fontId="1" type="noConversion"/>
  </si>
  <si>
    <t>대진다이캐스팅</t>
  </si>
  <si>
    <t>대진다이캐스팅 , MSTECH</t>
    <phoneticPr fontId="1" type="noConversion"/>
  </si>
  <si>
    <t>세광상사</t>
    <phoneticPr fontId="1" type="noConversion"/>
  </si>
  <si>
    <t>테오백</t>
    <phoneticPr fontId="1" type="noConversion"/>
  </si>
  <si>
    <t>MT-STABOX-01</t>
  </si>
  <si>
    <t>STA투광등박스</t>
  </si>
  <si>
    <t>보강포장</t>
  </si>
  <si>
    <t>STA-1000</t>
  </si>
  <si>
    <t>대신물산</t>
    <phoneticPr fontId="1" type="noConversion"/>
  </si>
  <si>
    <t>MT-PVINYL-01</t>
  </si>
  <si>
    <t>포장비닐(ARENA/STA공용)-01</t>
  </si>
  <si>
    <t>2404-3464</t>
  </si>
  <si>
    <t>(봉스텐/태영스텐레이저)+시앤시</t>
  </si>
  <si>
    <t>(봉스텐/태영스텐레이저)+시앤시</t>
    <phoneticPr fontId="1" type="noConversion"/>
  </si>
  <si>
    <t>MT-STA-FTCOVER01</t>
    <phoneticPr fontId="1" type="noConversion"/>
  </si>
  <si>
    <t>STA 더미 커버</t>
    <phoneticPr fontId="1" type="noConversion"/>
  </si>
  <si>
    <t>STA하우징(1500W)</t>
    <phoneticPr fontId="1" type="noConversion"/>
  </si>
  <si>
    <t>MT-STA-BACKCOVER1500</t>
  </si>
  <si>
    <t>STA 백 커버(1500W)</t>
    <phoneticPr fontId="1" type="noConversion"/>
  </si>
  <si>
    <t>STA Heat Plate방열핀(스택핀) 3핀</t>
  </si>
  <si>
    <t>MT-STA-HP-02</t>
  </si>
  <si>
    <t>STA 유리고정사출물1(흰색) Glass Lens Holder</t>
  </si>
  <si>
    <t>STA 유리고정사출물2(흰색) Glass Lens Spacer</t>
  </si>
  <si>
    <t>STA-ORING-01</t>
  </si>
  <si>
    <t>STA-ORING-02</t>
  </si>
  <si>
    <t>STA 볼트용 오링(AN015, INФ14, T1.78)</t>
  </si>
  <si>
    <t>STA 너트용 오링( OUTФ14.8, INФ9.5)</t>
  </si>
  <si>
    <t>경산기계</t>
    <phoneticPr fontId="1" type="noConversion"/>
  </si>
  <si>
    <t>지엘플레닛</t>
    <phoneticPr fontId="1" type="noConversion"/>
  </si>
  <si>
    <t>지엘플레닛./기해</t>
    <phoneticPr fontId="1" type="noConversion"/>
  </si>
  <si>
    <t>케이디/심텍</t>
    <phoneticPr fontId="1" type="noConversion"/>
  </si>
  <si>
    <t>진성티엔에스/영진</t>
    <phoneticPr fontId="1" type="noConversion"/>
  </si>
  <si>
    <t>진성티엔에스</t>
    <phoneticPr fontId="1" type="noConversion"/>
  </si>
  <si>
    <t>참테크</t>
    <phoneticPr fontId="1" type="noConversion"/>
  </si>
  <si>
    <t>케이디</t>
  </si>
  <si>
    <t>케이디</t>
    <phoneticPr fontId="1" type="noConversion"/>
  </si>
  <si>
    <t>STA 유리실링</t>
    <phoneticPr fontId="1" type="noConversion"/>
  </si>
  <si>
    <t>MT-STA-GSEALING-01</t>
  </si>
  <si>
    <t>성환정밀/다온하이테크</t>
    <phoneticPr fontId="1" type="noConversion"/>
  </si>
  <si>
    <t>MT-STA-AVP-02</t>
  </si>
  <si>
    <t>알루미늄 벤트플러그 M12*1.5*L17</t>
    <phoneticPr fontId="1" type="noConversion"/>
  </si>
  <si>
    <t>PCB-STA-135-57</t>
  </si>
  <si>
    <t>HLG-600H-54A</t>
  </si>
  <si>
    <t>PCB-STA-162-57</t>
  </si>
  <si>
    <t>MT-STA-MBFR-01</t>
  </si>
  <si>
    <t>STA MTG 브라켓 프레임 러버 1 (바닥용)</t>
  </si>
  <si>
    <t>MT-STA-MBFR-02</t>
  </si>
  <si>
    <t>MT-STA-MBFR-03</t>
  </si>
  <si>
    <t>MT-STA-MBFR-03</t>
    <phoneticPr fontId="1" type="noConversion"/>
  </si>
  <si>
    <t>케이디?</t>
  </si>
  <si>
    <t>MT-STA-BACKCOVER1500</t>
    <phoneticPr fontId="1" type="noConversion"/>
  </si>
  <si>
    <r>
      <t>STA MTG 브라켓 프레임 러버 3 (</t>
    </r>
    <r>
      <rPr>
        <sz val="11"/>
        <color theme="1"/>
        <rFont val="Calibri"/>
        <family val="2"/>
        <charset val="204"/>
      </rPr>
      <t>Ф</t>
    </r>
    <r>
      <rPr>
        <sz val="11"/>
        <color theme="1"/>
        <rFont val="맑은 고딕"/>
        <family val="2"/>
        <charset val="129"/>
        <scheme val="minor"/>
      </rPr>
      <t>22.6)</t>
    </r>
    <phoneticPr fontId="1" type="noConversion"/>
  </si>
  <si>
    <r>
      <t>STA MTG 브라켓 프레임 러버 2 (</t>
    </r>
    <r>
      <rPr>
        <sz val="11"/>
        <color theme="1"/>
        <rFont val="Calibri"/>
        <family val="2"/>
        <charset val="204"/>
      </rPr>
      <t>Ф</t>
    </r>
    <r>
      <rPr>
        <sz val="11"/>
        <color theme="1"/>
        <rFont val="맑은 고딕"/>
        <family val="2"/>
        <charset val="129"/>
        <scheme val="minor"/>
      </rPr>
      <t>65)</t>
    </r>
    <phoneticPr fontId="1" type="noConversion"/>
  </si>
  <si>
    <t>씨앤지옵틱</t>
    <phoneticPr fontId="1" type="noConversion"/>
  </si>
  <si>
    <t>MT-STA-SRP-01</t>
  </si>
  <si>
    <t>지엘플레닛./기해</t>
  </si>
  <si>
    <t>2296-2445</t>
  </si>
  <si>
    <t>컨버터(안정기)</t>
  </si>
  <si>
    <t>Mean Well(피에스유코리아)</t>
  </si>
  <si>
    <t>MTT</t>
  </si>
  <si>
    <t>MT-Lens-TP4501</t>
  </si>
  <si>
    <t>Any Casting</t>
  </si>
  <si>
    <t>Black</t>
  </si>
  <si>
    <t>MT-Lens-TP6001</t>
  </si>
  <si>
    <t>MT-BH-X400</t>
  </si>
  <si>
    <t>MT-BGlass-354</t>
  </si>
  <si>
    <t>MT-BRing-354</t>
  </si>
  <si>
    <t>MT-CBGD-PG135</t>
  </si>
  <si>
    <t>MT-BBRKT-354</t>
  </si>
  <si>
    <t>MT-BOX-460</t>
  </si>
  <si>
    <t>BATOO-X400-045</t>
  </si>
  <si>
    <t>BATOO-X400-060</t>
  </si>
  <si>
    <t>BATOO-X400-120</t>
  </si>
  <si>
    <t>STA Side Reflector Plate(사이드 반사판)</t>
  </si>
  <si>
    <t>STA Side Reflector Plate(사이드 반사판)</t>
    <phoneticPr fontId="1" type="noConversion"/>
  </si>
  <si>
    <t>STA 더미커버용 실링</t>
  </si>
  <si>
    <t>STA 더미커버용 실링</t>
    <phoneticPr fontId="1" type="noConversion"/>
  </si>
  <si>
    <t>STA MTG 브라켓 프레임 러버 1 (바닥용)</t>
    <phoneticPr fontId="1" type="noConversion"/>
  </si>
  <si>
    <t>봉스텐, 태영</t>
  </si>
  <si>
    <t>봉스텐, 태영</t>
    <phoneticPr fontId="1" type="noConversion"/>
  </si>
  <si>
    <t>정도기전, 카이스전자</t>
    <phoneticPr fontId="1" type="noConversion"/>
  </si>
  <si>
    <t>ㄷ브라켓</t>
    <phoneticPr fontId="1" type="noConversion"/>
  </si>
  <si>
    <t>1人</t>
    <phoneticPr fontId="1" type="noConversion"/>
  </si>
  <si>
    <t>2人</t>
    <phoneticPr fontId="1" type="noConversion"/>
  </si>
  <si>
    <t>22日/月</t>
    <phoneticPr fontId="1" type="noConversion"/>
  </si>
  <si>
    <t>원/1日</t>
    <phoneticPr fontId="1" type="noConversion"/>
  </si>
  <si>
    <t>2人-10대 생산時</t>
    <phoneticPr fontId="1" type="noConversion"/>
  </si>
  <si>
    <t>83,333원 - 5.5시간(휴식50분추가)</t>
    <phoneticPr fontId="1" type="noConversion"/>
  </si>
  <si>
    <t>97,222원 - 5.5시간(휴식50분추가)</t>
    <phoneticPr fontId="1" type="noConversion"/>
  </si>
  <si>
    <t>98,485원 - 6.5시간(휴식90분추가)</t>
    <phoneticPr fontId="1" type="noConversion"/>
  </si>
  <si>
    <t>114,899원 - 6.5시간(휴식90분추가)</t>
    <phoneticPr fontId="1" type="noConversion"/>
  </si>
  <si>
    <t>113,636원 - 7.5시간(휴식90분추가)</t>
    <phoneticPr fontId="1" type="noConversion"/>
  </si>
  <si>
    <t>132,575원 - 7.5시간(휴식90분추가)</t>
    <phoneticPr fontId="1" type="noConversion"/>
  </si>
  <si>
    <t>484,849원 - 32시간(휴식240분추가)</t>
    <phoneticPr fontId="1" type="noConversion"/>
  </si>
  <si>
    <t>565,656원 - 32시간(휴식240분추가)</t>
    <phoneticPr fontId="1" type="noConversion"/>
  </si>
  <si>
    <t xml:space="preserve"> MTT12B</t>
    <phoneticPr fontId="1" type="noConversion"/>
  </si>
  <si>
    <t>MTT15A</t>
  </si>
  <si>
    <t>MTT15A</t>
    <phoneticPr fontId="1" type="noConversion"/>
  </si>
  <si>
    <t>MTT15B</t>
  </si>
  <si>
    <t>MTT15B</t>
    <phoneticPr fontId="1" type="noConversion"/>
  </si>
  <si>
    <t>MTT18A</t>
    <phoneticPr fontId="1" type="noConversion"/>
  </si>
  <si>
    <t>MTT18B</t>
    <phoneticPr fontId="1" type="noConversion"/>
  </si>
  <si>
    <t>MTT20A</t>
    <phoneticPr fontId="1" type="noConversion"/>
  </si>
  <si>
    <t>MTT20B</t>
    <phoneticPr fontId="1" type="noConversion"/>
  </si>
  <si>
    <t>MTT24A</t>
    <phoneticPr fontId="1" type="noConversion"/>
  </si>
  <si>
    <t>MTT24B</t>
    <phoneticPr fontId="1" type="noConversion"/>
  </si>
  <si>
    <t>2311-9788</t>
    <phoneticPr fontId="1" type="noConversion"/>
  </si>
  <si>
    <t>MTT12B</t>
    <phoneticPr fontId="1" type="noConversion"/>
  </si>
  <si>
    <t>2311-9789</t>
    <phoneticPr fontId="1" type="noConversion"/>
  </si>
  <si>
    <t>MTT18B</t>
  </si>
  <si>
    <t>2311-9791</t>
  </si>
  <si>
    <t>2311-9791</t>
    <phoneticPr fontId="1" type="noConversion"/>
  </si>
  <si>
    <t>2311-9792</t>
  </si>
  <si>
    <t>2311-9792</t>
    <phoneticPr fontId="1" type="noConversion"/>
  </si>
  <si>
    <t>2311-9793</t>
  </si>
  <si>
    <t>2311-9793</t>
    <phoneticPr fontId="1" type="noConversion"/>
  </si>
  <si>
    <t>2311-9794</t>
  </si>
  <si>
    <t>2311-9794</t>
    <phoneticPr fontId="1" type="noConversion"/>
  </si>
  <si>
    <t>MTT20A</t>
  </si>
  <si>
    <t>MTT20B</t>
  </si>
  <si>
    <t>2311-9795</t>
  </si>
  <si>
    <t>2311-9795</t>
    <phoneticPr fontId="1" type="noConversion"/>
  </si>
  <si>
    <t>2311-9796</t>
  </si>
  <si>
    <t>2311-9796</t>
    <phoneticPr fontId="1" type="noConversion"/>
  </si>
  <si>
    <t>MTT24A</t>
  </si>
  <si>
    <t>MTT24B</t>
  </si>
  <si>
    <t>MTPS-101-8</t>
  </si>
  <si>
    <t>MTPS-101-8</t>
    <phoneticPr fontId="1" type="noConversion"/>
  </si>
  <si>
    <t>STA-400</t>
  </si>
  <si>
    <t>STA-400</t>
    <phoneticPr fontId="1" type="noConversion"/>
  </si>
  <si>
    <t>STA Heat Plate방열핀(스택핀) 2핀</t>
    <phoneticPr fontId="1" type="noConversion"/>
  </si>
  <si>
    <t>오스람</t>
    <phoneticPr fontId="1" type="noConversion"/>
  </si>
  <si>
    <t>OT 400/220-240/1A42DIM P7</t>
    <phoneticPr fontId="1" type="noConversion"/>
  </si>
  <si>
    <t>STA S 유리실링</t>
    <phoneticPr fontId="1" type="noConversion"/>
  </si>
  <si>
    <t>MT-STA S-GSEALING-01</t>
    <phoneticPr fontId="1" type="noConversion"/>
  </si>
  <si>
    <t>PCB-STA S-54-57</t>
    <phoneticPr fontId="1" type="noConversion"/>
  </si>
  <si>
    <t>STA-500</t>
  </si>
  <si>
    <t>STA-500</t>
    <phoneticPr fontId="1" type="noConversion"/>
  </si>
  <si>
    <t>PCB-STA S-72-57</t>
    <phoneticPr fontId="1" type="noConversion"/>
  </si>
  <si>
    <t>OT 600/220-240/2A12DIM P7</t>
    <phoneticPr fontId="1" type="noConversion"/>
  </si>
  <si>
    <t>PCB-STA S-90-57</t>
    <phoneticPr fontId="1" type="noConversion"/>
  </si>
  <si>
    <t>STA-600</t>
  </si>
  <si>
    <t>STA-600</t>
    <phoneticPr fontId="1" type="noConversion"/>
  </si>
  <si>
    <t>STA-800</t>
  </si>
  <si>
    <t>STA-800</t>
    <phoneticPr fontId="1" type="noConversion"/>
  </si>
  <si>
    <t>투광등기구(STA S)</t>
    <phoneticPr fontId="1" type="noConversion"/>
  </si>
  <si>
    <t>STA S 하우징</t>
  </si>
  <si>
    <t>STA S 하우징</t>
    <phoneticPr fontId="1" type="noConversion"/>
  </si>
  <si>
    <t>STA S 사각 림</t>
  </si>
  <si>
    <t>STA S 사각 림</t>
    <phoneticPr fontId="1" type="noConversion"/>
  </si>
  <si>
    <t>STA S 백 커버</t>
  </si>
  <si>
    <t>STA S 백 커버</t>
    <phoneticPr fontId="1" type="noConversion"/>
  </si>
  <si>
    <t>STA S 유리</t>
    <phoneticPr fontId="1" type="noConversion"/>
  </si>
  <si>
    <t>STA 더미 커버</t>
  </si>
  <si>
    <t>MTPS - 101 - 8</t>
    <phoneticPr fontId="1" type="noConversion"/>
  </si>
  <si>
    <t>MTPS - 101 - 9</t>
    <phoneticPr fontId="1" type="noConversion"/>
  </si>
  <si>
    <t>MTPS - 101 - 10</t>
    <phoneticPr fontId="1" type="noConversion"/>
  </si>
  <si>
    <t>MTPS - 102 - 8</t>
    <phoneticPr fontId="1" type="noConversion"/>
  </si>
  <si>
    <t>MTPS - 102 - 9</t>
    <phoneticPr fontId="1" type="noConversion"/>
  </si>
  <si>
    <t>MTPS - 102 - 10</t>
    <phoneticPr fontId="1" type="noConversion"/>
  </si>
  <si>
    <t>MTPS - 103 - 8</t>
    <phoneticPr fontId="1" type="noConversion"/>
  </si>
  <si>
    <t>MTPS - 103 - 9</t>
    <phoneticPr fontId="1" type="noConversion"/>
  </si>
  <si>
    <t>MTPS - 103 - 10</t>
    <phoneticPr fontId="1" type="noConversion"/>
  </si>
  <si>
    <t>MTPS - 104 - 8</t>
    <phoneticPr fontId="1" type="noConversion"/>
  </si>
  <si>
    <t>MTPS - 104 - 9</t>
    <phoneticPr fontId="1" type="noConversion"/>
  </si>
  <si>
    <t>MTPS - 104 - 10</t>
    <phoneticPr fontId="1" type="noConversion"/>
  </si>
  <si>
    <t>MTPS - 105 - 8</t>
    <phoneticPr fontId="1" type="noConversion"/>
  </si>
  <si>
    <t>MTPS - 105 - 9</t>
    <phoneticPr fontId="1" type="noConversion"/>
  </si>
  <si>
    <t>MTPS - 105 - 10</t>
    <phoneticPr fontId="1" type="noConversion"/>
  </si>
  <si>
    <t>MTPS - 105 - 10-2</t>
    <phoneticPr fontId="1" type="noConversion"/>
  </si>
  <si>
    <t>MTPS-201-4</t>
    <phoneticPr fontId="1" type="noConversion"/>
  </si>
  <si>
    <t>MTPS-201-5</t>
    <phoneticPr fontId="1" type="noConversion"/>
  </si>
  <si>
    <t>MTPS-202-4</t>
    <phoneticPr fontId="1" type="noConversion"/>
  </si>
  <si>
    <t>MTPS-202-5</t>
    <phoneticPr fontId="1" type="noConversion"/>
  </si>
  <si>
    <t>MTPS-204-4</t>
    <phoneticPr fontId="1" type="noConversion"/>
  </si>
  <si>
    <t>MTPS-201-6</t>
    <phoneticPr fontId="1" type="noConversion"/>
  </si>
  <si>
    <t>MTPS-204-5</t>
    <phoneticPr fontId="1" type="noConversion"/>
  </si>
  <si>
    <t>MTPS-204-4-2</t>
    <phoneticPr fontId="1" type="noConversion"/>
  </si>
  <si>
    <t>MTPS-202-6</t>
    <phoneticPr fontId="1" type="noConversion"/>
  </si>
  <si>
    <t>MTPS-203-4</t>
    <phoneticPr fontId="1" type="noConversion"/>
  </si>
  <si>
    <t>MTPS-204-6</t>
    <phoneticPr fontId="1" type="noConversion"/>
  </si>
  <si>
    <t>MTPS-204-5-2</t>
    <phoneticPr fontId="1" type="noConversion"/>
  </si>
  <si>
    <t>MTPS-203-5</t>
    <phoneticPr fontId="1" type="noConversion"/>
  </si>
  <si>
    <t>MTPS-204-6-2</t>
    <phoneticPr fontId="1" type="noConversion"/>
  </si>
  <si>
    <t>MTPS-203-5-2</t>
    <phoneticPr fontId="1" type="noConversion"/>
  </si>
  <si>
    <t>MTPS-203-6</t>
    <phoneticPr fontId="1" type="noConversion"/>
  </si>
  <si>
    <t>MTPS-205-65</t>
    <phoneticPr fontId="1" type="noConversion"/>
  </si>
  <si>
    <t>MTPS - 105 - 9-2</t>
    <phoneticPr fontId="1" type="noConversion"/>
  </si>
  <si>
    <t>MTPS - 103 - 10-2</t>
    <phoneticPr fontId="1" type="noConversion"/>
  </si>
  <si>
    <t>태영스텐레이저</t>
    <phoneticPr fontId="1" type="noConversion"/>
  </si>
  <si>
    <t xml:space="preserve">Ф127.0 </t>
    <phoneticPr fontId="1" type="noConversion"/>
  </si>
  <si>
    <t xml:space="preserve">Ф216.0 </t>
    <phoneticPr fontId="1" type="noConversion"/>
  </si>
  <si>
    <t>Φ216 - Φ127</t>
    <phoneticPr fontId="1" type="noConversion"/>
  </si>
  <si>
    <t>MTPS-101-9</t>
  </si>
  <si>
    <t>2252-0260</t>
  </si>
  <si>
    <t>2252-0260</t>
    <phoneticPr fontId="1" type="noConversion"/>
  </si>
  <si>
    <t>2252-0261</t>
  </si>
  <si>
    <t>MTPS-102-8</t>
  </si>
  <si>
    <t>MTPS-102-9</t>
    <phoneticPr fontId="1" type="noConversion"/>
  </si>
  <si>
    <t>2252-0264</t>
    <phoneticPr fontId="1" type="noConversion"/>
  </si>
  <si>
    <t>MTPS-102-10</t>
    <phoneticPr fontId="1" type="noConversion"/>
  </si>
  <si>
    <t>2252-0265</t>
    <phoneticPr fontId="1" type="noConversion"/>
  </si>
  <si>
    <t>MTPS-103-8</t>
    <phoneticPr fontId="1" type="noConversion"/>
  </si>
  <si>
    <t>2266-5137</t>
    <phoneticPr fontId="1" type="noConversion"/>
  </si>
  <si>
    <t>MT-SV-040</t>
  </si>
  <si>
    <t>태양광가로등</t>
    <phoneticPr fontId="1" type="noConversion"/>
  </si>
  <si>
    <t>품명</t>
    <phoneticPr fontId="1" type="noConversion"/>
  </si>
  <si>
    <t>수량</t>
    <phoneticPr fontId="1" type="noConversion"/>
  </si>
  <si>
    <t>MT-SV-040</t>
    <phoneticPr fontId="1" type="noConversion"/>
  </si>
  <si>
    <t>No</t>
    <phoneticPr fontId="1" type="noConversion"/>
  </si>
  <si>
    <t>식별번호</t>
    <phoneticPr fontId="1" type="noConversion"/>
  </si>
  <si>
    <t>완제품코드</t>
    <phoneticPr fontId="1" type="noConversion"/>
  </si>
  <si>
    <t>원수</t>
    <phoneticPr fontId="1" type="noConversion"/>
  </si>
  <si>
    <t>부품업체</t>
    <phoneticPr fontId="1" type="noConversion"/>
  </si>
  <si>
    <t>단가</t>
    <phoneticPr fontId="1" type="noConversion"/>
  </si>
  <si>
    <t>컨트롤러</t>
  </si>
  <si>
    <t>LOW MTG</t>
  </si>
  <si>
    <t>KDG</t>
    <phoneticPr fontId="1" type="noConversion"/>
  </si>
  <si>
    <t>TOP MTG</t>
  </si>
  <si>
    <t>SIDE COVER(L)</t>
  </si>
  <si>
    <t>SIDE COVER(R)</t>
  </si>
  <si>
    <t>JM테크</t>
    <phoneticPr fontId="1" type="noConversion"/>
  </si>
  <si>
    <t>배터리 하우징</t>
  </si>
  <si>
    <t>배터리 받침판</t>
  </si>
  <si>
    <t>미래테크</t>
    <phoneticPr fontId="1" type="noConversion"/>
  </si>
  <si>
    <t>틸트 브라켓</t>
  </si>
  <si>
    <t>LED 모듈/하우징</t>
  </si>
  <si>
    <t>KDG</t>
    <phoneticPr fontId="1" type="noConversion"/>
  </si>
  <si>
    <t>태양광 패널</t>
  </si>
  <si>
    <t>한국항공조명</t>
  </si>
  <si>
    <t>태양광 패널 보호종이</t>
    <phoneticPr fontId="1" type="noConversion"/>
  </si>
  <si>
    <t>H 브라켓</t>
  </si>
  <si>
    <t>세전사</t>
  </si>
  <si>
    <t>그로멧</t>
  </si>
  <si>
    <t>박스</t>
  </si>
  <si>
    <t>스티로폼 내장재</t>
  </si>
  <si>
    <t>피알테크</t>
  </si>
  <si>
    <t>위험물(제품) 라벨</t>
  </si>
  <si>
    <t>제이에스피</t>
    <phoneticPr fontId="1" type="noConversion"/>
  </si>
  <si>
    <t>제품 표시 라벨</t>
  </si>
  <si>
    <t>볼트지퍼팩        (A)</t>
  </si>
  <si>
    <t>대신물산</t>
    <phoneticPr fontId="1" type="noConversion"/>
  </si>
  <si>
    <t>볼트지퍼팩        (B)</t>
  </si>
  <si>
    <t>대신물산</t>
    <phoneticPr fontId="1" type="noConversion"/>
  </si>
  <si>
    <t>설명서 비닐</t>
  </si>
  <si>
    <t>스텐렌치셈스볼트(8*20)</t>
    <phoneticPr fontId="1" type="noConversion"/>
  </si>
  <si>
    <t>대광볼트</t>
    <phoneticPr fontId="1" type="noConversion"/>
  </si>
  <si>
    <t>대광볼트</t>
    <phoneticPr fontId="1" type="noConversion"/>
  </si>
  <si>
    <t>대광볼트</t>
    <phoneticPr fontId="1" type="noConversion"/>
  </si>
  <si>
    <t>스텐스프링와셔(M10)</t>
    <phoneticPr fontId="1" type="noConversion"/>
  </si>
  <si>
    <t>대광볼트</t>
    <phoneticPr fontId="1" type="noConversion"/>
  </si>
  <si>
    <t>스텐평와셔(M10)</t>
    <phoneticPr fontId="1" type="noConversion"/>
  </si>
  <si>
    <t>대광볼트</t>
    <phoneticPr fontId="1" type="noConversion"/>
  </si>
  <si>
    <t>스텐렌치볼트(10*100)</t>
    <phoneticPr fontId="1" type="noConversion"/>
  </si>
  <si>
    <t>스텐후렌지너트(M10*1.5P*14)</t>
    <phoneticPr fontId="1" type="noConversion"/>
  </si>
  <si>
    <t>스텐사라머신(6*12)</t>
    <phoneticPr fontId="1" type="noConversion"/>
  </si>
  <si>
    <t>스텐PH셈스볼트(4*8)</t>
    <phoneticPr fontId="1" type="noConversion"/>
  </si>
  <si>
    <t>스텐렌치셈스볼트(8*16)</t>
    <phoneticPr fontId="1" type="noConversion"/>
  </si>
  <si>
    <t>스텐후렌지너트(M8*13)</t>
    <phoneticPr fontId="1" type="noConversion"/>
  </si>
  <si>
    <t>스텐렌치볼트(10*20)</t>
    <phoneticPr fontId="1" type="noConversion"/>
  </si>
  <si>
    <t>KDG(지산)</t>
    <phoneticPr fontId="1" type="noConversion"/>
  </si>
  <si>
    <t>KDG(지산)</t>
    <phoneticPr fontId="1" type="noConversion"/>
  </si>
  <si>
    <t>KDG(강진특수고무)</t>
    <phoneticPr fontId="1" type="noConversion"/>
  </si>
  <si>
    <t>보강포장산업</t>
    <phoneticPr fontId="1" type="noConversion"/>
  </si>
  <si>
    <t>스텐렌치셈스볼트(8*30)</t>
    <phoneticPr fontId="1" type="noConversion"/>
  </si>
  <si>
    <t>소요량</t>
    <phoneticPr fontId="1" type="noConversion"/>
  </si>
  <si>
    <t>재료비</t>
    <phoneticPr fontId="1" type="noConversion"/>
  </si>
  <si>
    <t>MT-STA-S-LensHD</t>
    <phoneticPr fontId="1" type="noConversion"/>
  </si>
  <si>
    <t>STA S 유리고정사출물1(검정) Glass Lens Holder</t>
    <phoneticPr fontId="1" type="noConversion"/>
  </si>
  <si>
    <t>ø354 ㄷ 브라켓</t>
    <phoneticPr fontId="1" type="noConversion"/>
  </si>
  <si>
    <t>ㄷ브라켓(도금)</t>
    <phoneticPr fontId="1" type="noConversion"/>
  </si>
  <si>
    <t>태영 + 시앤시</t>
    <phoneticPr fontId="1" type="noConversion"/>
  </si>
  <si>
    <t>ㄷ브라켓와샤</t>
    <phoneticPr fontId="1" type="noConversion"/>
  </si>
  <si>
    <t>태영</t>
    <phoneticPr fontId="1" type="noConversion"/>
  </si>
  <si>
    <t>HLG-480H-54A</t>
    <phoneticPr fontId="1" type="noConversion"/>
  </si>
  <si>
    <t>PCB-STA S-60-57</t>
    <phoneticPr fontId="1" type="noConversion"/>
  </si>
  <si>
    <t>보린, 엠티아이테크</t>
    <phoneticPr fontId="1" type="noConversion"/>
  </si>
  <si>
    <t>경산기계, 라이트팹(구 세전사)</t>
  </si>
  <si>
    <t>경산기계, 라이트팹(구 세전사)</t>
    <phoneticPr fontId="1" type="noConversion"/>
  </si>
  <si>
    <t>에스제이티, 성광실리텍</t>
  </si>
  <si>
    <t>에스제이티, 성광실리텍</t>
    <phoneticPr fontId="1" type="noConversion"/>
  </si>
  <si>
    <t>에스제이티, 케이디</t>
  </si>
  <si>
    <t>에스제이티, 케이디</t>
    <phoneticPr fontId="1" type="noConversion"/>
  </si>
  <si>
    <t>경산기계, 진성티엔에스</t>
    <phoneticPr fontId="1" type="noConversion"/>
  </si>
  <si>
    <t>AS-유리 실링</t>
  </si>
  <si>
    <t>AS-유리 실링</t>
    <phoneticPr fontId="1" type="noConversion"/>
  </si>
  <si>
    <t>AS-GSealing-01</t>
  </si>
  <si>
    <t>AS-GSealing-01</t>
    <phoneticPr fontId="1" type="noConversion"/>
  </si>
  <si>
    <t>에스제이티/진성티엔에스</t>
    <phoneticPr fontId="1" type="noConversion"/>
  </si>
  <si>
    <t>에스제이티/케이디</t>
    <phoneticPr fontId="1" type="noConversion"/>
  </si>
  <si>
    <t>ㄷ브라켓(도금)</t>
  </si>
  <si>
    <t>ㄷ브라켓와샤</t>
  </si>
  <si>
    <t>태영 + 시앤시</t>
  </si>
  <si>
    <t>태영</t>
  </si>
  <si>
    <t>ø255 ㄷ 브라켓</t>
  </si>
  <si>
    <t>ø354 ㄷ 브라켓</t>
  </si>
  <si>
    <t>ø475 ㄷ 브라켓</t>
  </si>
  <si>
    <t>테오백</t>
  </si>
  <si>
    <t>테오백, 위트솔루션즈</t>
    <phoneticPr fontId="1" type="noConversion"/>
  </si>
  <si>
    <t>A-반사판-메인</t>
    <phoneticPr fontId="1" type="noConversion"/>
  </si>
  <si>
    <t>AS-반사판-메인</t>
    <phoneticPr fontId="1" type="noConversion"/>
  </si>
  <si>
    <t>A-반사판-좌측</t>
    <phoneticPr fontId="1" type="noConversion"/>
  </si>
  <si>
    <t>A-반사판-우측</t>
    <phoneticPr fontId="1" type="noConversion"/>
  </si>
  <si>
    <t>AS-반사판-좌측</t>
    <phoneticPr fontId="1" type="noConversion"/>
  </si>
  <si>
    <t>AS-반사판-우측</t>
    <phoneticPr fontId="1" type="noConversion"/>
  </si>
  <si>
    <t>A-반사판 브라켓-상</t>
    <phoneticPr fontId="1" type="noConversion"/>
  </si>
  <si>
    <t>A-반사판 브라켓-중</t>
    <phoneticPr fontId="1" type="noConversion"/>
  </si>
  <si>
    <t>A-반사판 브라켓-하</t>
    <phoneticPr fontId="1" type="noConversion"/>
  </si>
  <si>
    <t>AS-반사판 브라켓-상</t>
    <phoneticPr fontId="1" type="noConversion"/>
  </si>
  <si>
    <t>AS-반사판 브라켓-하</t>
    <phoneticPr fontId="1" type="noConversion"/>
  </si>
  <si>
    <t>MTPF-201-4</t>
    <phoneticPr fontId="1" type="noConversion"/>
  </si>
  <si>
    <t>MTPF-201-4-2</t>
    <phoneticPr fontId="1" type="noConversion"/>
  </si>
  <si>
    <t>MTPF-201-5</t>
    <phoneticPr fontId="1" type="noConversion"/>
  </si>
  <si>
    <t>MTPF-201-5-2</t>
    <phoneticPr fontId="1" type="noConversion"/>
  </si>
  <si>
    <t>MTPF-101-8</t>
    <phoneticPr fontId="1" type="noConversion"/>
  </si>
  <si>
    <t>MTPF-101-8-2</t>
    <phoneticPr fontId="1" type="noConversion"/>
  </si>
  <si>
    <t>MTPF-101-9</t>
    <phoneticPr fontId="1" type="noConversion"/>
  </si>
  <si>
    <t>MTPF-101-9-2</t>
    <phoneticPr fontId="1" type="noConversion"/>
  </si>
  <si>
    <t>MTPF-101-10</t>
    <phoneticPr fontId="1" type="noConversion"/>
  </si>
  <si>
    <t>MTPF-101-10-2</t>
    <phoneticPr fontId="1" type="noConversion"/>
  </si>
  <si>
    <t>MTPF-101-12</t>
    <phoneticPr fontId="1" type="noConversion"/>
  </si>
  <si>
    <t>MTPF-101-12-2</t>
    <phoneticPr fontId="1" type="noConversion"/>
  </si>
  <si>
    <t>Ф216.3 * 3.0T↑ * 3M</t>
    <phoneticPr fontId="1" type="noConversion"/>
  </si>
  <si>
    <t>Ф127.0 * 3.0T↑ * 5.3M</t>
    <phoneticPr fontId="1" type="noConversion"/>
  </si>
  <si>
    <t>Ф127.8(Ф209)</t>
    <phoneticPr fontId="1" type="noConversion"/>
  </si>
  <si>
    <r>
      <rPr>
        <sz val="11"/>
        <color theme="1"/>
        <rFont val="맑은 고딕"/>
        <family val="3"/>
        <charset val="129"/>
      </rPr>
      <t>식별번호</t>
    </r>
    <phoneticPr fontId="1" type="noConversion"/>
  </si>
  <si>
    <r>
      <rPr>
        <sz val="11"/>
        <color theme="1"/>
        <rFont val="맑은 고딕"/>
        <family val="3"/>
        <charset val="129"/>
      </rPr>
      <t>완제품코드</t>
    </r>
    <phoneticPr fontId="1" type="noConversion"/>
  </si>
  <si>
    <r>
      <rPr>
        <sz val="11"/>
        <color theme="1"/>
        <rFont val="맑은 고딕"/>
        <family val="3"/>
        <charset val="129"/>
      </rPr>
      <t>품목명</t>
    </r>
    <phoneticPr fontId="1" type="noConversion"/>
  </si>
  <si>
    <r>
      <rPr>
        <sz val="11"/>
        <color theme="1"/>
        <rFont val="맑은 고딕"/>
        <family val="3"/>
        <charset val="129"/>
      </rPr>
      <t>규격</t>
    </r>
    <phoneticPr fontId="1" type="noConversion"/>
  </si>
  <si>
    <r>
      <rPr>
        <sz val="11"/>
        <color theme="1"/>
        <rFont val="맑은 고딕"/>
        <family val="3"/>
        <charset val="129"/>
      </rPr>
      <t>원수</t>
    </r>
    <phoneticPr fontId="1" type="noConversion"/>
  </si>
  <si>
    <r>
      <rPr>
        <sz val="11"/>
        <color theme="1"/>
        <rFont val="맑은 고딕"/>
        <family val="3"/>
        <charset val="129"/>
      </rPr>
      <t>부품업체</t>
    </r>
    <phoneticPr fontId="1" type="noConversion"/>
  </si>
  <si>
    <r>
      <rPr>
        <sz val="11"/>
        <color theme="1"/>
        <rFont val="맑은 고딕"/>
        <family val="3"/>
        <charset val="129"/>
      </rPr>
      <t>소요량</t>
    </r>
    <phoneticPr fontId="1" type="noConversion"/>
  </si>
  <si>
    <r>
      <rPr>
        <sz val="11"/>
        <color theme="1"/>
        <rFont val="맑은 고딕"/>
        <family val="3"/>
        <charset val="129"/>
      </rPr>
      <t>단가</t>
    </r>
    <phoneticPr fontId="1" type="noConversion"/>
  </si>
  <si>
    <r>
      <rPr>
        <sz val="11"/>
        <color theme="1"/>
        <rFont val="맑은 고딕"/>
        <family val="3"/>
        <charset val="129"/>
      </rPr>
      <t>스텐</t>
    </r>
    <r>
      <rPr>
        <sz val="11"/>
        <color theme="1"/>
        <rFont val="Meiryo"/>
        <family val="2"/>
        <charset val="128"/>
      </rPr>
      <t xml:space="preserve"> </t>
    </r>
    <r>
      <rPr>
        <sz val="11"/>
        <color theme="1"/>
        <rFont val="맑은 고딕"/>
        <family val="3"/>
        <charset val="129"/>
      </rPr>
      <t>파이프</t>
    </r>
    <phoneticPr fontId="1" type="noConversion"/>
  </si>
  <si>
    <r>
      <rPr>
        <sz val="11"/>
        <color theme="1"/>
        <rFont val="맑은 고딕"/>
        <family val="3"/>
        <charset val="129"/>
      </rPr>
      <t>에스케이스틸</t>
    </r>
    <r>
      <rPr>
        <sz val="11"/>
        <color theme="1"/>
        <rFont val="Meiryo"/>
        <family val="2"/>
        <charset val="128"/>
      </rPr>
      <t xml:space="preserve">, </t>
    </r>
    <r>
      <rPr>
        <sz val="11"/>
        <color theme="1"/>
        <rFont val="맑은 고딕"/>
        <family val="3"/>
        <charset val="129"/>
      </rPr>
      <t>예림금속</t>
    </r>
    <phoneticPr fontId="1" type="noConversion"/>
  </si>
  <si>
    <r>
      <rPr>
        <sz val="11"/>
        <color theme="1"/>
        <rFont val="맑은 고딕"/>
        <family val="3"/>
        <charset val="129"/>
      </rPr>
      <t>베이스판</t>
    </r>
    <r>
      <rPr>
        <sz val="11"/>
        <color theme="1"/>
        <rFont val="Meiryo"/>
        <family val="2"/>
        <charset val="128"/>
      </rPr>
      <t>(</t>
    </r>
    <r>
      <rPr>
        <sz val="11"/>
        <color theme="1"/>
        <rFont val="맑은 고딕"/>
        <family val="3"/>
        <charset val="129"/>
      </rPr>
      <t>바닥판</t>
    </r>
    <r>
      <rPr>
        <sz val="11"/>
        <color theme="1"/>
        <rFont val="Meiryo"/>
        <family val="2"/>
        <charset val="128"/>
      </rPr>
      <t>)</t>
    </r>
    <phoneticPr fontId="1" type="noConversion"/>
  </si>
  <si>
    <r>
      <rPr>
        <sz val="11"/>
        <color theme="1"/>
        <rFont val="맑은 고딕"/>
        <family val="3"/>
        <charset val="129"/>
      </rPr>
      <t>누리테크</t>
    </r>
    <phoneticPr fontId="1" type="noConversion"/>
  </si>
  <si>
    <r>
      <rPr>
        <sz val="11"/>
        <color theme="1"/>
        <rFont val="맑은 고딕"/>
        <family val="3"/>
        <charset val="129"/>
      </rPr>
      <t>삼각보강대</t>
    </r>
    <phoneticPr fontId="1" type="noConversion"/>
  </si>
  <si>
    <r>
      <rPr>
        <sz val="11"/>
        <color theme="1"/>
        <rFont val="맑은 고딕"/>
        <family val="3"/>
        <charset val="129"/>
      </rPr>
      <t>중간장식링</t>
    </r>
    <r>
      <rPr>
        <sz val="11"/>
        <color theme="1"/>
        <rFont val="Meiryo"/>
        <family val="2"/>
        <charset val="128"/>
      </rPr>
      <t>(</t>
    </r>
    <r>
      <rPr>
        <sz val="11"/>
        <color theme="1"/>
        <rFont val="맑은 고딕"/>
        <family val="3"/>
        <charset val="129"/>
      </rPr>
      <t>액세서리</t>
    </r>
    <r>
      <rPr>
        <sz val="11"/>
        <color theme="1"/>
        <rFont val="Meiryo"/>
        <family val="2"/>
        <charset val="128"/>
      </rPr>
      <t>)</t>
    </r>
    <phoneticPr fontId="1" type="noConversion"/>
  </si>
  <si>
    <r>
      <rPr>
        <sz val="11"/>
        <color theme="1"/>
        <rFont val="맑은 고딕"/>
        <family val="3"/>
        <charset val="129"/>
      </rPr>
      <t>화진라이팅</t>
    </r>
    <phoneticPr fontId="1" type="noConversion"/>
  </si>
  <si>
    <r>
      <rPr>
        <sz val="11"/>
        <color theme="1"/>
        <rFont val="맑은 고딕"/>
        <family val="3"/>
        <charset val="129"/>
      </rPr>
      <t>국기꽂이</t>
    </r>
    <phoneticPr fontId="1" type="noConversion"/>
  </si>
  <si>
    <r>
      <rPr>
        <sz val="11"/>
        <color theme="1"/>
        <rFont val="맑은 고딕"/>
        <family val="3"/>
        <charset val="129"/>
      </rPr>
      <t>광진금속</t>
    </r>
    <phoneticPr fontId="1" type="noConversion"/>
  </si>
  <si>
    <r>
      <rPr>
        <sz val="11"/>
        <color theme="1"/>
        <rFont val="맑은 고딕"/>
        <family val="3"/>
        <charset val="129"/>
      </rPr>
      <t>점검구</t>
    </r>
    <r>
      <rPr>
        <sz val="11"/>
        <color theme="1"/>
        <rFont val="Meiryo"/>
        <family val="2"/>
        <charset val="128"/>
      </rPr>
      <t xml:space="preserve"> </t>
    </r>
    <r>
      <rPr>
        <sz val="11"/>
        <color theme="1"/>
        <rFont val="맑은 고딕"/>
        <family val="3"/>
        <charset val="129"/>
      </rPr>
      <t>보강대</t>
    </r>
    <phoneticPr fontId="1" type="noConversion"/>
  </si>
  <si>
    <r>
      <rPr>
        <sz val="11"/>
        <color theme="1"/>
        <rFont val="맑은 고딕"/>
        <family val="3"/>
        <charset val="129"/>
      </rPr>
      <t>점검구</t>
    </r>
    <r>
      <rPr>
        <sz val="11"/>
        <color theme="1"/>
        <rFont val="Meiryo"/>
        <family val="2"/>
        <charset val="128"/>
      </rPr>
      <t xml:space="preserve"> </t>
    </r>
    <r>
      <rPr>
        <sz val="11"/>
        <color theme="1"/>
        <rFont val="맑은 고딕"/>
        <family val="3"/>
        <charset val="129"/>
      </rPr>
      <t>보강대</t>
    </r>
    <r>
      <rPr>
        <sz val="11"/>
        <color theme="1"/>
        <rFont val="Meiryo"/>
        <family val="2"/>
        <charset val="128"/>
      </rPr>
      <t xml:space="preserve"> </t>
    </r>
    <r>
      <rPr>
        <sz val="11"/>
        <color theme="1"/>
        <rFont val="맑은 고딕"/>
        <family val="3"/>
        <charset val="129"/>
      </rPr>
      <t>커버</t>
    </r>
    <phoneticPr fontId="1" type="noConversion"/>
  </si>
  <si>
    <r>
      <rPr>
        <sz val="11"/>
        <color theme="1"/>
        <rFont val="맑은 고딕"/>
        <family val="3"/>
        <charset val="129"/>
      </rPr>
      <t>시보리</t>
    </r>
    <phoneticPr fontId="1" type="noConversion"/>
  </si>
  <si>
    <r>
      <rPr>
        <sz val="11"/>
        <color theme="1"/>
        <rFont val="맑은 고딕"/>
        <family val="3"/>
        <charset val="129"/>
      </rPr>
      <t>레듀샤</t>
    </r>
    <phoneticPr fontId="1" type="noConversion"/>
  </si>
  <si>
    <r>
      <rPr>
        <sz val="11"/>
        <color theme="1"/>
        <rFont val="맑은 고딕"/>
        <family val="3"/>
        <charset val="129"/>
      </rPr>
      <t>광동스텐</t>
    </r>
    <phoneticPr fontId="1" type="noConversion"/>
  </si>
  <si>
    <r>
      <rPr>
        <sz val="11"/>
        <color theme="1"/>
        <rFont val="맑은 고딕"/>
        <family val="3"/>
        <charset val="129"/>
      </rPr>
      <t>보강링</t>
    </r>
    <phoneticPr fontId="1" type="noConversion"/>
  </si>
  <si>
    <r>
      <rPr>
        <sz val="11"/>
        <color theme="1"/>
        <rFont val="맑은 고딕"/>
        <family val="3"/>
        <charset val="129"/>
      </rPr>
      <t>태영스텐레이저</t>
    </r>
    <phoneticPr fontId="1" type="noConversion"/>
  </si>
  <si>
    <r>
      <rPr>
        <sz val="11"/>
        <color theme="1"/>
        <rFont val="맑은 고딕"/>
        <family val="3"/>
        <charset val="129"/>
      </rPr>
      <t>스텐</t>
    </r>
    <r>
      <rPr>
        <sz val="11"/>
        <color theme="1"/>
        <rFont val="Meiryo"/>
        <family val="2"/>
        <charset val="128"/>
      </rPr>
      <t xml:space="preserve"> </t>
    </r>
    <r>
      <rPr>
        <sz val="11"/>
        <color theme="1"/>
        <rFont val="맑은 고딕"/>
        <family val="3"/>
        <charset val="129"/>
      </rPr>
      <t>볼</t>
    </r>
    <phoneticPr fontId="1" type="noConversion"/>
  </si>
  <si>
    <r>
      <rPr>
        <sz val="11"/>
        <color theme="1"/>
        <rFont val="맑은 고딕"/>
        <family val="3"/>
        <charset val="129"/>
      </rPr>
      <t>스텐</t>
    </r>
    <r>
      <rPr>
        <sz val="11"/>
        <color theme="1"/>
        <rFont val="Meiryo"/>
        <family val="2"/>
        <charset val="128"/>
      </rPr>
      <t xml:space="preserve"> </t>
    </r>
    <r>
      <rPr>
        <sz val="11"/>
        <color theme="1"/>
        <rFont val="맑은 고딕"/>
        <family val="3"/>
        <charset val="129"/>
      </rPr>
      <t>조인트</t>
    </r>
    <phoneticPr fontId="1" type="noConversion"/>
  </si>
  <si>
    <r>
      <rPr>
        <sz val="11"/>
        <color theme="1"/>
        <rFont val="맑은 고딕"/>
        <family val="3"/>
        <charset val="129"/>
      </rPr>
      <t>예림금속</t>
    </r>
    <phoneticPr fontId="1" type="noConversion"/>
  </si>
  <si>
    <r>
      <rPr>
        <sz val="11"/>
        <color theme="1"/>
        <rFont val="맑은 고딕"/>
        <family val="2"/>
        <charset val="129"/>
      </rPr>
      <t>재료비</t>
    </r>
    <phoneticPr fontId="1" type="noConversion"/>
  </si>
  <si>
    <r>
      <rPr>
        <sz val="11"/>
        <color theme="1"/>
        <rFont val="맑은 고딕"/>
        <family val="2"/>
        <charset val="129"/>
      </rPr>
      <t>비고</t>
    </r>
    <phoneticPr fontId="1" type="noConversion"/>
  </si>
  <si>
    <r>
      <rPr>
        <sz val="10"/>
        <color theme="1"/>
        <rFont val="맑은 고딕"/>
        <family val="3"/>
        <charset val="129"/>
      </rPr>
      <t>품명</t>
    </r>
    <phoneticPr fontId="1" type="noConversion"/>
  </si>
  <si>
    <r>
      <rPr>
        <sz val="10"/>
        <color theme="1"/>
        <rFont val="맑은 고딕"/>
        <family val="3"/>
        <charset val="129"/>
      </rPr>
      <t>수량</t>
    </r>
    <phoneticPr fontId="1" type="noConversion"/>
  </si>
  <si>
    <t>Ф400 * Ф216 * 17.0T↑</t>
    <phoneticPr fontId="1" type="noConversion"/>
  </si>
  <si>
    <t>Ф60</t>
    <phoneticPr fontId="1" type="noConversion"/>
  </si>
  <si>
    <t>2252-0262</t>
  </si>
  <si>
    <t>MTPS-101-10</t>
  </si>
  <si>
    <t>Ф60.5 * 2.0T * 3,000</t>
    <phoneticPr fontId="1" type="noConversion"/>
  </si>
  <si>
    <t>Ф38.1 * 1.5T * 3,000</t>
    <phoneticPr fontId="1" type="noConversion"/>
  </si>
  <si>
    <t>Ф22.3 * 1.5T * 2,000</t>
    <phoneticPr fontId="1" type="noConversion"/>
  </si>
  <si>
    <r>
      <rPr>
        <sz val="11"/>
        <color theme="1"/>
        <rFont val="맑은 고딕"/>
        <family val="3"/>
        <charset val="129"/>
      </rPr>
      <t>스텐</t>
    </r>
    <r>
      <rPr>
        <sz val="11"/>
        <color theme="1"/>
        <rFont val="Meiryo"/>
        <family val="2"/>
        <charset val="128"/>
      </rPr>
      <t xml:space="preserve"> </t>
    </r>
    <r>
      <rPr>
        <sz val="11"/>
        <color theme="1"/>
        <rFont val="맑은 고딕"/>
        <family val="3"/>
        <charset val="129"/>
      </rPr>
      <t>캡</t>
    </r>
    <phoneticPr fontId="1" type="noConversion"/>
  </si>
  <si>
    <t>2252-0263</t>
  </si>
  <si>
    <t>Ф127.0 * 3.0T↑ * 1.2M</t>
    <phoneticPr fontId="1" type="noConversion"/>
  </si>
  <si>
    <r>
      <t xml:space="preserve">200↑ * 85 * </t>
    </r>
    <r>
      <rPr>
        <sz val="11"/>
        <color theme="1"/>
        <rFont val="맑은 고딕"/>
        <family val="3"/>
        <charset val="129"/>
      </rPr>
      <t>두께</t>
    </r>
    <r>
      <rPr>
        <sz val="11"/>
        <color theme="1"/>
        <rFont val="Meiryo"/>
        <family val="2"/>
        <charset val="128"/>
      </rPr>
      <t xml:space="preserve"> 9.0T↑</t>
    </r>
    <phoneticPr fontId="1" type="noConversion"/>
  </si>
  <si>
    <t>Ф127.0 * 3.0T↑ * 4.1M</t>
    <phoneticPr fontId="1" type="noConversion"/>
  </si>
  <si>
    <t>Ф216.3 * 3.0T↑ * 3M</t>
  </si>
  <si>
    <t>Ф127.0 * 3.0T↑ * 4.1M</t>
  </si>
  <si>
    <t>Ф127.0 * 3.0T↑ * 1.2M</t>
  </si>
  <si>
    <t>Ф127.0 * 3.0T↑ * 6M</t>
    <phoneticPr fontId="1" type="noConversion"/>
  </si>
  <si>
    <r>
      <rPr>
        <sz val="11"/>
        <color theme="1"/>
        <rFont val="Arial Unicode MS"/>
        <family val="3"/>
        <charset val="129"/>
      </rPr>
      <t>가공</t>
    </r>
    <phoneticPr fontId="1" type="noConversion"/>
  </si>
  <si>
    <r>
      <rPr>
        <sz val="11"/>
        <color theme="1"/>
        <rFont val="굴림"/>
        <family val="2"/>
        <charset val="129"/>
      </rPr>
      <t>가공</t>
    </r>
    <phoneticPr fontId="1" type="noConversion"/>
  </si>
  <si>
    <r>
      <rPr>
        <sz val="11"/>
        <color theme="1"/>
        <rFont val="굴림"/>
        <family val="2"/>
        <charset val="129"/>
      </rPr>
      <t>일진벤딩</t>
    </r>
    <phoneticPr fontId="1" type="noConversion"/>
  </si>
  <si>
    <r>
      <rPr>
        <sz val="11"/>
        <color theme="1"/>
        <rFont val="맑은 고딕"/>
        <family val="2"/>
        <charset val="129"/>
      </rPr>
      <t>매그나텍</t>
    </r>
    <phoneticPr fontId="1" type="noConversion"/>
  </si>
  <si>
    <t>MTPS-103-9</t>
  </si>
  <si>
    <t>MTPS-103-9</t>
    <phoneticPr fontId="1" type="noConversion"/>
  </si>
  <si>
    <t>2266-5138</t>
  </si>
  <si>
    <t>2266-5138</t>
    <phoneticPr fontId="1" type="noConversion"/>
  </si>
  <si>
    <t>Ф127.0 * 3.0T↑ * 5.3M</t>
  </si>
  <si>
    <t>MTPS-103-10</t>
  </si>
  <si>
    <t>MTPS-103-10</t>
    <phoneticPr fontId="1" type="noConversion"/>
  </si>
  <si>
    <t xml:space="preserve">2266-5139 </t>
  </si>
  <si>
    <t xml:space="preserve">2266-5139 </t>
    <phoneticPr fontId="1" type="noConversion"/>
  </si>
  <si>
    <t>MTPS-103-10-2</t>
  </si>
  <si>
    <t>MTPS-103-10-2</t>
    <phoneticPr fontId="1" type="noConversion"/>
  </si>
  <si>
    <t>2266-5140</t>
  </si>
  <si>
    <t>2266-5140</t>
    <phoneticPr fontId="1" type="noConversion"/>
  </si>
  <si>
    <t>MTPS-104-8</t>
  </si>
  <si>
    <t>MTPS-104-8</t>
    <phoneticPr fontId="1" type="noConversion"/>
  </si>
  <si>
    <t>MTPS-104-9</t>
  </si>
  <si>
    <t>MTPS-104-9</t>
    <phoneticPr fontId="1" type="noConversion"/>
  </si>
  <si>
    <t>MTPS-104-10</t>
  </si>
  <si>
    <t>MTPS-104-10</t>
    <phoneticPr fontId="1" type="noConversion"/>
  </si>
  <si>
    <t>2270-8384</t>
  </si>
  <si>
    <t>2270-8384</t>
    <phoneticPr fontId="1" type="noConversion"/>
  </si>
  <si>
    <t>2270-8385</t>
  </si>
  <si>
    <t>2270-8385</t>
    <phoneticPr fontId="1" type="noConversion"/>
  </si>
  <si>
    <t xml:space="preserve">2270-8386  </t>
  </si>
  <si>
    <t xml:space="preserve">2270-8386  </t>
    <phoneticPr fontId="1" type="noConversion"/>
  </si>
  <si>
    <r>
      <rPr>
        <sz val="11"/>
        <color theme="1"/>
        <rFont val="맑은 고딕"/>
        <family val="3"/>
        <charset val="129"/>
      </rPr>
      <t>일진벤딩</t>
    </r>
    <phoneticPr fontId="1" type="noConversion"/>
  </si>
  <si>
    <t>MTPS-105-8</t>
    <phoneticPr fontId="1" type="noConversion"/>
  </si>
  <si>
    <t>MTPS-105-9</t>
    <phoneticPr fontId="1" type="noConversion"/>
  </si>
  <si>
    <t>MTPS-105-10</t>
    <phoneticPr fontId="1" type="noConversion"/>
  </si>
  <si>
    <t>2271-0269</t>
    <phoneticPr fontId="1" type="noConversion"/>
  </si>
  <si>
    <t>2271-0268</t>
    <phoneticPr fontId="1" type="noConversion"/>
  </si>
  <si>
    <t>MTPS-105-9-2</t>
    <phoneticPr fontId="1" type="noConversion"/>
  </si>
  <si>
    <t xml:space="preserve">2271-0266  </t>
    <phoneticPr fontId="1" type="noConversion"/>
  </si>
  <si>
    <t xml:space="preserve">2271-0267  </t>
    <phoneticPr fontId="1" type="noConversion"/>
  </si>
  <si>
    <t>MTPS-105-10-2</t>
    <phoneticPr fontId="1" type="noConversion"/>
  </si>
  <si>
    <t xml:space="preserve">2271-0265  </t>
    <phoneticPr fontId="1" type="noConversion"/>
  </si>
  <si>
    <t>2271-0269</t>
  </si>
  <si>
    <t>MTPS-105-8</t>
  </si>
  <si>
    <t>Ф60.5 * 2.0T * 3,000</t>
  </si>
  <si>
    <t>Ф38.1 * 1.5T * 3,000</t>
  </si>
  <si>
    <t>Ф25.4 * 1.5T * 2,000</t>
  </si>
  <si>
    <t>2271-0268</t>
  </si>
  <si>
    <t>MTPS-105-9</t>
  </si>
  <si>
    <t xml:space="preserve">2271-0266  </t>
  </si>
  <si>
    <t>MTPS-105-9-2</t>
  </si>
  <si>
    <t xml:space="preserve">2271-0267  </t>
  </si>
  <si>
    <t>MTPS-105-10</t>
  </si>
  <si>
    <t xml:space="preserve">2271-0265  </t>
  </si>
  <si>
    <t>MTPS-105-10-2</t>
  </si>
  <si>
    <t>Ф80</t>
    <phoneticPr fontId="1" type="noConversion"/>
  </si>
  <si>
    <r>
      <rPr>
        <sz val="11"/>
        <color theme="1"/>
        <rFont val="굴림"/>
        <family val="3"/>
        <charset val="129"/>
      </rPr>
      <t>예림금속</t>
    </r>
    <phoneticPr fontId="1" type="noConversion"/>
  </si>
  <si>
    <r>
      <rPr>
        <sz val="11"/>
        <color theme="1"/>
        <rFont val="굴림"/>
        <family val="3"/>
        <charset val="129"/>
      </rPr>
      <t>일진벤딩</t>
    </r>
    <phoneticPr fontId="1" type="noConversion"/>
  </si>
  <si>
    <r>
      <rPr>
        <sz val="11"/>
        <color theme="1"/>
        <rFont val="굴림"/>
        <family val="3"/>
        <charset val="129"/>
      </rPr>
      <t>광동스텐</t>
    </r>
    <phoneticPr fontId="1" type="noConversion"/>
  </si>
  <si>
    <r>
      <rPr>
        <sz val="11"/>
        <color theme="1"/>
        <rFont val="굴림"/>
        <family val="3"/>
        <charset val="129"/>
      </rPr>
      <t>에스케이스틸</t>
    </r>
    <r>
      <rPr>
        <sz val="11"/>
        <color theme="1"/>
        <rFont val="Meiryo"/>
        <family val="2"/>
        <charset val="128"/>
      </rPr>
      <t xml:space="preserve">, </t>
    </r>
    <r>
      <rPr>
        <sz val="11"/>
        <color theme="1"/>
        <rFont val="굴림"/>
        <family val="3"/>
        <charset val="129"/>
      </rPr>
      <t>예림금속</t>
    </r>
    <phoneticPr fontId="1" type="noConversion"/>
  </si>
  <si>
    <t>Ф25.4 * 1.5T * 2,000</t>
    <phoneticPr fontId="1" type="noConversion"/>
  </si>
  <si>
    <t>2252-0266</t>
  </si>
  <si>
    <t>MTPS-201-4</t>
  </si>
  <si>
    <t>2252-0267</t>
  </si>
  <si>
    <t>MTPS-201-5</t>
  </si>
  <si>
    <t xml:space="preserve"> 2252-0268</t>
  </si>
  <si>
    <t>MTPS-201-6</t>
  </si>
  <si>
    <t>스텐 볼</t>
  </si>
  <si>
    <t>광동스텐</t>
  </si>
  <si>
    <t>스텐 조인트</t>
  </si>
  <si>
    <t>Ф42.7 * 2.0T * 2,000</t>
    <phoneticPr fontId="1" type="noConversion"/>
  </si>
  <si>
    <t>Ф42</t>
    <phoneticPr fontId="1" type="noConversion"/>
  </si>
  <si>
    <t>Ф165.2 * 2.0T↑ * 1.5M</t>
  </si>
  <si>
    <t>Ф101.6 * 1.5T↑ * 0.8M</t>
  </si>
  <si>
    <t>Ф165.2 * 2.0T↑ * 1.5M</t>
    <phoneticPr fontId="1" type="noConversion"/>
  </si>
  <si>
    <t>2252-0269</t>
  </si>
  <si>
    <t>MTPS-202-4</t>
  </si>
  <si>
    <t>2252-0270</t>
  </si>
  <si>
    <t>MTPS-202-5</t>
  </si>
  <si>
    <t>2252-0271</t>
  </si>
  <si>
    <t>MTPS-202-6</t>
  </si>
  <si>
    <r>
      <rPr>
        <sz val="11"/>
        <color theme="1"/>
        <rFont val="맑은 고딕"/>
        <family val="3"/>
        <charset val="129"/>
      </rPr>
      <t>스텐</t>
    </r>
    <r>
      <rPr>
        <sz val="11"/>
        <color theme="1"/>
        <rFont val="Meiryo"/>
        <family val="2"/>
        <charset val="128"/>
      </rPr>
      <t xml:space="preserve"> </t>
    </r>
    <r>
      <rPr>
        <sz val="11"/>
        <color theme="1"/>
        <rFont val="Arial Unicode MS"/>
        <family val="2"/>
        <charset val="129"/>
      </rPr>
      <t>캡</t>
    </r>
    <phoneticPr fontId="1" type="noConversion"/>
  </si>
  <si>
    <t>2266-5095</t>
  </si>
  <si>
    <t>MTPS-203-4</t>
  </si>
  <si>
    <t>2266-5098</t>
  </si>
  <si>
    <t>MTPS-203-5</t>
  </si>
  <si>
    <t>2266-5097</t>
  </si>
  <si>
    <t>MTPS-203-5-2</t>
  </si>
  <si>
    <t>2266-5096</t>
  </si>
  <si>
    <t>MTPS-203-6</t>
  </si>
  <si>
    <t xml:space="preserve">Ф165.0 </t>
    <phoneticPr fontId="1" type="noConversion"/>
  </si>
  <si>
    <r>
      <rPr>
        <b/>
        <u/>
        <sz val="30"/>
        <color theme="1"/>
        <rFont val="맑은 고딕"/>
        <family val="3"/>
        <charset val="129"/>
      </rPr>
      <t>스텐가로등주</t>
    </r>
    <phoneticPr fontId="1" type="noConversion"/>
  </si>
  <si>
    <t>2252-0266</t>
    <phoneticPr fontId="1" type="noConversion"/>
  </si>
  <si>
    <t>Ф101.6 * 1.5T↑ * 0.8M</t>
    <phoneticPr fontId="1" type="noConversion"/>
  </si>
  <si>
    <t>Ф101.6 * 1.5T↑ * 1.9M</t>
    <phoneticPr fontId="1" type="noConversion"/>
  </si>
  <si>
    <t>Ф300 * Ф165 * 12.0T↑</t>
    <phoneticPr fontId="1" type="noConversion"/>
  </si>
  <si>
    <r>
      <t xml:space="preserve">150↑ * 60 * </t>
    </r>
    <r>
      <rPr>
        <sz val="11"/>
        <color theme="1"/>
        <rFont val="맑은 고딕"/>
        <family val="3"/>
        <charset val="129"/>
      </rPr>
      <t>두께</t>
    </r>
    <r>
      <rPr>
        <sz val="11"/>
        <color theme="1"/>
        <rFont val="Meiryo"/>
        <family val="2"/>
        <charset val="128"/>
      </rPr>
      <t xml:space="preserve"> 6.0T↑</t>
    </r>
    <phoneticPr fontId="1" type="noConversion"/>
  </si>
  <si>
    <r>
      <rPr>
        <sz val="11"/>
        <color theme="1"/>
        <rFont val="맑은 고딕"/>
        <family val="2"/>
        <charset val="129"/>
      </rPr>
      <t>스텐</t>
    </r>
    <r>
      <rPr>
        <sz val="11"/>
        <color theme="1"/>
        <rFont val="Meiryo"/>
        <family val="2"/>
        <charset val="128"/>
      </rPr>
      <t xml:space="preserve"> </t>
    </r>
    <r>
      <rPr>
        <sz val="11"/>
        <color theme="1"/>
        <rFont val="맑은 고딕"/>
        <family val="2"/>
        <charset val="129"/>
      </rPr>
      <t>베이스커버</t>
    </r>
    <phoneticPr fontId="1" type="noConversion"/>
  </si>
  <si>
    <t>Ф310-165</t>
    <phoneticPr fontId="1" type="noConversion"/>
  </si>
  <si>
    <r>
      <rPr>
        <sz val="11"/>
        <color theme="1"/>
        <rFont val="맑은 고딕"/>
        <family val="2"/>
        <charset val="129"/>
      </rPr>
      <t>광동스텐</t>
    </r>
    <phoneticPr fontId="1" type="noConversion"/>
  </si>
  <si>
    <t>Ф101</t>
    <phoneticPr fontId="1" type="noConversion"/>
  </si>
  <si>
    <t xml:space="preserve">Ф101 </t>
    <phoneticPr fontId="1" type="noConversion"/>
  </si>
  <si>
    <t>Φ165 - Φ101</t>
    <phoneticPr fontId="1" type="noConversion"/>
  </si>
  <si>
    <t>Ф38.1 * 1.5T * 2,000</t>
    <phoneticPr fontId="1" type="noConversion"/>
  </si>
  <si>
    <t>2252-0267</t>
    <phoneticPr fontId="1" type="noConversion"/>
  </si>
  <si>
    <t>Ф101.6 * 1.5T↑ * 2.9M</t>
    <phoneticPr fontId="1" type="noConversion"/>
  </si>
  <si>
    <t xml:space="preserve"> 2252-0268</t>
    <phoneticPr fontId="1" type="noConversion"/>
  </si>
  <si>
    <t>Ф101.6 * 1.5T↑ * 3.9M</t>
    <phoneticPr fontId="1" type="noConversion"/>
  </si>
  <si>
    <t>2252-0269</t>
    <phoneticPr fontId="1" type="noConversion"/>
  </si>
  <si>
    <t>Ф165.2 * 2.0T↑ * 3.5M</t>
    <phoneticPr fontId="1" type="noConversion"/>
  </si>
  <si>
    <t>Ф127 * 3.0T↑ * 0.2M</t>
    <phoneticPr fontId="1" type="noConversion"/>
  </si>
  <si>
    <t>Ф101.6 * 1.5T↑ * 0.7M</t>
    <phoneticPr fontId="1" type="noConversion"/>
  </si>
  <si>
    <r>
      <rPr>
        <sz val="11"/>
        <color theme="1"/>
        <rFont val="Arial Unicode MS"/>
        <family val="2"/>
        <charset val="129"/>
      </rPr>
      <t>스텐</t>
    </r>
    <r>
      <rPr>
        <sz val="11"/>
        <color theme="1"/>
        <rFont val="Meiryo"/>
        <family val="2"/>
        <charset val="128"/>
      </rPr>
      <t xml:space="preserve"> </t>
    </r>
    <r>
      <rPr>
        <sz val="11"/>
        <color theme="1"/>
        <rFont val="Arial Unicode MS"/>
        <family val="2"/>
        <charset val="129"/>
      </rPr>
      <t>가공품</t>
    </r>
    <r>
      <rPr>
        <sz val="11"/>
        <color theme="1"/>
        <rFont val="Meiryo"/>
        <family val="2"/>
        <charset val="128"/>
      </rPr>
      <t xml:space="preserve"> * 2.0T </t>
    </r>
    <phoneticPr fontId="1" type="noConversion"/>
  </si>
  <si>
    <t>2252-0270</t>
    <phoneticPr fontId="1" type="noConversion"/>
  </si>
  <si>
    <t>Ф165.2 * 2.0T↑ * 4.5M</t>
    <phoneticPr fontId="1" type="noConversion"/>
  </si>
  <si>
    <t>2252-0271</t>
    <phoneticPr fontId="1" type="noConversion"/>
  </si>
  <si>
    <t>Ф165.2 * 2.0T↑ * 5.5M</t>
    <phoneticPr fontId="1" type="noConversion"/>
  </si>
  <si>
    <t>2266-5095</t>
    <phoneticPr fontId="1" type="noConversion"/>
  </si>
  <si>
    <t>Ф165.2 * 2.0T↑ * 4.0M</t>
    <phoneticPr fontId="1" type="noConversion"/>
  </si>
  <si>
    <t>Ф48.6 * 1.5T * 2,000</t>
    <phoneticPr fontId="1" type="noConversion"/>
  </si>
  <si>
    <t>2266-5098</t>
    <phoneticPr fontId="1" type="noConversion"/>
  </si>
  <si>
    <t>Ф165.2 * 2.0T↑ * 5.0M</t>
    <phoneticPr fontId="1" type="noConversion"/>
  </si>
  <si>
    <t>2266-5097</t>
    <phoneticPr fontId="1" type="noConversion"/>
  </si>
  <si>
    <t>Ф101.6 * 1.5T↑ * 1.2M</t>
    <phoneticPr fontId="1" type="noConversion"/>
  </si>
  <si>
    <t>Ф101.6 * 1.5T↑ * 3.0M</t>
    <phoneticPr fontId="1" type="noConversion"/>
  </si>
  <si>
    <t>2266-5096</t>
    <phoneticPr fontId="1" type="noConversion"/>
  </si>
  <si>
    <t>Ф165.2 * 2.0T↑ * 6.0M</t>
    <phoneticPr fontId="1" type="noConversion"/>
  </si>
  <si>
    <t>2271-0264</t>
  </si>
  <si>
    <t>MTPS-204-4</t>
  </si>
  <si>
    <t>2271-0263</t>
  </si>
  <si>
    <t>MTPS-204-4-2</t>
  </si>
  <si>
    <t>2271-0259</t>
  </si>
  <si>
    <t>MTPS-204-6-2</t>
  </si>
  <si>
    <t>2271-0260</t>
  </si>
  <si>
    <t>MTPS-204-6</t>
  </si>
  <si>
    <t>2271-0261</t>
  </si>
  <si>
    <t>MTPS-204-5-2</t>
  </si>
  <si>
    <t>2271-0262</t>
  </si>
  <si>
    <t>MTPS-204-5</t>
  </si>
  <si>
    <t>MTPF-101-8</t>
  </si>
  <si>
    <t>2274-7690</t>
  </si>
  <si>
    <r>
      <rPr>
        <sz val="11"/>
        <color theme="1"/>
        <rFont val="맑은 고딕"/>
        <family val="3"/>
        <charset val="129"/>
      </rPr>
      <t>에이치스틸</t>
    </r>
    <r>
      <rPr>
        <sz val="11"/>
        <color theme="1"/>
        <rFont val="Meiryo"/>
        <family val="2"/>
        <charset val="128"/>
      </rPr>
      <t xml:space="preserve">, </t>
    </r>
    <r>
      <rPr>
        <sz val="11"/>
        <color theme="1"/>
        <rFont val="Arial Unicode MS"/>
        <family val="2"/>
        <charset val="129"/>
      </rPr>
      <t>이지스틸넷</t>
    </r>
    <phoneticPr fontId="1" type="noConversion"/>
  </si>
  <si>
    <t>2274-7690</t>
    <phoneticPr fontId="1" type="noConversion"/>
  </si>
  <si>
    <r>
      <rPr>
        <b/>
        <u/>
        <sz val="30"/>
        <color theme="1"/>
        <rFont val="맑은 고딕"/>
        <family val="3"/>
        <charset val="129"/>
      </rPr>
      <t>철제</t>
    </r>
    <r>
      <rPr>
        <b/>
        <u/>
        <sz val="30"/>
        <color theme="1"/>
        <rFont val="Meiryo"/>
        <family val="2"/>
        <charset val="128"/>
      </rPr>
      <t xml:space="preserve"> </t>
    </r>
    <r>
      <rPr>
        <b/>
        <u/>
        <sz val="30"/>
        <color theme="1"/>
        <rFont val="맑은 고딕"/>
        <family val="3"/>
        <charset val="129"/>
      </rPr>
      <t>가로등주</t>
    </r>
    <phoneticPr fontId="1" type="noConversion"/>
  </si>
  <si>
    <t>Ф139.8 * 3.0T↑ * 4.1M</t>
    <phoneticPr fontId="1" type="noConversion"/>
  </si>
  <si>
    <t>Ф139.8 * 3.0T↑ * 1.2M</t>
    <phoneticPr fontId="1" type="noConversion"/>
  </si>
  <si>
    <t>에이치스틸, 이지스틸넷</t>
  </si>
  <si>
    <t>Ф139</t>
    <phoneticPr fontId="1" type="noConversion"/>
  </si>
  <si>
    <t>Ф216</t>
    <phoneticPr fontId="1" type="noConversion"/>
  </si>
  <si>
    <r>
      <rPr>
        <sz val="11"/>
        <color theme="1"/>
        <rFont val="맑은 고딕"/>
        <family val="3"/>
        <charset val="129"/>
      </rPr>
      <t>스틸</t>
    </r>
    <r>
      <rPr>
        <sz val="11"/>
        <color theme="1"/>
        <rFont val="Meiryo"/>
        <family val="2"/>
        <charset val="128"/>
      </rPr>
      <t xml:space="preserve"> </t>
    </r>
    <r>
      <rPr>
        <sz val="11"/>
        <color theme="1"/>
        <rFont val="맑은 고딕"/>
        <family val="3"/>
        <charset val="129"/>
      </rPr>
      <t>파이프</t>
    </r>
    <phoneticPr fontId="1" type="noConversion"/>
  </si>
  <si>
    <t>스틸 파이프</t>
  </si>
  <si>
    <t>MTPF-101-8-2</t>
  </si>
  <si>
    <t>2277-3983</t>
  </si>
  <si>
    <t>MTPF-101-9</t>
  </si>
  <si>
    <t>2274-7691</t>
  </si>
  <si>
    <t>MTPF-101-9-2</t>
  </si>
  <si>
    <t>2277-3985</t>
  </si>
  <si>
    <t>MTPF-101-10</t>
  </si>
  <si>
    <t>2274-7692</t>
  </si>
  <si>
    <t>MTPF-101-10-2</t>
  </si>
  <si>
    <t>2277-3986</t>
  </si>
  <si>
    <t>MTPF-101-12</t>
  </si>
  <si>
    <t>2277-3984</t>
  </si>
  <si>
    <t>MTPF-101-12-2</t>
  </si>
  <si>
    <t>2277-3987</t>
  </si>
  <si>
    <t>MTPF-201-4</t>
  </si>
  <si>
    <t>2277-3988</t>
  </si>
  <si>
    <t>Ф42.7 * 2.3T * 3,000</t>
    <phoneticPr fontId="1" type="noConversion"/>
  </si>
  <si>
    <t>Ф21.7 * 2.3T * 3,000</t>
    <phoneticPr fontId="1" type="noConversion"/>
  </si>
  <si>
    <t>MTPF-201-5</t>
  </si>
  <si>
    <t>MTPF-201-4-2</t>
  </si>
  <si>
    <t>2277-3989</t>
  </si>
  <si>
    <t>2277-3990</t>
  </si>
  <si>
    <t>2277-3991</t>
  </si>
  <si>
    <t>MTPF-201-5-2</t>
  </si>
  <si>
    <t>2277-3983</t>
    <phoneticPr fontId="1" type="noConversion"/>
  </si>
  <si>
    <t>2274-7691</t>
    <phoneticPr fontId="1" type="noConversion"/>
  </si>
  <si>
    <t>Ф139.8 * 3.0T↑ * 5.1M</t>
    <phoneticPr fontId="1" type="noConversion"/>
  </si>
  <si>
    <t>2277-3985</t>
    <phoneticPr fontId="1" type="noConversion"/>
  </si>
  <si>
    <t>2274-7692</t>
    <phoneticPr fontId="1" type="noConversion"/>
  </si>
  <si>
    <t>Ф139.8 * 3.0T↑ * 6.1M</t>
    <phoneticPr fontId="1" type="noConversion"/>
  </si>
  <si>
    <t>2277-3986</t>
    <phoneticPr fontId="1" type="noConversion"/>
  </si>
  <si>
    <t>2277-3984</t>
    <phoneticPr fontId="1" type="noConversion"/>
  </si>
  <si>
    <t>Ф139.8 * 3.0T↑ * 8.1M</t>
    <phoneticPr fontId="1" type="noConversion"/>
  </si>
  <si>
    <t>2277-3987</t>
    <phoneticPr fontId="1" type="noConversion"/>
  </si>
  <si>
    <t>2277-3988</t>
    <phoneticPr fontId="1" type="noConversion"/>
  </si>
  <si>
    <t>Ф165.2 * 3.2T↑ * 1.5M</t>
    <phoneticPr fontId="1" type="noConversion"/>
  </si>
  <si>
    <t>Ф101.6 * 1.5T↑ * 2.0M</t>
    <phoneticPr fontId="1" type="noConversion"/>
  </si>
  <si>
    <t>Ф165</t>
    <phoneticPr fontId="1" type="noConversion"/>
  </si>
  <si>
    <t>2277-3989</t>
    <phoneticPr fontId="1" type="noConversion"/>
  </si>
  <si>
    <t>2277-3990</t>
    <phoneticPr fontId="1" type="noConversion"/>
  </si>
  <si>
    <t>2277-3991</t>
    <phoneticPr fontId="1" type="noConversion"/>
  </si>
  <si>
    <t>2271-0264</t>
    <phoneticPr fontId="1" type="noConversion"/>
  </si>
  <si>
    <t>Ф60.5 * 2.0T * 2,000</t>
    <phoneticPr fontId="1" type="noConversion"/>
  </si>
  <si>
    <r>
      <rPr>
        <sz val="11"/>
        <color theme="1"/>
        <rFont val="맑은 고딕"/>
        <family val="2"/>
        <charset val="129"/>
      </rPr>
      <t>스텐</t>
    </r>
    <r>
      <rPr>
        <sz val="11"/>
        <color theme="1"/>
        <rFont val="Meiryo"/>
        <family val="2"/>
        <charset val="128"/>
      </rPr>
      <t xml:space="preserve"> </t>
    </r>
    <r>
      <rPr>
        <sz val="11"/>
        <color theme="1"/>
        <rFont val="맑은 고딕"/>
        <family val="2"/>
        <charset val="129"/>
      </rPr>
      <t>볼</t>
    </r>
    <phoneticPr fontId="1" type="noConversion"/>
  </si>
  <si>
    <t>2271-0263</t>
    <phoneticPr fontId="1" type="noConversion"/>
  </si>
  <si>
    <t>2271-0262</t>
    <phoneticPr fontId="1" type="noConversion"/>
  </si>
  <si>
    <t>2271-0261</t>
    <phoneticPr fontId="1" type="noConversion"/>
  </si>
  <si>
    <t>2271-0260</t>
    <phoneticPr fontId="1" type="noConversion"/>
  </si>
  <si>
    <t>2271-0259</t>
    <phoneticPr fontId="1" type="noConversion"/>
  </si>
  <si>
    <r>
      <rPr>
        <sz val="11"/>
        <color theme="1"/>
        <rFont val="Arial Unicode MS"/>
        <family val="2"/>
        <charset val="129"/>
      </rPr>
      <t>약</t>
    </r>
    <r>
      <rPr>
        <sz val="11"/>
        <color theme="1"/>
        <rFont val="Meiryo"/>
        <family val="2"/>
        <charset val="128"/>
      </rPr>
      <t>Ф120 * 400L</t>
    </r>
    <phoneticPr fontId="1" type="noConversion"/>
  </si>
  <si>
    <t xml:space="preserve">Ф101, Ф165 2EA / Ф127, Ф101  2EA  </t>
    <phoneticPr fontId="1" type="noConversion"/>
  </si>
  <si>
    <t xml:space="preserve">Ф101, Ф165 2EA </t>
    <phoneticPr fontId="1" type="noConversion"/>
  </si>
  <si>
    <t>시보리</t>
  </si>
  <si>
    <t>약Ф120 * 400L</t>
  </si>
  <si>
    <t>보강링</t>
  </si>
  <si>
    <t>태영스텐레이저</t>
  </si>
  <si>
    <r>
      <rPr>
        <sz val="11"/>
        <color theme="1"/>
        <rFont val="맑은 고딕"/>
        <family val="3"/>
        <charset val="129"/>
      </rPr>
      <t>약</t>
    </r>
    <r>
      <rPr>
        <sz val="11"/>
        <color theme="1"/>
        <rFont val="Meiryo"/>
        <family val="2"/>
        <charset val="128"/>
      </rPr>
      <t>Ф100 * 400L</t>
    </r>
    <phoneticPr fontId="1" type="noConversion"/>
  </si>
  <si>
    <t>약Ф100 * 400L</t>
  </si>
  <si>
    <t>약Ф100*400L</t>
  </si>
  <si>
    <t>Ф101</t>
  </si>
  <si>
    <r>
      <rPr>
        <sz val="11"/>
        <color theme="1"/>
        <rFont val="Arial Unicode MS"/>
        <family val="2"/>
        <charset val="129"/>
      </rPr>
      <t>약</t>
    </r>
    <r>
      <rPr>
        <sz val="11"/>
        <color theme="1"/>
        <rFont val="Meiryo"/>
        <family val="2"/>
        <charset val="128"/>
      </rPr>
      <t>Ф135*400L</t>
    </r>
    <phoneticPr fontId="1" type="noConversion"/>
  </si>
  <si>
    <t>약Ф135*400L</t>
  </si>
  <si>
    <r>
      <rPr>
        <sz val="11"/>
        <color theme="1"/>
        <rFont val="맑은 고딕"/>
        <family val="3"/>
        <charset val="129"/>
      </rPr>
      <t>약</t>
    </r>
    <r>
      <rPr>
        <sz val="11"/>
        <color theme="1"/>
        <rFont val="Meiryo"/>
        <family val="2"/>
        <charset val="128"/>
      </rPr>
      <t>Ф100*400L</t>
    </r>
    <phoneticPr fontId="1" type="noConversion"/>
  </si>
  <si>
    <t>스텐 캡</t>
  </si>
  <si>
    <t>Ф38</t>
  </si>
  <si>
    <t>베크라이트</t>
  </si>
  <si>
    <r>
      <rPr>
        <sz val="11"/>
        <color theme="1"/>
        <rFont val="Arial Unicode MS"/>
        <family val="2"/>
        <charset val="129"/>
      </rPr>
      <t>베크라이트</t>
    </r>
    <phoneticPr fontId="1" type="noConversion"/>
  </si>
  <si>
    <t>한국베크라이트</t>
  </si>
  <si>
    <t>10*200*5T</t>
  </si>
  <si>
    <t>10*200*5T</t>
    <phoneticPr fontId="1" type="noConversion"/>
  </si>
  <si>
    <t>2252-0264</t>
  </si>
  <si>
    <t>MTPS-102-9</t>
  </si>
  <si>
    <t>2252-0265</t>
  </si>
  <si>
    <t>MTPS-102-10</t>
  </si>
  <si>
    <t>MTPS-103-8</t>
  </si>
  <si>
    <t>2266-5137</t>
  </si>
  <si>
    <r>
      <rPr>
        <b/>
        <u/>
        <sz val="30"/>
        <color theme="1"/>
        <rFont val="맑은 고딕"/>
        <family val="3"/>
        <charset val="129"/>
      </rPr>
      <t>조명타워</t>
    </r>
    <phoneticPr fontId="1" type="noConversion"/>
  </si>
  <si>
    <r>
      <rPr>
        <sz val="11"/>
        <color theme="1"/>
        <rFont val="맑은 고딕"/>
        <family val="2"/>
        <charset val="129"/>
      </rPr>
      <t>식별번호</t>
    </r>
    <phoneticPr fontId="1" type="noConversion"/>
  </si>
  <si>
    <r>
      <rPr>
        <sz val="11"/>
        <color theme="1"/>
        <rFont val="맑은 고딕"/>
        <family val="2"/>
        <charset val="129"/>
      </rPr>
      <t>완제품코드</t>
    </r>
    <phoneticPr fontId="1" type="noConversion"/>
  </si>
  <si>
    <r>
      <rPr>
        <sz val="11"/>
        <color theme="1"/>
        <rFont val="맑은 고딕"/>
        <family val="2"/>
        <charset val="129"/>
      </rPr>
      <t>품목명</t>
    </r>
    <phoneticPr fontId="1" type="noConversion"/>
  </si>
  <si>
    <r>
      <rPr>
        <sz val="11"/>
        <color theme="1"/>
        <rFont val="맑은 고딕"/>
        <family val="2"/>
        <charset val="129"/>
      </rPr>
      <t>규격</t>
    </r>
    <phoneticPr fontId="1" type="noConversion"/>
  </si>
  <si>
    <r>
      <rPr>
        <sz val="11"/>
        <color theme="1"/>
        <rFont val="맑은 고딕"/>
        <family val="2"/>
        <charset val="129"/>
      </rPr>
      <t>원수</t>
    </r>
    <phoneticPr fontId="1" type="noConversion"/>
  </si>
  <si>
    <r>
      <rPr>
        <sz val="11"/>
        <color theme="1"/>
        <rFont val="맑은 고딕"/>
        <family val="2"/>
        <charset val="129"/>
      </rPr>
      <t>부품업체</t>
    </r>
    <phoneticPr fontId="1" type="noConversion"/>
  </si>
  <si>
    <r>
      <rPr>
        <sz val="11"/>
        <color theme="1"/>
        <rFont val="맑은 고딕"/>
        <family val="2"/>
        <charset val="129"/>
      </rPr>
      <t>소요량</t>
    </r>
    <phoneticPr fontId="1" type="noConversion"/>
  </si>
  <si>
    <r>
      <rPr>
        <sz val="11"/>
        <color theme="1"/>
        <rFont val="맑은 고딕"/>
        <family val="2"/>
        <charset val="129"/>
      </rPr>
      <t>단가</t>
    </r>
    <phoneticPr fontId="1" type="noConversion"/>
  </si>
  <si>
    <r>
      <rPr>
        <sz val="11"/>
        <color theme="1"/>
        <rFont val="맑은 고딕"/>
        <family val="2"/>
        <charset val="129"/>
      </rPr>
      <t>강관</t>
    </r>
    <r>
      <rPr>
        <sz val="11"/>
        <color theme="1"/>
        <rFont val="Meiryo"/>
        <family val="2"/>
        <charset val="128"/>
      </rPr>
      <t xml:space="preserve"> </t>
    </r>
    <r>
      <rPr>
        <sz val="11"/>
        <color theme="1"/>
        <rFont val="맑은 고딕"/>
        <family val="2"/>
        <charset val="129"/>
      </rPr>
      <t>스틸파이프</t>
    </r>
    <phoneticPr fontId="1" type="noConversion"/>
  </si>
  <si>
    <r>
      <rPr>
        <sz val="11"/>
        <color theme="1"/>
        <rFont val="맑은 고딕"/>
        <family val="2"/>
        <charset val="129"/>
      </rPr>
      <t>에이치스틸</t>
    </r>
    <r>
      <rPr>
        <sz val="11"/>
        <color theme="1"/>
        <rFont val="Meiryo"/>
        <family val="2"/>
        <charset val="128"/>
      </rPr>
      <t xml:space="preserve">, </t>
    </r>
    <r>
      <rPr>
        <sz val="11"/>
        <color theme="1"/>
        <rFont val="맑은 고딕"/>
        <family val="2"/>
        <charset val="129"/>
      </rPr>
      <t>이지스틸넷</t>
    </r>
    <phoneticPr fontId="1" type="noConversion"/>
  </si>
  <si>
    <r>
      <rPr>
        <sz val="11"/>
        <color theme="1"/>
        <rFont val="맑은 고딕"/>
        <family val="2"/>
        <charset val="129"/>
      </rPr>
      <t>바닥판</t>
    </r>
    <r>
      <rPr>
        <sz val="11"/>
        <color theme="1"/>
        <rFont val="Meiryo"/>
        <family val="2"/>
        <charset val="128"/>
      </rPr>
      <t>(</t>
    </r>
    <r>
      <rPr>
        <sz val="11"/>
        <color theme="1"/>
        <rFont val="맑은 고딕"/>
        <family val="2"/>
        <charset val="129"/>
      </rPr>
      <t>철제베이스판</t>
    </r>
    <r>
      <rPr>
        <sz val="11"/>
        <color theme="1"/>
        <rFont val="Meiryo"/>
        <family val="2"/>
        <charset val="128"/>
      </rPr>
      <t>)</t>
    </r>
    <phoneticPr fontId="1" type="noConversion"/>
  </si>
  <si>
    <r>
      <rPr>
        <sz val="11"/>
        <color theme="1"/>
        <rFont val="맑은 고딕"/>
        <family val="2"/>
        <charset val="129"/>
      </rPr>
      <t>누리테크</t>
    </r>
    <phoneticPr fontId="1" type="noConversion"/>
  </si>
  <si>
    <r>
      <rPr>
        <sz val="11"/>
        <color theme="1"/>
        <rFont val="맑은 고딕"/>
        <family val="2"/>
        <charset val="129"/>
      </rPr>
      <t>삼각보강대</t>
    </r>
    <phoneticPr fontId="1" type="noConversion"/>
  </si>
  <si>
    <r>
      <rPr>
        <sz val="11"/>
        <color theme="1"/>
        <rFont val="맑은 고딕"/>
        <family val="2"/>
        <charset val="129"/>
      </rPr>
      <t>안전사다리</t>
    </r>
  </si>
  <si>
    <r>
      <rPr>
        <sz val="11"/>
        <color theme="1"/>
        <rFont val="맑은 고딕"/>
        <family val="2"/>
        <charset val="129"/>
      </rPr>
      <t>안전사다리</t>
    </r>
    <phoneticPr fontId="1" type="noConversion"/>
  </si>
  <si>
    <r>
      <t>(</t>
    </r>
    <r>
      <rPr>
        <sz val="11"/>
        <color theme="1"/>
        <rFont val="맑은 고딕"/>
        <family val="2"/>
        <charset val="129"/>
      </rPr>
      <t>철제베이스판</t>
    </r>
    <r>
      <rPr>
        <sz val="11"/>
        <color theme="1"/>
        <rFont val="Meiryo"/>
        <family val="2"/>
        <charset val="128"/>
      </rPr>
      <t>)</t>
    </r>
    <phoneticPr fontId="1" type="noConversion"/>
  </si>
  <si>
    <t>Ф620 * Ф620 * 14.0T↑</t>
    <phoneticPr fontId="1" type="noConversion"/>
  </si>
  <si>
    <t>Ф600 * Ф359 * 39.0T↑</t>
    <phoneticPr fontId="1" type="noConversion"/>
  </si>
  <si>
    <r>
      <rPr>
        <sz val="11"/>
        <color theme="1"/>
        <rFont val="Arial Unicode MS"/>
        <family val="3"/>
        <charset val="129"/>
      </rPr>
      <t>가로</t>
    </r>
    <r>
      <rPr>
        <sz val="11"/>
        <color theme="1"/>
        <rFont val="Meiryo"/>
        <family val="2"/>
        <charset val="128"/>
      </rPr>
      <t xml:space="preserve"> 100 * </t>
    </r>
    <r>
      <rPr>
        <sz val="11"/>
        <color theme="1"/>
        <rFont val="Arial Unicode MS"/>
        <family val="3"/>
        <charset val="129"/>
      </rPr>
      <t>높이</t>
    </r>
    <r>
      <rPr>
        <sz val="11"/>
        <color theme="1"/>
        <rFont val="Meiryo"/>
        <family val="2"/>
        <charset val="128"/>
      </rPr>
      <t xml:space="preserve"> 200↑ * </t>
    </r>
    <r>
      <rPr>
        <sz val="11"/>
        <color theme="1"/>
        <rFont val="맑은 고딕"/>
        <family val="3"/>
        <charset val="204"/>
      </rPr>
      <t>두께</t>
    </r>
    <r>
      <rPr>
        <sz val="11"/>
        <color theme="1"/>
        <rFont val="Meiryo"/>
        <family val="2"/>
        <charset val="128"/>
      </rPr>
      <t xml:space="preserve"> 12.0T↑</t>
    </r>
    <phoneticPr fontId="1" type="noConversion"/>
  </si>
  <si>
    <t>Ф530 * Ф359 * 34.0T↑</t>
    <phoneticPr fontId="1" type="noConversion"/>
  </si>
  <si>
    <r>
      <rPr>
        <sz val="11"/>
        <color theme="1"/>
        <rFont val="Arial Unicode MS"/>
        <family val="3"/>
        <charset val="129"/>
      </rPr>
      <t>가로</t>
    </r>
    <r>
      <rPr>
        <sz val="11"/>
        <color theme="1"/>
        <rFont val="Meiryo"/>
        <family val="2"/>
        <charset val="128"/>
      </rPr>
      <t xml:space="preserve"> 70 * </t>
    </r>
    <r>
      <rPr>
        <sz val="11"/>
        <color theme="1"/>
        <rFont val="Arial Unicode MS"/>
        <family val="3"/>
        <charset val="129"/>
      </rPr>
      <t>높이</t>
    </r>
    <r>
      <rPr>
        <sz val="11"/>
        <color theme="1"/>
        <rFont val="Meiryo"/>
        <family val="2"/>
        <charset val="128"/>
      </rPr>
      <t xml:space="preserve"> 150↑ * </t>
    </r>
    <r>
      <rPr>
        <sz val="11"/>
        <color theme="1"/>
        <rFont val="맑은 고딕"/>
        <family val="3"/>
        <charset val="204"/>
      </rPr>
      <t>두께</t>
    </r>
    <r>
      <rPr>
        <sz val="11"/>
        <color theme="1"/>
        <rFont val="Meiryo"/>
        <family val="2"/>
        <charset val="128"/>
      </rPr>
      <t xml:space="preserve"> 9.0T↑</t>
    </r>
    <phoneticPr fontId="1" type="noConversion"/>
  </si>
  <si>
    <t>Ф530 * Ф322 * 34.0T↑</t>
    <phoneticPr fontId="1" type="noConversion"/>
  </si>
  <si>
    <r>
      <rPr>
        <sz val="11"/>
        <color theme="1"/>
        <rFont val="Arial Unicode MS"/>
        <family val="3"/>
        <charset val="129"/>
      </rPr>
      <t>가로</t>
    </r>
    <r>
      <rPr>
        <sz val="11"/>
        <color theme="1"/>
        <rFont val="Meiryo"/>
        <family val="2"/>
        <charset val="128"/>
      </rPr>
      <t xml:space="preserve"> 90 * </t>
    </r>
    <r>
      <rPr>
        <sz val="11"/>
        <color theme="1"/>
        <rFont val="Arial Unicode MS"/>
        <family val="3"/>
        <charset val="129"/>
      </rPr>
      <t>높이</t>
    </r>
    <r>
      <rPr>
        <sz val="11"/>
        <color theme="1"/>
        <rFont val="Meiryo"/>
        <family val="2"/>
        <charset val="128"/>
      </rPr>
      <t xml:space="preserve"> 150↑ * </t>
    </r>
    <r>
      <rPr>
        <sz val="11"/>
        <color theme="1"/>
        <rFont val="맑은 고딕"/>
        <family val="3"/>
        <charset val="204"/>
      </rPr>
      <t>두께</t>
    </r>
    <r>
      <rPr>
        <sz val="11"/>
        <color theme="1"/>
        <rFont val="Meiryo"/>
        <family val="2"/>
        <charset val="128"/>
      </rPr>
      <t xml:space="preserve"> 9.0T↑</t>
    </r>
    <phoneticPr fontId="1" type="noConversion"/>
  </si>
  <si>
    <t>Ф600 * Ф600 * 14.0T↑</t>
    <phoneticPr fontId="1" type="noConversion"/>
  </si>
  <si>
    <r>
      <rPr>
        <sz val="11"/>
        <color theme="1"/>
        <rFont val="Arial Unicode MS"/>
        <family val="3"/>
        <charset val="129"/>
      </rPr>
      <t>가로</t>
    </r>
    <r>
      <rPr>
        <sz val="11"/>
        <color theme="1"/>
        <rFont val="Meiryo"/>
        <family val="2"/>
        <charset val="128"/>
      </rPr>
      <t xml:space="preserve"> 140 * </t>
    </r>
    <r>
      <rPr>
        <sz val="11"/>
        <color theme="1"/>
        <rFont val="Arial Unicode MS"/>
        <family val="3"/>
        <charset val="129"/>
      </rPr>
      <t>높이</t>
    </r>
    <r>
      <rPr>
        <sz val="11"/>
        <color theme="1"/>
        <rFont val="Meiryo"/>
        <family val="2"/>
        <charset val="128"/>
      </rPr>
      <t xml:space="preserve"> 150↑ * </t>
    </r>
    <r>
      <rPr>
        <sz val="11"/>
        <color theme="1"/>
        <rFont val="맑은 고딕"/>
        <family val="3"/>
        <charset val="204"/>
      </rPr>
      <t>두께</t>
    </r>
    <r>
      <rPr>
        <sz val="11"/>
        <color theme="1"/>
        <rFont val="Meiryo"/>
        <family val="2"/>
        <charset val="128"/>
      </rPr>
      <t xml:space="preserve"> 9.0T↑</t>
    </r>
    <phoneticPr fontId="1" type="noConversion"/>
  </si>
  <si>
    <r>
      <rPr>
        <sz val="11"/>
        <color theme="1"/>
        <rFont val="맑은 고딕"/>
        <family val="2"/>
        <charset val="129"/>
      </rPr>
      <t>가로</t>
    </r>
    <r>
      <rPr>
        <sz val="11"/>
        <color theme="1"/>
        <rFont val="Meiryo"/>
        <family val="2"/>
        <charset val="128"/>
      </rPr>
      <t xml:space="preserve"> 100↓ * </t>
    </r>
    <r>
      <rPr>
        <sz val="11"/>
        <color theme="1"/>
        <rFont val="맑은 고딕"/>
        <family val="3"/>
        <charset val="129"/>
      </rPr>
      <t>세로</t>
    </r>
    <r>
      <rPr>
        <sz val="11"/>
        <color theme="1"/>
        <rFont val="Meiryo"/>
        <family val="2"/>
        <charset val="128"/>
      </rPr>
      <t xml:space="preserve"> 250↓ * </t>
    </r>
    <r>
      <rPr>
        <sz val="11"/>
        <color theme="1"/>
        <rFont val="맑은 고딕"/>
        <family val="3"/>
        <charset val="129"/>
      </rPr>
      <t>돌출높이</t>
    </r>
    <r>
      <rPr>
        <sz val="11"/>
        <color theme="1"/>
        <rFont val="Meiryo"/>
        <family val="2"/>
        <charset val="128"/>
      </rPr>
      <t xml:space="preserve"> 50↓ * </t>
    </r>
    <r>
      <rPr>
        <sz val="11"/>
        <color theme="1"/>
        <rFont val="맑은 고딕"/>
        <family val="3"/>
        <charset val="129"/>
      </rPr>
      <t>두께</t>
    </r>
    <r>
      <rPr>
        <sz val="11"/>
        <color theme="1"/>
        <rFont val="Meiryo"/>
        <family val="2"/>
        <charset val="128"/>
      </rPr>
      <t xml:space="preserve"> 1.2T↑</t>
    </r>
    <phoneticPr fontId="1" type="noConversion"/>
  </si>
  <si>
    <r>
      <rPr>
        <b/>
        <sz val="11"/>
        <color rgb="FF0000FF"/>
        <rFont val="굴림"/>
        <family val="2"/>
        <charset val="129"/>
      </rPr>
      <t>나라장터</t>
    </r>
    <r>
      <rPr>
        <b/>
        <sz val="11"/>
        <color rgb="FF0000FF"/>
        <rFont val="Meiryo"/>
        <family val="2"/>
        <charset val="128"/>
      </rPr>
      <t xml:space="preserve"> </t>
    </r>
    <r>
      <rPr>
        <b/>
        <sz val="11"/>
        <color rgb="FF0000FF"/>
        <rFont val="굴림"/>
        <family val="2"/>
        <charset val="129"/>
      </rPr>
      <t>판매가</t>
    </r>
    <r>
      <rPr>
        <b/>
        <sz val="11"/>
        <color rgb="FF0000FF"/>
        <rFont val="Meiryo"/>
        <family val="2"/>
        <charset val="128"/>
      </rPr>
      <t>(</t>
    </r>
    <r>
      <rPr>
        <b/>
        <sz val="11"/>
        <color rgb="FF0000FF"/>
        <rFont val="굴림"/>
        <family val="2"/>
        <charset val="129"/>
      </rPr>
      <t>미포함가</t>
    </r>
    <r>
      <rPr>
        <b/>
        <sz val="11"/>
        <color rgb="FF0000FF"/>
        <rFont val="Meiryo"/>
        <family val="2"/>
        <charset val="128"/>
      </rPr>
      <t>)</t>
    </r>
    <phoneticPr fontId="1" type="noConversion"/>
  </si>
  <si>
    <r>
      <rPr>
        <sz val="11"/>
        <color theme="1"/>
        <rFont val="굴림"/>
        <family val="2"/>
        <charset val="129"/>
      </rPr>
      <t>경비</t>
    </r>
    <phoneticPr fontId="1" type="noConversion"/>
  </si>
  <si>
    <r>
      <rPr>
        <sz val="11"/>
        <color theme="1"/>
        <rFont val="굴림"/>
        <family val="2"/>
        <charset val="129"/>
      </rPr>
      <t>노무비</t>
    </r>
    <phoneticPr fontId="1" type="noConversion"/>
  </si>
  <si>
    <r>
      <rPr>
        <sz val="11"/>
        <color theme="1"/>
        <rFont val="굴림"/>
        <family val="2"/>
        <charset val="129"/>
      </rPr>
      <t>이윤</t>
    </r>
    <phoneticPr fontId="1" type="noConversion"/>
  </si>
  <si>
    <r>
      <rPr>
        <sz val="11"/>
        <color theme="1"/>
        <rFont val="맑은 고딕"/>
        <family val="3"/>
        <charset val="129"/>
      </rPr>
      <t>한국베크라이트</t>
    </r>
    <phoneticPr fontId="1" type="noConversion"/>
  </si>
  <si>
    <r>
      <t>TTL(</t>
    </r>
    <r>
      <rPr>
        <sz val="11"/>
        <color theme="1"/>
        <rFont val="굴림"/>
        <family val="2"/>
        <charset val="129"/>
      </rPr>
      <t>부가세미포함</t>
    </r>
    <r>
      <rPr>
        <sz val="11"/>
        <color theme="1"/>
        <rFont val="Meiryo"/>
        <family val="2"/>
        <charset val="128"/>
      </rPr>
      <t>)</t>
    </r>
    <phoneticPr fontId="1" type="noConversion"/>
  </si>
  <si>
    <r>
      <rPr>
        <sz val="11"/>
        <color theme="1"/>
        <rFont val="Arial Unicode MS"/>
        <family val="2"/>
        <charset val="129"/>
      </rPr>
      <t>약</t>
    </r>
    <r>
      <rPr>
        <sz val="11"/>
        <color theme="1"/>
        <rFont val="Meiryo"/>
        <family val="2"/>
        <charset val="128"/>
      </rPr>
      <t>Ф100*400L</t>
    </r>
    <phoneticPr fontId="1" type="noConversion"/>
  </si>
  <si>
    <r>
      <rPr>
        <sz val="11"/>
        <color theme="1"/>
        <rFont val="맑은 고딕"/>
        <family val="2"/>
        <charset val="129"/>
      </rPr>
      <t>가로</t>
    </r>
    <r>
      <rPr>
        <sz val="11"/>
        <color theme="1"/>
        <rFont val="Meiryo"/>
        <family val="2"/>
        <charset val="128"/>
      </rPr>
      <t xml:space="preserve"> 2800↓ * </t>
    </r>
    <r>
      <rPr>
        <sz val="11"/>
        <color theme="1"/>
        <rFont val="맑은 고딕"/>
        <family val="3"/>
        <charset val="129"/>
      </rPr>
      <t>세로</t>
    </r>
    <r>
      <rPr>
        <sz val="11"/>
        <color theme="1"/>
        <rFont val="Meiryo"/>
        <family val="2"/>
        <charset val="128"/>
      </rPr>
      <t xml:space="preserve"> 1020↓ * </t>
    </r>
    <r>
      <rPr>
        <sz val="11"/>
        <color theme="1"/>
        <rFont val="맑은 고딕"/>
        <family val="3"/>
        <charset val="129"/>
      </rPr>
      <t>높이</t>
    </r>
    <r>
      <rPr>
        <sz val="11"/>
        <color theme="1"/>
        <rFont val="Meiryo"/>
        <family val="2"/>
        <charset val="128"/>
      </rPr>
      <t xml:space="preserve"> 1000↓</t>
    </r>
    <phoneticPr fontId="1" type="noConversion"/>
  </si>
  <si>
    <t>50 * 50 * 3.2T * 6000L</t>
    <phoneticPr fontId="1" type="noConversion"/>
  </si>
  <si>
    <t>50 * 50 * 6T * 5000L</t>
    <phoneticPr fontId="1" type="noConversion"/>
  </si>
  <si>
    <r>
      <rPr>
        <sz val="11"/>
        <color theme="1"/>
        <rFont val="맑은 고딕"/>
        <family val="2"/>
        <charset val="129"/>
      </rPr>
      <t>사각플렛폼</t>
    </r>
    <r>
      <rPr>
        <sz val="11"/>
        <color theme="1"/>
        <rFont val="Meiryo"/>
        <family val="2"/>
        <charset val="128"/>
      </rPr>
      <t>(</t>
    </r>
    <r>
      <rPr>
        <sz val="11"/>
        <color theme="1"/>
        <rFont val="맑은 고딕"/>
        <family val="2"/>
        <charset val="129"/>
      </rPr>
      <t>사각형</t>
    </r>
    <r>
      <rPr>
        <sz val="11"/>
        <color theme="1"/>
        <rFont val="Meiryo"/>
        <family val="2"/>
        <charset val="128"/>
      </rPr>
      <t xml:space="preserve"> 6</t>
    </r>
    <r>
      <rPr>
        <sz val="11"/>
        <color theme="1"/>
        <rFont val="맑은 고딕"/>
        <family val="2"/>
        <charset val="129"/>
      </rPr>
      <t>등이하</t>
    </r>
    <r>
      <rPr>
        <sz val="11"/>
        <color theme="1"/>
        <rFont val="Meiryo"/>
        <family val="2"/>
        <charset val="128"/>
      </rPr>
      <t>)</t>
    </r>
    <phoneticPr fontId="1" type="noConversion"/>
  </si>
  <si>
    <r>
      <t>HR</t>
    </r>
    <r>
      <rPr>
        <sz val="11"/>
        <color theme="1"/>
        <rFont val="맑은 고딕"/>
        <family val="2"/>
        <charset val="129"/>
      </rPr>
      <t>각관</t>
    </r>
    <r>
      <rPr>
        <sz val="11"/>
        <color theme="1"/>
        <rFont val="Meiryo"/>
        <family val="2"/>
        <charset val="128"/>
      </rPr>
      <t>(</t>
    </r>
    <r>
      <rPr>
        <sz val="11"/>
        <color theme="1"/>
        <rFont val="맑은 고딕"/>
        <family val="2"/>
        <charset val="129"/>
      </rPr>
      <t>각파이프</t>
    </r>
    <r>
      <rPr>
        <sz val="11"/>
        <color theme="1"/>
        <rFont val="Meiryo"/>
        <family val="2"/>
        <charset val="128"/>
      </rPr>
      <t>)</t>
    </r>
    <phoneticPr fontId="1" type="noConversion"/>
  </si>
  <si>
    <r>
      <rPr>
        <sz val="11"/>
        <color theme="1"/>
        <rFont val="새굴림"/>
        <family val="2"/>
        <charset val="129"/>
      </rPr>
      <t>남도철강</t>
    </r>
    <phoneticPr fontId="1" type="noConversion"/>
  </si>
  <si>
    <r>
      <rPr>
        <sz val="11"/>
        <color theme="1"/>
        <rFont val="새굴림"/>
        <family val="2"/>
        <charset val="129"/>
      </rPr>
      <t>ㄱ형강</t>
    </r>
    <r>
      <rPr>
        <sz val="11"/>
        <color theme="1"/>
        <rFont val="Meiryo"/>
        <family val="2"/>
        <charset val="128"/>
      </rPr>
      <t>(</t>
    </r>
    <r>
      <rPr>
        <sz val="11"/>
        <color theme="1"/>
        <rFont val="새굴림"/>
        <family val="2"/>
        <charset val="129"/>
      </rPr>
      <t>앵글</t>
    </r>
    <r>
      <rPr>
        <sz val="11"/>
        <color theme="1"/>
        <rFont val="Meiryo"/>
        <family val="2"/>
        <charset val="128"/>
      </rPr>
      <t>)</t>
    </r>
    <phoneticPr fontId="1" type="noConversion"/>
  </si>
  <si>
    <r>
      <rPr>
        <sz val="11"/>
        <color theme="1"/>
        <rFont val="새굴림"/>
        <family val="2"/>
        <charset val="129"/>
      </rPr>
      <t>철망</t>
    </r>
    <phoneticPr fontId="1" type="noConversion"/>
  </si>
  <si>
    <r>
      <rPr>
        <sz val="11"/>
        <color theme="1"/>
        <rFont val="새굴림"/>
        <family val="2"/>
        <charset val="129"/>
      </rPr>
      <t>삼성철망</t>
    </r>
    <phoneticPr fontId="1" type="noConversion"/>
  </si>
  <si>
    <r>
      <t>XS63*4.5T*4</t>
    </r>
    <r>
      <rPr>
        <sz val="11"/>
        <color theme="1"/>
        <rFont val="돋움"/>
        <family val="3"/>
        <charset val="129"/>
      </rPr>
      <t>자</t>
    </r>
    <r>
      <rPr>
        <sz val="11"/>
        <color theme="1"/>
        <rFont val="Meiryo"/>
        <family val="2"/>
        <charset val="128"/>
      </rPr>
      <t>*8</t>
    </r>
    <r>
      <rPr>
        <sz val="11"/>
        <color theme="1"/>
        <rFont val="돋움"/>
        <family val="3"/>
        <charset val="129"/>
      </rPr>
      <t>자</t>
    </r>
    <phoneticPr fontId="1" type="noConversion"/>
  </si>
  <si>
    <r>
      <rPr>
        <sz val="11"/>
        <color theme="1"/>
        <rFont val="맑은 고딕"/>
        <family val="2"/>
        <charset val="129"/>
      </rPr>
      <t>크로스바</t>
    </r>
    <r>
      <rPr>
        <sz val="11"/>
        <color theme="1"/>
        <rFont val="Meiryo"/>
        <family val="2"/>
        <charset val="128"/>
      </rPr>
      <t>(</t>
    </r>
    <r>
      <rPr>
        <sz val="11"/>
        <color theme="1"/>
        <rFont val="새굴림"/>
        <family val="2"/>
        <charset val="129"/>
      </rPr>
      <t>막대</t>
    </r>
    <r>
      <rPr>
        <sz val="11"/>
        <color theme="1"/>
        <rFont val="맑은 고딕"/>
        <family val="2"/>
        <charset val="129"/>
      </rPr>
      <t>형</t>
    </r>
    <r>
      <rPr>
        <sz val="11"/>
        <color theme="1"/>
        <rFont val="Meiryo"/>
        <family val="2"/>
        <charset val="128"/>
      </rPr>
      <t xml:space="preserve"> 6</t>
    </r>
    <r>
      <rPr>
        <sz val="11"/>
        <color theme="1"/>
        <rFont val="맑은 고딕"/>
        <family val="2"/>
        <charset val="129"/>
      </rPr>
      <t>등이하</t>
    </r>
    <r>
      <rPr>
        <sz val="11"/>
        <color theme="1"/>
        <rFont val="Meiryo"/>
        <family val="2"/>
        <charset val="128"/>
      </rPr>
      <t>)</t>
    </r>
    <phoneticPr fontId="1" type="noConversion"/>
  </si>
  <si>
    <r>
      <rPr>
        <sz val="11"/>
        <color theme="1"/>
        <rFont val="맑은 고딕"/>
        <family val="2"/>
        <charset val="129"/>
      </rPr>
      <t>가로</t>
    </r>
    <r>
      <rPr>
        <sz val="11"/>
        <color theme="1"/>
        <rFont val="Meiryo"/>
        <family val="2"/>
        <charset val="128"/>
      </rPr>
      <t xml:space="preserve"> 3000↓</t>
    </r>
    <phoneticPr fontId="1" type="noConversion"/>
  </si>
  <si>
    <r>
      <rPr>
        <sz val="11"/>
        <color theme="1"/>
        <rFont val="맑은 고딕"/>
        <family val="2"/>
        <charset val="129"/>
      </rPr>
      <t>원형플렛폼</t>
    </r>
    <r>
      <rPr>
        <sz val="11"/>
        <color theme="1"/>
        <rFont val="Meiryo"/>
        <family val="2"/>
        <charset val="128"/>
      </rPr>
      <t>(</t>
    </r>
    <r>
      <rPr>
        <sz val="11"/>
        <color theme="1"/>
        <rFont val="새굴림"/>
        <family val="2"/>
        <charset val="129"/>
      </rPr>
      <t>고깔</t>
    </r>
    <r>
      <rPr>
        <sz val="11"/>
        <color theme="1"/>
        <rFont val="맑은 고딕"/>
        <family val="2"/>
        <charset val="129"/>
      </rPr>
      <t>형</t>
    </r>
    <r>
      <rPr>
        <sz val="11"/>
        <color theme="1"/>
        <rFont val="Meiryo"/>
        <family val="2"/>
        <charset val="128"/>
      </rPr>
      <t xml:space="preserve"> 6</t>
    </r>
    <r>
      <rPr>
        <sz val="11"/>
        <color theme="1"/>
        <rFont val="맑은 고딕"/>
        <family val="2"/>
        <charset val="129"/>
      </rPr>
      <t>등이하</t>
    </r>
    <r>
      <rPr>
        <sz val="11"/>
        <color theme="1"/>
        <rFont val="Meiryo"/>
        <family val="2"/>
        <charset val="128"/>
      </rPr>
      <t>)</t>
    </r>
    <phoneticPr fontId="1" type="noConversion"/>
  </si>
  <si>
    <r>
      <rPr>
        <sz val="11"/>
        <color theme="1"/>
        <rFont val="새굴림"/>
        <family val="2"/>
        <charset val="129"/>
      </rPr>
      <t>외경</t>
    </r>
    <r>
      <rPr>
        <sz val="11"/>
        <color theme="1"/>
        <rFont val="Meiryo"/>
        <family val="2"/>
        <charset val="128"/>
      </rPr>
      <t xml:space="preserve"> 2600↓ * </t>
    </r>
    <r>
      <rPr>
        <sz val="11"/>
        <color theme="1"/>
        <rFont val="새굴림"/>
        <family val="2"/>
        <charset val="129"/>
      </rPr>
      <t>내경</t>
    </r>
    <r>
      <rPr>
        <sz val="11"/>
        <color theme="1"/>
        <rFont val="Meiryo"/>
        <family val="2"/>
        <charset val="128"/>
      </rPr>
      <t xml:space="preserve"> 1800↓ * </t>
    </r>
    <r>
      <rPr>
        <sz val="11"/>
        <color theme="1"/>
        <rFont val="맑은 고딕"/>
        <family val="3"/>
        <charset val="129"/>
      </rPr>
      <t>높이</t>
    </r>
    <r>
      <rPr>
        <sz val="11"/>
        <color theme="1"/>
        <rFont val="Meiryo"/>
        <family val="2"/>
        <charset val="128"/>
      </rPr>
      <t xml:space="preserve"> 700↓</t>
    </r>
    <phoneticPr fontId="1" type="noConversion"/>
  </si>
  <si>
    <r>
      <rPr>
        <sz val="11"/>
        <color theme="1"/>
        <rFont val="새굴림"/>
        <family val="2"/>
        <charset val="129"/>
      </rPr>
      <t>스텐파이프</t>
    </r>
    <r>
      <rPr>
        <sz val="11"/>
        <color theme="1"/>
        <rFont val="Meiryo"/>
        <family val="2"/>
        <charset val="128"/>
      </rPr>
      <t>(</t>
    </r>
    <r>
      <rPr>
        <sz val="11"/>
        <color theme="1"/>
        <rFont val="새굴림"/>
        <family val="2"/>
        <charset val="129"/>
      </rPr>
      <t>피뢰침용</t>
    </r>
    <r>
      <rPr>
        <sz val="11"/>
        <color theme="1"/>
        <rFont val="Meiryo"/>
        <family val="2"/>
        <charset val="128"/>
      </rPr>
      <t>)</t>
    </r>
    <phoneticPr fontId="1" type="noConversion"/>
  </si>
  <si>
    <t>Ф42.7 * 2.0T * 3M</t>
    <phoneticPr fontId="1" type="noConversion"/>
  </si>
  <si>
    <r>
      <rPr>
        <sz val="11"/>
        <color theme="1"/>
        <rFont val="새굴림"/>
        <family val="2"/>
        <charset val="129"/>
      </rPr>
      <t>에스케이스틸</t>
    </r>
    <phoneticPr fontId="1" type="noConversion"/>
  </si>
  <si>
    <r>
      <rPr>
        <sz val="11"/>
        <color theme="1"/>
        <rFont val="새굴림"/>
        <family val="2"/>
        <charset val="129"/>
      </rPr>
      <t>태영스텐레이저</t>
    </r>
    <phoneticPr fontId="1" type="noConversion"/>
  </si>
  <si>
    <t>25A</t>
    <phoneticPr fontId="1" type="noConversion"/>
  </si>
  <si>
    <r>
      <t>45</t>
    </r>
    <r>
      <rPr>
        <sz val="11"/>
        <color theme="1"/>
        <rFont val="새굴림"/>
        <family val="2"/>
        <charset val="129"/>
      </rPr>
      <t>도</t>
    </r>
    <r>
      <rPr>
        <sz val="11"/>
        <color theme="1"/>
        <rFont val="Meiryo"/>
        <family val="2"/>
        <charset val="128"/>
      </rPr>
      <t>/L , 125A</t>
    </r>
    <phoneticPr fontId="1" type="noConversion"/>
  </si>
  <si>
    <r>
      <rPr>
        <sz val="11"/>
        <color theme="1"/>
        <rFont val="새굴림"/>
        <family val="2"/>
        <charset val="129"/>
      </rPr>
      <t>스텝발판</t>
    </r>
    <phoneticPr fontId="1" type="noConversion"/>
  </si>
  <si>
    <r>
      <rPr>
        <sz val="11"/>
        <color theme="1"/>
        <rFont val="새굴림"/>
        <family val="2"/>
        <charset val="129"/>
      </rPr>
      <t>피뢰침베이스</t>
    </r>
    <r>
      <rPr>
        <sz val="11"/>
        <color theme="1"/>
        <rFont val="Meiryo"/>
        <family val="2"/>
        <charset val="128"/>
      </rPr>
      <t>(</t>
    </r>
    <r>
      <rPr>
        <sz val="11"/>
        <color theme="1"/>
        <rFont val="새굴림"/>
        <family val="2"/>
        <charset val="129"/>
      </rPr>
      <t>원형</t>
    </r>
    <r>
      <rPr>
        <sz val="11"/>
        <color theme="1"/>
        <rFont val="Meiryo"/>
        <family val="2"/>
        <charset val="128"/>
      </rPr>
      <t>)</t>
    </r>
    <phoneticPr fontId="1" type="noConversion"/>
  </si>
  <si>
    <t>ID * 5T * Ф150 * Ф43.5</t>
    <phoneticPr fontId="1" type="noConversion"/>
  </si>
  <si>
    <r>
      <rPr>
        <sz val="11"/>
        <color theme="1"/>
        <rFont val="맑은 고딕"/>
        <family val="2"/>
        <charset val="129"/>
      </rPr>
      <t>피뢰침</t>
    </r>
    <r>
      <rPr>
        <sz val="11"/>
        <color theme="1"/>
        <rFont val="Meiryo"/>
        <family val="2"/>
        <charset val="128"/>
      </rPr>
      <t xml:space="preserve"> </t>
    </r>
    <r>
      <rPr>
        <sz val="11"/>
        <color theme="1"/>
        <rFont val="맑은 고딕"/>
        <family val="2"/>
        <charset val="129"/>
      </rPr>
      <t>소켓</t>
    </r>
    <r>
      <rPr>
        <sz val="11"/>
        <color theme="1"/>
        <rFont val="Meiryo"/>
        <family val="2"/>
        <charset val="128"/>
      </rPr>
      <t>(</t>
    </r>
    <r>
      <rPr>
        <sz val="11"/>
        <color theme="1"/>
        <rFont val="맑은 고딕"/>
        <family val="2"/>
        <charset val="129"/>
      </rPr>
      <t>니쁠</t>
    </r>
    <r>
      <rPr>
        <sz val="11"/>
        <color theme="1"/>
        <rFont val="Meiryo"/>
        <family val="2"/>
        <charset val="128"/>
      </rPr>
      <t>)</t>
    </r>
    <phoneticPr fontId="1" type="noConversion"/>
  </si>
  <si>
    <r>
      <rPr>
        <sz val="11"/>
        <color theme="1"/>
        <rFont val="새굴림"/>
        <family val="2"/>
        <charset val="129"/>
      </rPr>
      <t>알파상사</t>
    </r>
    <phoneticPr fontId="1" type="noConversion"/>
  </si>
  <si>
    <r>
      <rPr>
        <sz val="11"/>
        <color theme="1"/>
        <rFont val="새굴림"/>
        <family val="2"/>
        <charset val="129"/>
      </rPr>
      <t>흑용접</t>
    </r>
    <r>
      <rPr>
        <sz val="11"/>
        <color theme="1"/>
        <rFont val="Meiryo"/>
        <family val="2"/>
        <charset val="128"/>
      </rPr>
      <t xml:space="preserve"> </t>
    </r>
    <r>
      <rPr>
        <sz val="11"/>
        <color theme="1"/>
        <rFont val="새굴림"/>
        <family val="2"/>
        <charset val="129"/>
      </rPr>
      <t>엘보</t>
    </r>
    <r>
      <rPr>
        <sz val="11"/>
        <color theme="1"/>
        <rFont val="Meiryo"/>
        <family val="2"/>
        <charset val="128"/>
      </rPr>
      <t>(L</t>
    </r>
    <r>
      <rPr>
        <sz val="11"/>
        <color theme="1"/>
        <rFont val="새굴림"/>
        <family val="2"/>
        <charset val="129"/>
      </rPr>
      <t>보</t>
    </r>
    <r>
      <rPr>
        <sz val="11"/>
        <color theme="1"/>
        <rFont val="Meiryo"/>
        <family val="2"/>
        <charset val="128"/>
      </rPr>
      <t>)</t>
    </r>
    <phoneticPr fontId="1" type="noConversion"/>
  </si>
  <si>
    <t>50*250*4T 1EA / 92*68*4T 1EA</t>
    <phoneticPr fontId="1" type="noConversion"/>
  </si>
  <si>
    <r>
      <rPr>
        <sz val="11"/>
        <color theme="1"/>
        <rFont val="새굴림"/>
        <family val="2"/>
        <charset val="129"/>
      </rPr>
      <t>점검구</t>
    </r>
    <phoneticPr fontId="1" type="noConversion"/>
  </si>
  <si>
    <r>
      <rPr>
        <sz val="11"/>
        <color theme="1"/>
        <rFont val="맑은 고딕"/>
        <family val="2"/>
        <charset val="129"/>
      </rPr>
      <t>점검구</t>
    </r>
    <r>
      <rPr>
        <sz val="11"/>
        <color theme="1"/>
        <rFont val="Meiryo"/>
        <family val="2"/>
        <charset val="128"/>
      </rPr>
      <t xml:space="preserve"> </t>
    </r>
    <r>
      <rPr>
        <sz val="11"/>
        <color theme="1"/>
        <rFont val="새굴림"/>
        <family val="2"/>
        <charset val="129"/>
      </rPr>
      <t>커버</t>
    </r>
    <phoneticPr fontId="1" type="noConversion"/>
  </si>
  <si>
    <t>5T * Ф264 * Ф264</t>
    <phoneticPr fontId="1" type="noConversion"/>
  </si>
  <si>
    <r>
      <t>HR</t>
    </r>
    <r>
      <rPr>
        <sz val="11"/>
        <color theme="1"/>
        <rFont val="맑은 고딕"/>
        <family val="2"/>
        <charset val="129"/>
      </rPr>
      <t>각관</t>
    </r>
    <r>
      <rPr>
        <sz val="11"/>
        <color theme="1"/>
        <rFont val="Meiryo"/>
        <family val="2"/>
        <charset val="128"/>
      </rPr>
      <t>(</t>
    </r>
    <r>
      <rPr>
        <sz val="11"/>
        <color theme="1"/>
        <rFont val="맑은 고딕"/>
        <family val="2"/>
        <charset val="129"/>
      </rPr>
      <t>각파이프</t>
    </r>
    <r>
      <rPr>
        <sz val="11"/>
        <color theme="1"/>
        <rFont val="Meiryo"/>
        <family val="2"/>
        <charset val="128"/>
      </rPr>
      <t xml:space="preserve">) </t>
    </r>
    <r>
      <rPr>
        <sz val="11"/>
        <color theme="1"/>
        <rFont val="새굴림"/>
        <family val="2"/>
        <charset val="129"/>
      </rPr>
      <t>몸체</t>
    </r>
    <phoneticPr fontId="1" type="noConversion"/>
  </si>
  <si>
    <r>
      <t>HR</t>
    </r>
    <r>
      <rPr>
        <sz val="11"/>
        <color theme="1"/>
        <rFont val="맑은 고딕"/>
        <family val="2"/>
        <charset val="129"/>
      </rPr>
      <t>각관</t>
    </r>
    <r>
      <rPr>
        <sz val="11"/>
        <color theme="1"/>
        <rFont val="Meiryo"/>
        <family val="2"/>
        <charset val="128"/>
      </rPr>
      <t>(</t>
    </r>
    <r>
      <rPr>
        <sz val="11"/>
        <color theme="1"/>
        <rFont val="맑은 고딕"/>
        <family val="2"/>
        <charset val="129"/>
      </rPr>
      <t>각파이프</t>
    </r>
    <r>
      <rPr>
        <sz val="11"/>
        <color theme="1"/>
        <rFont val="Meiryo"/>
        <family val="2"/>
        <charset val="128"/>
      </rPr>
      <t xml:space="preserve">) </t>
    </r>
    <r>
      <rPr>
        <sz val="11"/>
        <color theme="1"/>
        <rFont val="새굴림"/>
        <family val="2"/>
        <charset val="129"/>
      </rPr>
      <t>출입문</t>
    </r>
    <phoneticPr fontId="1" type="noConversion"/>
  </si>
  <si>
    <t>40 * 40 * 3T * 3000L</t>
    <phoneticPr fontId="1" type="noConversion"/>
  </si>
  <si>
    <t>51*70*4T 1EA / 252*25*9T 1EA</t>
    <phoneticPr fontId="1" type="noConversion"/>
  </si>
  <si>
    <t>Ф457 * 9T (5.7T↑) * 6M</t>
    <phoneticPr fontId="1" type="noConversion"/>
  </si>
  <si>
    <t>Ф406 * 9T (4.0T↑) * 6M</t>
    <phoneticPr fontId="1" type="noConversion"/>
  </si>
  <si>
    <r>
      <t>Ф406</t>
    </r>
    <r>
      <rPr>
        <sz val="8.8000000000000007"/>
        <color theme="1"/>
        <rFont val="Meiryo"/>
        <family val="2"/>
        <charset val="128"/>
      </rPr>
      <t xml:space="preserve"> </t>
    </r>
    <r>
      <rPr>
        <sz val="11"/>
        <color theme="1"/>
        <rFont val="Meiryo"/>
        <family val="2"/>
        <charset val="128"/>
      </rPr>
      <t>* 12T (11.0T↑) * 6M</t>
    </r>
    <phoneticPr fontId="1" type="noConversion"/>
  </si>
  <si>
    <r>
      <t>Ф</t>
    </r>
    <r>
      <rPr>
        <sz val="8.8000000000000007"/>
        <color theme="1"/>
        <rFont val="Meiryo"/>
        <family val="2"/>
        <charset val="128"/>
      </rPr>
      <t>355</t>
    </r>
    <r>
      <rPr>
        <sz val="11"/>
        <color theme="1"/>
        <rFont val="Meiryo"/>
        <family val="2"/>
        <charset val="128"/>
      </rPr>
      <t xml:space="preserve"> * 9T (9.2T↑) * 6M</t>
    </r>
    <phoneticPr fontId="1" type="noConversion"/>
  </si>
  <si>
    <t>Ф318 * 6T (6.0T↑) * 6M</t>
    <phoneticPr fontId="1" type="noConversion"/>
  </si>
  <si>
    <r>
      <t>Ф406</t>
    </r>
    <r>
      <rPr>
        <sz val="8.8000000000000007"/>
        <color theme="1"/>
        <rFont val="Meiryo"/>
        <family val="2"/>
        <charset val="128"/>
      </rPr>
      <t xml:space="preserve"> </t>
    </r>
    <r>
      <rPr>
        <sz val="11"/>
        <color theme="1"/>
        <rFont val="Meiryo"/>
        <family val="2"/>
        <charset val="128"/>
      </rPr>
      <t>* 9T (6.4T↑) * 6M</t>
    </r>
    <phoneticPr fontId="1" type="noConversion"/>
  </si>
  <si>
    <r>
      <t>Ф</t>
    </r>
    <r>
      <rPr>
        <sz val="8.8000000000000007"/>
        <color theme="1"/>
        <rFont val="Meiryo"/>
        <family val="2"/>
        <charset val="128"/>
      </rPr>
      <t>355</t>
    </r>
    <r>
      <rPr>
        <sz val="11"/>
        <color theme="1"/>
        <rFont val="Meiryo"/>
        <family val="2"/>
        <charset val="128"/>
      </rPr>
      <t xml:space="preserve"> * 6.3T (5.0T↑) * 6M</t>
    </r>
    <phoneticPr fontId="1" type="noConversion"/>
  </si>
  <si>
    <t>Ф318 * 6T (4.0T↑) * 6M</t>
    <phoneticPr fontId="1" type="noConversion"/>
  </si>
  <si>
    <r>
      <t>Ф</t>
    </r>
    <r>
      <rPr>
        <sz val="8.8000000000000007"/>
        <color theme="1"/>
        <rFont val="Meiryo"/>
        <family val="2"/>
        <charset val="128"/>
      </rPr>
      <t xml:space="preserve">355 </t>
    </r>
    <r>
      <rPr>
        <sz val="11"/>
        <color theme="1"/>
        <rFont val="Meiryo"/>
        <family val="2"/>
        <charset val="128"/>
      </rPr>
      <t>* 12T (11.0T↑) * 6M</t>
    </r>
    <phoneticPr fontId="1" type="noConversion"/>
  </si>
  <si>
    <r>
      <t>Ф</t>
    </r>
    <r>
      <rPr>
        <sz val="8.8000000000000007"/>
        <color theme="1"/>
        <rFont val="Meiryo"/>
        <family val="2"/>
        <charset val="128"/>
      </rPr>
      <t>318</t>
    </r>
    <r>
      <rPr>
        <sz val="11"/>
        <color theme="1"/>
        <rFont val="Meiryo"/>
        <family val="2"/>
        <charset val="128"/>
      </rPr>
      <t xml:space="preserve"> * 9T (8.2T↑) * 6M</t>
    </r>
    <phoneticPr fontId="1" type="noConversion"/>
  </si>
  <si>
    <r>
      <t>Ф</t>
    </r>
    <r>
      <rPr>
        <sz val="8.8000000000000007"/>
        <color theme="1"/>
        <rFont val="Meiryo"/>
        <family val="2"/>
        <charset val="128"/>
      </rPr>
      <t xml:space="preserve">355 </t>
    </r>
    <r>
      <rPr>
        <sz val="11"/>
        <color theme="1"/>
        <rFont val="Meiryo"/>
        <family val="2"/>
        <charset val="128"/>
      </rPr>
      <t>* 6.3T (6.0T↑) * 6M</t>
    </r>
    <phoneticPr fontId="1" type="noConversion"/>
  </si>
  <si>
    <r>
      <t>Ф</t>
    </r>
    <r>
      <rPr>
        <sz val="8.8000000000000007"/>
        <color theme="1"/>
        <rFont val="Meiryo"/>
        <family val="2"/>
        <charset val="128"/>
      </rPr>
      <t>318</t>
    </r>
    <r>
      <rPr>
        <sz val="11"/>
        <color theme="1"/>
        <rFont val="Meiryo"/>
        <family val="2"/>
        <charset val="128"/>
      </rPr>
      <t xml:space="preserve"> * 6T (4.2T↑) * 6M</t>
    </r>
    <phoneticPr fontId="1" type="noConversion"/>
  </si>
  <si>
    <r>
      <t>Ф</t>
    </r>
    <r>
      <rPr>
        <sz val="8.8000000000000007"/>
        <color theme="1"/>
        <rFont val="Meiryo"/>
        <family val="2"/>
        <charset val="128"/>
      </rPr>
      <t xml:space="preserve">355 </t>
    </r>
    <r>
      <rPr>
        <sz val="11"/>
        <color theme="1"/>
        <rFont val="Meiryo"/>
        <family val="2"/>
        <charset val="128"/>
      </rPr>
      <t>* 9T (7.8T↑) * 6M</t>
    </r>
    <phoneticPr fontId="1" type="noConversion"/>
  </si>
  <si>
    <r>
      <t>Ф</t>
    </r>
    <r>
      <rPr>
        <sz val="8.8000000000000007"/>
        <color theme="1"/>
        <rFont val="Meiryo"/>
        <family val="2"/>
        <charset val="128"/>
      </rPr>
      <t>318</t>
    </r>
    <r>
      <rPr>
        <sz val="11"/>
        <color theme="1"/>
        <rFont val="Meiryo"/>
        <family val="2"/>
        <charset val="128"/>
      </rPr>
      <t xml:space="preserve"> * 6T (5.0T↑) * 6M</t>
    </r>
    <phoneticPr fontId="1" type="noConversion"/>
  </si>
  <si>
    <r>
      <t>Ф508</t>
    </r>
    <r>
      <rPr>
        <sz val="8.8000000000000007"/>
        <color theme="1"/>
        <rFont val="Meiryo"/>
        <family val="2"/>
        <charset val="128"/>
      </rPr>
      <t xml:space="preserve"> </t>
    </r>
    <r>
      <rPr>
        <sz val="11"/>
        <color theme="1"/>
        <rFont val="Meiryo"/>
        <family val="2"/>
        <charset val="128"/>
      </rPr>
      <t>* 12T (11.0T↑) * 6M</t>
    </r>
    <phoneticPr fontId="1" type="noConversion"/>
  </si>
  <si>
    <t>Ф457 * 9T (9.0T↑) * 6M</t>
    <phoneticPr fontId="1" type="noConversion"/>
  </si>
  <si>
    <t>Ф406 * 9T (6.7T↑) * 6M</t>
    <phoneticPr fontId="1" type="noConversion"/>
  </si>
  <si>
    <t>Ф355 * 6.3T (6.7T↑) * 2M</t>
    <phoneticPr fontId="1" type="noConversion"/>
  </si>
  <si>
    <r>
      <t>Ф609</t>
    </r>
    <r>
      <rPr>
        <sz val="8.8000000000000007"/>
        <color theme="1"/>
        <rFont val="Meiryo"/>
        <family val="2"/>
        <charset val="128"/>
      </rPr>
      <t xml:space="preserve"> </t>
    </r>
    <r>
      <rPr>
        <sz val="11"/>
        <color theme="1"/>
        <rFont val="Meiryo"/>
        <family val="2"/>
        <charset val="128"/>
      </rPr>
      <t>* 9T (6.7T↑) * 6M</t>
    </r>
    <phoneticPr fontId="1" type="noConversion"/>
  </si>
  <si>
    <t>Ф508 * 9T (6.5T↑) * 6M</t>
    <phoneticPr fontId="1" type="noConversion"/>
  </si>
  <si>
    <t>Ф406 * 9T (6.0T↑) * 6M</t>
    <phoneticPr fontId="1" type="noConversion"/>
  </si>
  <si>
    <t>Ф355 * 6.3T (4.0T↑) * 6M</t>
    <phoneticPr fontId="1" type="noConversion"/>
  </si>
  <si>
    <r>
      <t>Ф609</t>
    </r>
    <r>
      <rPr>
        <sz val="8.8000000000000007"/>
        <color theme="1"/>
        <rFont val="Meiryo"/>
        <family val="2"/>
        <charset val="128"/>
      </rPr>
      <t xml:space="preserve"> </t>
    </r>
    <r>
      <rPr>
        <sz val="11"/>
        <color theme="1"/>
        <rFont val="Meiryo"/>
        <family val="2"/>
        <charset val="128"/>
      </rPr>
      <t>* 12T (9.7T↑) * 6M</t>
    </r>
    <phoneticPr fontId="1" type="noConversion"/>
  </si>
  <si>
    <t>Ф508 * 12T (10.0T↑) * 6M</t>
    <phoneticPr fontId="1" type="noConversion"/>
  </si>
  <si>
    <t>Ф406 * 12T (10.4T↑) * 6M</t>
    <phoneticPr fontId="1" type="noConversion"/>
  </si>
  <si>
    <t>Ф355 * 8T (7.5T↑) * 6M</t>
    <phoneticPr fontId="1" type="noConversion"/>
  </si>
  <si>
    <t>100 * 50 * 4.5T * 6000L</t>
    <phoneticPr fontId="1" type="noConversion"/>
  </si>
  <si>
    <t>Ф267 * 6T (4.0T↑) * 3M</t>
    <phoneticPr fontId="1" type="noConversion"/>
  </si>
  <si>
    <t>Ф267 * 6T (5.0T↑) * 3M</t>
    <phoneticPr fontId="1" type="noConversion"/>
  </si>
  <si>
    <r>
      <t>Ф508</t>
    </r>
    <r>
      <rPr>
        <sz val="8.8000000000000007"/>
        <color theme="1"/>
        <rFont val="Meiryo"/>
        <family val="2"/>
        <charset val="128"/>
      </rPr>
      <t xml:space="preserve"> </t>
    </r>
    <r>
      <rPr>
        <sz val="11"/>
        <color theme="1"/>
        <rFont val="Meiryo"/>
        <family val="2"/>
        <charset val="128"/>
      </rPr>
      <t>* 9T (7.0T↑) * 6M</t>
    </r>
    <phoneticPr fontId="1" type="noConversion"/>
  </si>
  <si>
    <t>Ф355 * 6.3T (4.0T↑) * 2M</t>
    <phoneticPr fontId="1" type="noConversion"/>
  </si>
  <si>
    <r>
      <rPr>
        <sz val="11"/>
        <color theme="1"/>
        <rFont val="Arial Unicode MS"/>
        <family val="3"/>
        <charset val="129"/>
      </rPr>
      <t>가로</t>
    </r>
    <r>
      <rPr>
        <sz val="11"/>
        <color theme="1"/>
        <rFont val="Meiryo"/>
        <family val="2"/>
        <charset val="128"/>
      </rPr>
      <t xml:space="preserve"> 100 * </t>
    </r>
    <r>
      <rPr>
        <sz val="11"/>
        <color theme="1"/>
        <rFont val="Arial Unicode MS"/>
        <family val="3"/>
        <charset val="129"/>
      </rPr>
      <t>높이</t>
    </r>
    <r>
      <rPr>
        <sz val="11"/>
        <color theme="1"/>
        <rFont val="Meiryo"/>
        <family val="2"/>
        <charset val="128"/>
      </rPr>
      <t xml:space="preserve"> 150↑ * </t>
    </r>
    <r>
      <rPr>
        <sz val="11"/>
        <color theme="1"/>
        <rFont val="맑은 고딕"/>
        <family val="3"/>
        <charset val="204"/>
      </rPr>
      <t>두께</t>
    </r>
    <r>
      <rPr>
        <sz val="11"/>
        <color theme="1"/>
        <rFont val="Meiryo"/>
        <family val="2"/>
        <charset val="128"/>
      </rPr>
      <t xml:space="preserve"> 9.0T↑</t>
    </r>
    <phoneticPr fontId="1" type="noConversion"/>
  </si>
  <si>
    <t>Ф600 * Ф359 * 36.0T↑</t>
    <phoneticPr fontId="1" type="noConversion"/>
  </si>
  <si>
    <t>Ф530 * Ф359 * 30.0T↑</t>
    <phoneticPr fontId="1" type="noConversion"/>
  </si>
  <si>
    <t>Ф530 * Ф322 * 30.0T↑</t>
    <phoneticPr fontId="1" type="noConversion"/>
  </si>
  <si>
    <t>Ф500 * Ф322 * 20.0T↑</t>
    <phoneticPr fontId="1" type="noConversion"/>
  </si>
  <si>
    <r>
      <rPr>
        <sz val="11"/>
        <color theme="1"/>
        <rFont val="Arial Unicode MS"/>
        <family val="3"/>
        <charset val="129"/>
      </rPr>
      <t>가로</t>
    </r>
    <r>
      <rPr>
        <sz val="11"/>
        <color theme="1"/>
        <rFont val="Meiryo"/>
        <family val="2"/>
        <charset val="128"/>
      </rPr>
      <t xml:space="preserve"> 80 * </t>
    </r>
    <r>
      <rPr>
        <sz val="11"/>
        <color theme="1"/>
        <rFont val="Arial Unicode MS"/>
        <family val="3"/>
        <charset val="129"/>
      </rPr>
      <t>높이</t>
    </r>
    <r>
      <rPr>
        <sz val="11"/>
        <color theme="1"/>
        <rFont val="Meiryo"/>
        <family val="2"/>
        <charset val="128"/>
      </rPr>
      <t xml:space="preserve"> 150↑ * </t>
    </r>
    <r>
      <rPr>
        <sz val="11"/>
        <color theme="1"/>
        <rFont val="맑은 고딕"/>
        <family val="3"/>
        <charset val="204"/>
      </rPr>
      <t>두께</t>
    </r>
    <r>
      <rPr>
        <sz val="11"/>
        <color theme="1"/>
        <rFont val="Meiryo"/>
        <family val="2"/>
        <charset val="128"/>
      </rPr>
      <t xml:space="preserve"> 9.0T↑</t>
    </r>
    <phoneticPr fontId="1" type="noConversion"/>
  </si>
  <si>
    <t>Ф500 * Ф271 * 20.0T↑</t>
    <phoneticPr fontId="1" type="noConversion"/>
  </si>
  <si>
    <t>Ф600 * Ф600 * 12.0T↑</t>
    <phoneticPr fontId="1" type="noConversion"/>
  </si>
  <si>
    <t>Ф620 * Ф620 * 12.0T↑</t>
    <phoneticPr fontId="1" type="noConversion"/>
  </si>
  <si>
    <r>
      <rPr>
        <sz val="11"/>
        <color theme="1"/>
        <rFont val="Arial Unicode MS"/>
        <family val="3"/>
        <charset val="129"/>
      </rPr>
      <t>가로</t>
    </r>
    <r>
      <rPr>
        <sz val="11"/>
        <color theme="1"/>
        <rFont val="Meiryo"/>
        <family val="2"/>
        <charset val="128"/>
      </rPr>
      <t xml:space="preserve"> 130 * </t>
    </r>
    <r>
      <rPr>
        <sz val="11"/>
        <color theme="1"/>
        <rFont val="Arial Unicode MS"/>
        <family val="3"/>
        <charset val="129"/>
      </rPr>
      <t>높이</t>
    </r>
    <r>
      <rPr>
        <sz val="11"/>
        <color theme="1"/>
        <rFont val="Meiryo"/>
        <family val="2"/>
        <charset val="128"/>
      </rPr>
      <t xml:space="preserve"> 200↑ * </t>
    </r>
    <r>
      <rPr>
        <sz val="11"/>
        <color theme="1"/>
        <rFont val="맑은 고딕"/>
        <family val="3"/>
        <charset val="204"/>
      </rPr>
      <t>두께</t>
    </r>
    <r>
      <rPr>
        <sz val="11"/>
        <color theme="1"/>
        <rFont val="Meiryo"/>
        <family val="2"/>
        <charset val="128"/>
      </rPr>
      <t xml:space="preserve"> 12.0T↑</t>
    </r>
    <phoneticPr fontId="1" type="noConversion"/>
  </si>
  <si>
    <r>
      <rPr>
        <sz val="11"/>
        <color theme="1"/>
        <rFont val="새굴림"/>
        <family val="2"/>
        <charset val="129"/>
      </rPr>
      <t>피뢰침</t>
    </r>
    <r>
      <rPr>
        <sz val="11"/>
        <color theme="1"/>
        <rFont val="Meiryo"/>
        <family val="2"/>
        <charset val="128"/>
      </rPr>
      <t xml:space="preserve"> </t>
    </r>
    <r>
      <rPr>
        <sz val="11"/>
        <color theme="1"/>
        <rFont val="새굴림"/>
        <family val="2"/>
        <charset val="129"/>
      </rPr>
      <t>마구리</t>
    </r>
    <r>
      <rPr>
        <sz val="11"/>
        <color theme="1"/>
        <rFont val="Meiryo"/>
        <family val="2"/>
        <charset val="128"/>
      </rPr>
      <t>(</t>
    </r>
    <r>
      <rPr>
        <sz val="11"/>
        <color theme="1"/>
        <rFont val="새굴림"/>
        <family val="2"/>
        <charset val="129"/>
      </rPr>
      <t>원형</t>
    </r>
    <r>
      <rPr>
        <sz val="11"/>
        <color theme="1"/>
        <rFont val="Meiryo"/>
        <family val="2"/>
        <charset val="128"/>
      </rPr>
      <t>)</t>
    </r>
    <phoneticPr fontId="1" type="noConversion"/>
  </si>
  <si>
    <t>Ф660 * Ф359 * 50.0T↑</t>
    <phoneticPr fontId="1" type="noConversion"/>
  </si>
  <si>
    <t>Ф530 * Ф359 * 44.0T↑</t>
    <phoneticPr fontId="1" type="noConversion"/>
  </si>
  <si>
    <t>Ф530 * Ф322 * 44.0T↑</t>
    <phoneticPr fontId="1" type="noConversion"/>
  </si>
  <si>
    <t>Ф500 * Ф322 * 31.0T↑</t>
    <phoneticPr fontId="1" type="noConversion"/>
  </si>
  <si>
    <t>Ф500 * Ф271 * 31.0T↑</t>
    <phoneticPr fontId="1" type="noConversion"/>
  </si>
  <si>
    <t>Ф600 * Ф600 * 16.0T↑</t>
    <phoneticPr fontId="1" type="noConversion"/>
  </si>
  <si>
    <t>Ф620 * Ф620 * 16.0T↑</t>
    <phoneticPr fontId="1" type="noConversion"/>
  </si>
  <si>
    <r>
      <rPr>
        <sz val="11"/>
        <color theme="1"/>
        <rFont val="Arial Unicode MS"/>
        <family val="3"/>
        <charset val="129"/>
      </rPr>
      <t>가로</t>
    </r>
    <r>
      <rPr>
        <sz val="11"/>
        <color theme="1"/>
        <rFont val="Meiryo"/>
        <family val="2"/>
        <charset val="128"/>
      </rPr>
      <t xml:space="preserve"> 70 * </t>
    </r>
    <r>
      <rPr>
        <sz val="11"/>
        <color theme="1"/>
        <rFont val="Arial Unicode MS"/>
        <family val="3"/>
        <charset val="129"/>
      </rPr>
      <t>높이</t>
    </r>
    <r>
      <rPr>
        <sz val="11"/>
        <color theme="1"/>
        <rFont val="Meiryo"/>
        <family val="2"/>
        <charset val="128"/>
      </rPr>
      <t xml:space="preserve"> 200↑ * </t>
    </r>
    <r>
      <rPr>
        <sz val="11"/>
        <color theme="1"/>
        <rFont val="맑은 고딕"/>
        <family val="3"/>
        <charset val="204"/>
      </rPr>
      <t>두께</t>
    </r>
    <r>
      <rPr>
        <sz val="11"/>
        <color theme="1"/>
        <rFont val="Meiryo"/>
        <family val="2"/>
        <charset val="128"/>
      </rPr>
      <t xml:space="preserve"> 9.0T↑</t>
    </r>
    <phoneticPr fontId="1" type="noConversion"/>
  </si>
  <si>
    <r>
      <rPr>
        <sz val="11"/>
        <color theme="1"/>
        <rFont val="Arial Unicode MS"/>
        <family val="3"/>
        <charset val="129"/>
      </rPr>
      <t>가로</t>
    </r>
    <r>
      <rPr>
        <sz val="11"/>
        <color theme="1"/>
        <rFont val="Meiryo"/>
        <family val="2"/>
        <charset val="128"/>
      </rPr>
      <t xml:space="preserve"> 90 * </t>
    </r>
    <r>
      <rPr>
        <sz val="11"/>
        <color theme="1"/>
        <rFont val="Arial Unicode MS"/>
        <family val="3"/>
        <charset val="129"/>
      </rPr>
      <t>높이</t>
    </r>
    <r>
      <rPr>
        <sz val="11"/>
        <color theme="1"/>
        <rFont val="Meiryo"/>
        <family val="2"/>
        <charset val="128"/>
      </rPr>
      <t xml:space="preserve"> 200↑ * </t>
    </r>
    <r>
      <rPr>
        <sz val="11"/>
        <color theme="1"/>
        <rFont val="맑은 고딕"/>
        <family val="3"/>
        <charset val="204"/>
      </rPr>
      <t>두께</t>
    </r>
    <r>
      <rPr>
        <sz val="11"/>
        <color theme="1"/>
        <rFont val="Meiryo"/>
        <family val="2"/>
        <charset val="128"/>
      </rPr>
      <t xml:space="preserve"> 9.0T↑</t>
    </r>
    <phoneticPr fontId="1" type="noConversion"/>
  </si>
  <si>
    <r>
      <rPr>
        <sz val="11"/>
        <color theme="1"/>
        <rFont val="Arial Unicode MS"/>
        <family val="3"/>
        <charset val="129"/>
      </rPr>
      <t>가로</t>
    </r>
    <r>
      <rPr>
        <sz val="11"/>
        <color theme="1"/>
        <rFont val="Meiryo"/>
        <family val="2"/>
        <charset val="128"/>
      </rPr>
      <t xml:space="preserve"> 140 * </t>
    </r>
    <r>
      <rPr>
        <sz val="11"/>
        <color theme="1"/>
        <rFont val="Arial Unicode MS"/>
        <family val="3"/>
        <charset val="129"/>
      </rPr>
      <t>높이</t>
    </r>
    <r>
      <rPr>
        <sz val="11"/>
        <color theme="1"/>
        <rFont val="Meiryo"/>
        <family val="2"/>
        <charset val="128"/>
      </rPr>
      <t xml:space="preserve"> 200↑ * </t>
    </r>
    <r>
      <rPr>
        <sz val="11"/>
        <color theme="1"/>
        <rFont val="맑은 고딕"/>
        <family val="3"/>
        <charset val="204"/>
      </rPr>
      <t>두께</t>
    </r>
    <r>
      <rPr>
        <sz val="11"/>
        <color theme="1"/>
        <rFont val="Meiryo"/>
        <family val="2"/>
        <charset val="128"/>
      </rPr>
      <t xml:space="preserve"> 9.0T↑</t>
    </r>
    <phoneticPr fontId="1" type="noConversion"/>
  </si>
  <si>
    <r>
      <rPr>
        <sz val="11"/>
        <color theme="1"/>
        <rFont val="Arial Unicode MS"/>
        <family val="3"/>
        <charset val="129"/>
      </rPr>
      <t>가로</t>
    </r>
    <r>
      <rPr>
        <sz val="11"/>
        <color theme="1"/>
        <rFont val="Meiryo"/>
        <family val="2"/>
        <charset val="128"/>
      </rPr>
      <t xml:space="preserve"> 120 * </t>
    </r>
    <r>
      <rPr>
        <sz val="11"/>
        <color theme="1"/>
        <rFont val="Arial Unicode MS"/>
        <family val="3"/>
        <charset val="129"/>
      </rPr>
      <t>높이</t>
    </r>
    <r>
      <rPr>
        <sz val="11"/>
        <color theme="1"/>
        <rFont val="Meiryo"/>
        <family val="2"/>
        <charset val="128"/>
      </rPr>
      <t xml:space="preserve"> 200↑ * </t>
    </r>
    <r>
      <rPr>
        <sz val="11"/>
        <color theme="1"/>
        <rFont val="맑은 고딕"/>
        <family val="3"/>
        <charset val="204"/>
      </rPr>
      <t>두께</t>
    </r>
    <r>
      <rPr>
        <sz val="11"/>
        <color theme="1"/>
        <rFont val="Meiryo"/>
        <family val="2"/>
        <charset val="128"/>
      </rPr>
      <t xml:space="preserve"> 12.0T↑</t>
    </r>
    <phoneticPr fontId="1" type="noConversion"/>
  </si>
  <si>
    <r>
      <rPr>
        <sz val="11"/>
        <color theme="1"/>
        <rFont val="Arial Unicode MS"/>
        <family val="3"/>
        <charset val="129"/>
      </rPr>
      <t>가로</t>
    </r>
    <r>
      <rPr>
        <sz val="11"/>
        <color theme="1"/>
        <rFont val="Meiryo"/>
        <family val="2"/>
        <charset val="128"/>
      </rPr>
      <t xml:space="preserve"> 95 * </t>
    </r>
    <r>
      <rPr>
        <sz val="11"/>
        <color theme="1"/>
        <rFont val="Arial Unicode MS"/>
        <family val="3"/>
        <charset val="129"/>
      </rPr>
      <t>높이</t>
    </r>
    <r>
      <rPr>
        <sz val="11"/>
        <color theme="1"/>
        <rFont val="Meiryo"/>
        <family val="2"/>
        <charset val="128"/>
      </rPr>
      <t xml:space="preserve"> 150↑ * </t>
    </r>
    <r>
      <rPr>
        <sz val="11"/>
        <color theme="1"/>
        <rFont val="맑은 고딕"/>
        <family val="3"/>
        <charset val="204"/>
      </rPr>
      <t>두께</t>
    </r>
    <r>
      <rPr>
        <sz val="11"/>
        <color theme="1"/>
        <rFont val="Meiryo"/>
        <family val="2"/>
        <charset val="128"/>
      </rPr>
      <t xml:space="preserve"> 9.0T↑</t>
    </r>
    <phoneticPr fontId="1" type="noConversion"/>
  </si>
  <si>
    <r>
      <rPr>
        <sz val="11"/>
        <color theme="1"/>
        <rFont val="Arial Unicode MS"/>
        <family val="3"/>
        <charset val="129"/>
      </rPr>
      <t>가로</t>
    </r>
    <r>
      <rPr>
        <sz val="11"/>
        <color theme="1"/>
        <rFont val="Meiryo"/>
        <family val="2"/>
        <charset val="128"/>
      </rPr>
      <t xml:space="preserve"> 125 * </t>
    </r>
    <r>
      <rPr>
        <sz val="11"/>
        <color theme="1"/>
        <rFont val="Arial Unicode MS"/>
        <family val="3"/>
        <charset val="129"/>
      </rPr>
      <t>높이</t>
    </r>
    <r>
      <rPr>
        <sz val="11"/>
        <color theme="1"/>
        <rFont val="Meiryo"/>
        <family val="2"/>
        <charset val="128"/>
      </rPr>
      <t xml:space="preserve"> 250↑ * </t>
    </r>
    <r>
      <rPr>
        <sz val="11"/>
        <color theme="1"/>
        <rFont val="맑은 고딕"/>
        <family val="3"/>
        <charset val="204"/>
      </rPr>
      <t>두께</t>
    </r>
    <r>
      <rPr>
        <sz val="11"/>
        <color theme="1"/>
        <rFont val="Meiryo"/>
        <family val="2"/>
        <charset val="128"/>
      </rPr>
      <t xml:space="preserve"> 15.0T↑</t>
    </r>
    <phoneticPr fontId="1" type="noConversion"/>
  </si>
  <si>
    <r>
      <rPr>
        <sz val="11"/>
        <color theme="1"/>
        <rFont val="Arial Unicode MS"/>
        <family val="3"/>
        <charset val="129"/>
      </rPr>
      <t>가로</t>
    </r>
    <r>
      <rPr>
        <sz val="11"/>
        <color theme="1"/>
        <rFont val="Meiryo"/>
        <family val="2"/>
        <charset val="128"/>
      </rPr>
      <t xml:space="preserve"> 70 * </t>
    </r>
    <r>
      <rPr>
        <sz val="11"/>
        <color theme="1"/>
        <rFont val="Arial Unicode MS"/>
        <family val="3"/>
        <charset val="129"/>
      </rPr>
      <t>높이</t>
    </r>
    <r>
      <rPr>
        <sz val="11"/>
        <color theme="1"/>
        <rFont val="Meiryo"/>
        <family val="2"/>
        <charset val="128"/>
      </rPr>
      <t xml:space="preserve"> 200↑ * </t>
    </r>
    <r>
      <rPr>
        <sz val="11"/>
        <color theme="1"/>
        <rFont val="맑은 고딕"/>
        <family val="3"/>
        <charset val="204"/>
      </rPr>
      <t>두께</t>
    </r>
    <r>
      <rPr>
        <sz val="11"/>
        <color theme="1"/>
        <rFont val="Meiryo"/>
        <family val="2"/>
        <charset val="128"/>
      </rPr>
      <t xml:space="preserve"> 12.0T↑</t>
    </r>
    <phoneticPr fontId="1" type="noConversion"/>
  </si>
  <si>
    <r>
      <rPr>
        <sz val="11"/>
        <color theme="1"/>
        <rFont val="Arial Unicode MS"/>
        <family val="3"/>
        <charset val="129"/>
      </rPr>
      <t>가로</t>
    </r>
    <r>
      <rPr>
        <sz val="11"/>
        <color theme="1"/>
        <rFont val="Meiryo"/>
        <family val="2"/>
        <charset val="128"/>
      </rPr>
      <t xml:space="preserve"> 120 * </t>
    </r>
    <r>
      <rPr>
        <sz val="11"/>
        <color theme="1"/>
        <rFont val="Arial Unicode MS"/>
        <family val="3"/>
        <charset val="129"/>
      </rPr>
      <t>높이</t>
    </r>
    <r>
      <rPr>
        <sz val="11"/>
        <color theme="1"/>
        <rFont val="Meiryo"/>
        <family val="2"/>
        <charset val="128"/>
      </rPr>
      <t xml:space="preserve"> 150↑ * </t>
    </r>
    <r>
      <rPr>
        <sz val="11"/>
        <color theme="1"/>
        <rFont val="맑은 고딕"/>
        <family val="3"/>
        <charset val="204"/>
      </rPr>
      <t>두께</t>
    </r>
    <r>
      <rPr>
        <sz val="11"/>
        <color theme="1"/>
        <rFont val="Meiryo"/>
        <family val="2"/>
        <charset val="128"/>
      </rPr>
      <t xml:space="preserve"> 9.0T↑</t>
    </r>
    <phoneticPr fontId="1" type="noConversion"/>
  </si>
  <si>
    <r>
      <rPr>
        <sz val="11"/>
        <color theme="1"/>
        <rFont val="Arial Unicode MS"/>
        <family val="3"/>
        <charset val="129"/>
      </rPr>
      <t>가로</t>
    </r>
    <r>
      <rPr>
        <sz val="11"/>
        <color theme="1"/>
        <rFont val="Meiryo"/>
        <family val="2"/>
        <charset val="128"/>
      </rPr>
      <t xml:space="preserve"> 130 * </t>
    </r>
    <r>
      <rPr>
        <sz val="11"/>
        <color theme="1"/>
        <rFont val="Arial Unicode MS"/>
        <family val="3"/>
        <charset val="129"/>
      </rPr>
      <t>높이</t>
    </r>
    <r>
      <rPr>
        <sz val="11"/>
        <color theme="1"/>
        <rFont val="Meiryo"/>
        <family val="2"/>
        <charset val="128"/>
      </rPr>
      <t xml:space="preserve"> 250↑ * </t>
    </r>
    <r>
      <rPr>
        <sz val="11"/>
        <color theme="1"/>
        <rFont val="맑은 고딕"/>
        <family val="3"/>
        <charset val="204"/>
      </rPr>
      <t>두께</t>
    </r>
    <r>
      <rPr>
        <sz val="11"/>
        <color theme="1"/>
        <rFont val="Meiryo"/>
        <family val="2"/>
        <charset val="128"/>
      </rPr>
      <t xml:space="preserve"> 15.0T↑</t>
    </r>
    <phoneticPr fontId="1" type="noConversion"/>
  </si>
  <si>
    <r>
      <rPr>
        <sz val="11"/>
        <color theme="1"/>
        <rFont val="새굴림"/>
        <family val="1"/>
        <charset val="129"/>
      </rPr>
      <t>가로</t>
    </r>
    <r>
      <rPr>
        <sz val="11"/>
        <color theme="1"/>
        <rFont val="Meiryo"/>
        <family val="2"/>
        <charset val="128"/>
      </rPr>
      <t xml:space="preserve"> 130 * </t>
    </r>
    <r>
      <rPr>
        <sz val="11"/>
        <color theme="1"/>
        <rFont val="새굴림"/>
        <family val="1"/>
        <charset val="129"/>
      </rPr>
      <t>높이</t>
    </r>
    <r>
      <rPr>
        <sz val="11"/>
        <color theme="1"/>
        <rFont val="Meiryo"/>
        <family val="2"/>
        <charset val="128"/>
      </rPr>
      <t xml:space="preserve"> 200↑ * </t>
    </r>
    <r>
      <rPr>
        <sz val="11"/>
        <color theme="1"/>
        <rFont val="새굴림"/>
        <family val="1"/>
        <charset val="129"/>
      </rPr>
      <t>두께</t>
    </r>
    <r>
      <rPr>
        <sz val="11"/>
        <color theme="1"/>
        <rFont val="Meiryo"/>
        <family val="2"/>
        <charset val="128"/>
      </rPr>
      <t xml:space="preserve"> 12.0T↑</t>
    </r>
    <phoneticPr fontId="1" type="noConversion"/>
  </si>
  <si>
    <r>
      <rPr>
        <sz val="11"/>
        <color theme="1"/>
        <rFont val="새굴림"/>
        <family val="1"/>
        <charset val="129"/>
      </rPr>
      <t>가로</t>
    </r>
    <r>
      <rPr>
        <sz val="11"/>
        <color theme="1"/>
        <rFont val="Meiryo"/>
        <family val="2"/>
        <charset val="128"/>
      </rPr>
      <t xml:space="preserve"> 70 * </t>
    </r>
    <r>
      <rPr>
        <sz val="11"/>
        <color theme="1"/>
        <rFont val="새굴림"/>
        <family val="1"/>
        <charset val="129"/>
      </rPr>
      <t>높이</t>
    </r>
    <r>
      <rPr>
        <sz val="11"/>
        <color theme="1"/>
        <rFont val="Meiryo"/>
        <family val="2"/>
        <charset val="128"/>
      </rPr>
      <t xml:space="preserve"> 200↑ * </t>
    </r>
    <r>
      <rPr>
        <sz val="11"/>
        <color theme="1"/>
        <rFont val="새굴림"/>
        <family val="1"/>
        <charset val="129"/>
      </rPr>
      <t>두께</t>
    </r>
    <r>
      <rPr>
        <sz val="11"/>
        <color theme="1"/>
        <rFont val="Meiryo"/>
        <family val="2"/>
        <charset val="128"/>
      </rPr>
      <t xml:space="preserve"> 12.0T↑</t>
    </r>
    <phoneticPr fontId="1" type="noConversion"/>
  </si>
  <si>
    <r>
      <rPr>
        <sz val="11"/>
        <color theme="1"/>
        <rFont val="새굴림"/>
        <family val="1"/>
        <charset val="129"/>
      </rPr>
      <t>가로</t>
    </r>
    <r>
      <rPr>
        <sz val="11"/>
        <color theme="1"/>
        <rFont val="Meiryo"/>
        <family val="2"/>
        <charset val="128"/>
      </rPr>
      <t xml:space="preserve"> 95 * </t>
    </r>
    <r>
      <rPr>
        <sz val="11"/>
        <color theme="1"/>
        <rFont val="새굴림"/>
        <family val="1"/>
        <charset val="129"/>
      </rPr>
      <t>높이</t>
    </r>
    <r>
      <rPr>
        <sz val="11"/>
        <color theme="1"/>
        <rFont val="Meiryo"/>
        <family val="2"/>
        <charset val="128"/>
      </rPr>
      <t xml:space="preserve"> 200↑ * </t>
    </r>
    <r>
      <rPr>
        <sz val="11"/>
        <color theme="1"/>
        <rFont val="새굴림"/>
        <family val="1"/>
        <charset val="129"/>
      </rPr>
      <t>두께</t>
    </r>
    <r>
      <rPr>
        <sz val="11"/>
        <color theme="1"/>
        <rFont val="Meiryo"/>
        <family val="2"/>
        <charset val="128"/>
      </rPr>
      <t xml:space="preserve"> 12.0T↑</t>
    </r>
    <phoneticPr fontId="1" type="noConversion"/>
  </si>
  <si>
    <t>HR 144 * 144 * 60 * 4T</t>
    <phoneticPr fontId="1" type="noConversion"/>
  </si>
  <si>
    <t>M20</t>
    <phoneticPr fontId="1" type="noConversion"/>
  </si>
  <si>
    <t>HR 3T</t>
    <phoneticPr fontId="1" type="noConversion"/>
  </si>
  <si>
    <t>HR 4T 144 * 144 * 60</t>
    <phoneticPr fontId="1" type="noConversion"/>
  </si>
  <si>
    <t xml:space="preserve">HR 6T * 240 * 162 * 35 * 37 </t>
    <phoneticPr fontId="1" type="noConversion"/>
  </si>
  <si>
    <t xml:space="preserve">볼트/스프링와샤 각1EA , 너트/평와샤 각2EA </t>
  </si>
  <si>
    <t>대광볼트</t>
  </si>
  <si>
    <t>안전사다리</t>
  </si>
  <si>
    <t>2311-9789</t>
  </si>
  <si>
    <t>MTT18A</t>
  </si>
  <si>
    <t>설치플레이트(러그)(18M~24M)</t>
  </si>
  <si>
    <r>
      <t>SMPS</t>
    </r>
    <r>
      <rPr>
        <sz val="11"/>
        <color theme="1"/>
        <rFont val="맑은 고딕"/>
        <family val="2"/>
        <charset val="129"/>
      </rPr>
      <t>함연결</t>
    </r>
    <r>
      <rPr>
        <sz val="11"/>
        <color theme="1"/>
        <rFont val="Meiryo"/>
        <family val="2"/>
        <charset val="128"/>
      </rPr>
      <t xml:space="preserve"> </t>
    </r>
    <r>
      <rPr>
        <sz val="11"/>
        <color theme="1"/>
        <rFont val="맑은 고딕"/>
        <family val="2"/>
        <charset val="129"/>
      </rPr>
      <t>파이프</t>
    </r>
    <phoneticPr fontId="1" type="noConversion"/>
  </si>
  <si>
    <t>Ф89 * 70L</t>
    <phoneticPr fontId="1" type="noConversion"/>
  </si>
  <si>
    <r>
      <rPr>
        <sz val="11"/>
        <color theme="1"/>
        <rFont val="새굴림"/>
        <family val="2"/>
        <charset val="129"/>
      </rPr>
      <t>매그나텍</t>
    </r>
    <phoneticPr fontId="1" type="noConversion"/>
  </si>
  <si>
    <t>5T * Ф315 * Ф315</t>
    <phoneticPr fontId="1" type="noConversion"/>
  </si>
  <si>
    <r>
      <rPr>
        <sz val="11"/>
        <color theme="1"/>
        <rFont val="Malgun Gothic Semilight"/>
        <family val="2"/>
        <charset val="129"/>
      </rPr>
      <t>설치플레이트</t>
    </r>
    <r>
      <rPr>
        <sz val="11"/>
        <color theme="1"/>
        <rFont val="Meiryo"/>
        <family val="2"/>
        <charset val="128"/>
      </rPr>
      <t>(</t>
    </r>
    <r>
      <rPr>
        <sz val="11"/>
        <color theme="1"/>
        <rFont val="Malgun Gothic Semilight"/>
        <family val="2"/>
        <charset val="129"/>
      </rPr>
      <t>러그</t>
    </r>
    <r>
      <rPr>
        <sz val="11"/>
        <color theme="1"/>
        <rFont val="Meiryo"/>
        <family val="2"/>
        <charset val="128"/>
      </rPr>
      <t>)(12M~15M)</t>
    </r>
    <phoneticPr fontId="1" type="noConversion"/>
  </si>
  <si>
    <r>
      <t xml:space="preserve">HR 130 * 160 * 9T (R123.5) , </t>
    </r>
    <r>
      <rPr>
        <sz val="11"/>
        <color theme="1"/>
        <rFont val="새굴림"/>
        <family val="2"/>
        <charset val="129"/>
      </rPr>
      <t>내홀</t>
    </r>
    <r>
      <rPr>
        <sz val="11"/>
        <color theme="1"/>
        <rFont val="Meiryo"/>
        <family val="2"/>
        <charset val="128"/>
      </rPr>
      <t xml:space="preserve"> 50*60</t>
    </r>
    <phoneticPr fontId="1" type="noConversion"/>
  </si>
  <si>
    <r>
      <rPr>
        <sz val="11"/>
        <color theme="1"/>
        <rFont val="맑은 고딕 Semilight"/>
        <family val="2"/>
        <charset val="129"/>
      </rPr>
      <t>엘보</t>
    </r>
    <r>
      <rPr>
        <sz val="11"/>
        <color theme="1"/>
        <rFont val="Meiryo"/>
        <family val="2"/>
        <charset val="128"/>
      </rPr>
      <t xml:space="preserve"> </t>
    </r>
    <r>
      <rPr>
        <sz val="11"/>
        <color theme="1"/>
        <rFont val="맑은 고딕 Semilight"/>
        <family val="2"/>
        <charset val="129"/>
      </rPr>
      <t>점검구</t>
    </r>
    <phoneticPr fontId="1" type="noConversion"/>
  </si>
  <si>
    <r>
      <t xml:space="preserve">HR 4T * 150 * 150 (R123.5) , </t>
    </r>
    <r>
      <rPr>
        <sz val="11"/>
        <color theme="1"/>
        <rFont val="새굴림"/>
        <family val="2"/>
        <charset val="129"/>
      </rPr>
      <t>내홀</t>
    </r>
    <r>
      <rPr>
        <sz val="11"/>
        <color theme="1"/>
        <rFont val="Meiryo"/>
        <family val="2"/>
        <charset val="128"/>
      </rPr>
      <t xml:space="preserve"> Ф11</t>
    </r>
    <phoneticPr fontId="1" type="noConversion"/>
  </si>
  <si>
    <r>
      <rPr>
        <sz val="11"/>
        <color theme="1"/>
        <rFont val="새굴림"/>
        <family val="2"/>
        <charset val="129"/>
      </rPr>
      <t>등기구</t>
    </r>
    <r>
      <rPr>
        <sz val="11"/>
        <color theme="1"/>
        <rFont val="Meiryo"/>
        <family val="2"/>
        <charset val="128"/>
      </rPr>
      <t xml:space="preserve"> </t>
    </r>
    <r>
      <rPr>
        <sz val="11"/>
        <color theme="1"/>
        <rFont val="새굴림"/>
        <family val="2"/>
        <charset val="129"/>
      </rPr>
      <t>고정브라켓</t>
    </r>
    <r>
      <rPr>
        <sz val="11"/>
        <color theme="1"/>
        <rFont val="Meiryo"/>
        <family val="2"/>
        <charset val="128"/>
      </rPr>
      <t>(</t>
    </r>
    <r>
      <rPr>
        <sz val="11"/>
        <color theme="1"/>
        <rFont val="새굴림"/>
        <family val="2"/>
        <charset val="129"/>
      </rPr>
      <t>떡판</t>
    </r>
    <r>
      <rPr>
        <sz val="11"/>
        <color theme="1"/>
        <rFont val="Meiryo"/>
        <family val="2"/>
        <charset val="128"/>
      </rPr>
      <t>)</t>
    </r>
    <phoneticPr fontId="1" type="noConversion"/>
  </si>
  <si>
    <r>
      <rPr>
        <sz val="11"/>
        <color theme="1"/>
        <rFont val="새굴림"/>
        <family val="2"/>
        <charset val="129"/>
      </rPr>
      <t>안정기함</t>
    </r>
    <r>
      <rPr>
        <sz val="11"/>
        <color theme="1"/>
        <rFont val="Meiryo"/>
        <family val="2"/>
        <charset val="128"/>
      </rPr>
      <t xml:space="preserve"> </t>
    </r>
    <r>
      <rPr>
        <sz val="11"/>
        <color theme="1"/>
        <rFont val="새굴림"/>
        <family val="2"/>
        <charset val="129"/>
      </rPr>
      <t>고정판</t>
    </r>
    <r>
      <rPr>
        <sz val="11"/>
        <color theme="1"/>
        <rFont val="Meiryo"/>
        <family val="2"/>
        <charset val="128"/>
      </rPr>
      <t>(</t>
    </r>
    <r>
      <rPr>
        <sz val="11"/>
        <color theme="1"/>
        <rFont val="새굴림"/>
        <family val="2"/>
        <charset val="129"/>
      </rPr>
      <t>브라켓</t>
    </r>
    <r>
      <rPr>
        <sz val="11"/>
        <color theme="1"/>
        <rFont val="Meiryo"/>
        <family val="2"/>
        <charset val="128"/>
      </rPr>
      <t>)</t>
    </r>
    <phoneticPr fontId="1" type="noConversion"/>
  </si>
  <si>
    <r>
      <t xml:space="preserve">HR 6T * 300 * 98 * 50, </t>
    </r>
    <r>
      <rPr>
        <sz val="11"/>
        <color theme="1"/>
        <rFont val="새굴림"/>
        <family val="2"/>
        <charset val="129"/>
      </rPr>
      <t>내홀</t>
    </r>
    <r>
      <rPr>
        <sz val="11"/>
        <color theme="1"/>
        <rFont val="Meiryo"/>
        <family val="2"/>
        <charset val="128"/>
      </rPr>
      <t xml:space="preserve"> 24*14</t>
    </r>
    <phoneticPr fontId="1" type="noConversion"/>
  </si>
  <si>
    <r>
      <rPr>
        <sz val="11"/>
        <color theme="1"/>
        <rFont val="새굴림"/>
        <family val="2"/>
        <charset val="129"/>
      </rPr>
      <t>아이너트</t>
    </r>
    <phoneticPr fontId="1" type="noConversion"/>
  </si>
  <si>
    <r>
      <rPr>
        <sz val="11"/>
        <color theme="1"/>
        <rFont val="새굴림"/>
        <family val="2"/>
        <charset val="129"/>
      </rPr>
      <t>대광볼트</t>
    </r>
    <phoneticPr fontId="1" type="noConversion"/>
  </si>
  <si>
    <r>
      <rPr>
        <sz val="11"/>
        <color theme="1"/>
        <rFont val="새굴림"/>
        <family val="2"/>
        <charset val="129"/>
      </rPr>
      <t>특강볼트</t>
    </r>
    <r>
      <rPr>
        <sz val="11"/>
        <color theme="1"/>
        <rFont val="Meiryo"/>
        <family val="2"/>
        <charset val="128"/>
      </rPr>
      <t>Set</t>
    </r>
    <phoneticPr fontId="1" type="noConversion"/>
  </si>
  <si>
    <r>
      <rPr>
        <sz val="11"/>
        <color theme="1"/>
        <rFont val="새굴림"/>
        <family val="2"/>
        <charset val="129"/>
      </rPr>
      <t>특강볼트</t>
    </r>
    <r>
      <rPr>
        <sz val="11"/>
        <color theme="1"/>
        <rFont val="Meiryo"/>
        <family val="2"/>
        <charset val="128"/>
      </rPr>
      <t>/</t>
    </r>
    <r>
      <rPr>
        <sz val="11"/>
        <color theme="1"/>
        <rFont val="새굴림"/>
        <family val="2"/>
        <charset val="129"/>
      </rPr>
      <t>용융스프링와샤</t>
    </r>
    <r>
      <rPr>
        <sz val="11"/>
        <color theme="1"/>
        <rFont val="Meiryo"/>
        <family val="2"/>
        <charset val="128"/>
      </rPr>
      <t xml:space="preserve"> </t>
    </r>
    <r>
      <rPr>
        <sz val="11"/>
        <color theme="1"/>
        <rFont val="새굴림"/>
        <family val="2"/>
        <charset val="129"/>
      </rPr>
      <t>각</t>
    </r>
    <r>
      <rPr>
        <sz val="11"/>
        <color theme="1"/>
        <rFont val="Meiryo"/>
        <family val="2"/>
        <charset val="128"/>
      </rPr>
      <t xml:space="preserve">1EA , </t>
    </r>
    <r>
      <rPr>
        <sz val="11"/>
        <color theme="1"/>
        <rFont val="새굴림"/>
        <family val="2"/>
        <charset val="129"/>
      </rPr>
      <t>특강너트</t>
    </r>
    <r>
      <rPr>
        <sz val="11"/>
        <color theme="1"/>
        <rFont val="Meiryo"/>
        <family val="2"/>
        <charset val="128"/>
      </rPr>
      <t>/</t>
    </r>
    <r>
      <rPr>
        <sz val="11"/>
        <color theme="1"/>
        <rFont val="새굴림"/>
        <family val="2"/>
        <charset val="129"/>
      </rPr>
      <t>용융평와샤</t>
    </r>
    <r>
      <rPr>
        <sz val="11"/>
        <color theme="1"/>
        <rFont val="Meiryo"/>
        <family val="2"/>
        <charset val="128"/>
      </rPr>
      <t xml:space="preserve"> </t>
    </r>
    <r>
      <rPr>
        <sz val="11"/>
        <color theme="1"/>
        <rFont val="새굴림"/>
        <family val="2"/>
        <charset val="129"/>
      </rPr>
      <t>각</t>
    </r>
    <r>
      <rPr>
        <sz val="11"/>
        <color theme="1"/>
        <rFont val="Meiryo"/>
        <family val="2"/>
        <charset val="128"/>
      </rPr>
      <t xml:space="preserve">2EA </t>
    </r>
    <phoneticPr fontId="1" type="noConversion"/>
  </si>
  <si>
    <r>
      <rPr>
        <sz val="11"/>
        <color theme="1"/>
        <rFont val="새굴림"/>
        <family val="2"/>
        <charset val="129"/>
      </rPr>
      <t>출입문</t>
    </r>
    <r>
      <rPr>
        <sz val="11"/>
        <color theme="1"/>
        <rFont val="Meiryo"/>
        <family val="2"/>
        <charset val="128"/>
      </rPr>
      <t xml:space="preserve"> </t>
    </r>
    <r>
      <rPr>
        <sz val="11"/>
        <color theme="1"/>
        <rFont val="새굴림"/>
        <family val="2"/>
        <charset val="129"/>
      </rPr>
      <t>입구</t>
    </r>
    <r>
      <rPr>
        <sz val="11"/>
        <color theme="1"/>
        <rFont val="Meiryo"/>
        <family val="2"/>
        <charset val="128"/>
      </rPr>
      <t xml:space="preserve"> </t>
    </r>
    <r>
      <rPr>
        <sz val="11"/>
        <color theme="1"/>
        <rFont val="새굴림"/>
        <family val="2"/>
        <charset val="129"/>
      </rPr>
      <t>보강대</t>
    </r>
    <phoneticPr fontId="1" type="noConversion"/>
  </si>
  <si>
    <r>
      <rPr>
        <sz val="11"/>
        <color theme="1"/>
        <rFont val="새굴림"/>
        <family val="2"/>
        <charset val="129"/>
      </rPr>
      <t>용융볼트</t>
    </r>
    <r>
      <rPr>
        <sz val="11"/>
        <color theme="1"/>
        <rFont val="Meiryo"/>
        <family val="2"/>
        <charset val="128"/>
      </rPr>
      <t>Set</t>
    </r>
    <phoneticPr fontId="1" type="noConversion"/>
  </si>
  <si>
    <r>
      <rPr>
        <sz val="11"/>
        <color theme="1"/>
        <rFont val="새굴림"/>
        <family val="2"/>
        <charset val="129"/>
      </rPr>
      <t>볼트</t>
    </r>
    <r>
      <rPr>
        <sz val="11"/>
        <color theme="1"/>
        <rFont val="Meiryo"/>
        <family val="2"/>
        <charset val="128"/>
      </rPr>
      <t>/</t>
    </r>
    <r>
      <rPr>
        <sz val="11"/>
        <color theme="1"/>
        <rFont val="새굴림"/>
        <family val="2"/>
        <charset val="129"/>
      </rPr>
      <t>스프링와샤</t>
    </r>
    <r>
      <rPr>
        <sz val="11"/>
        <color theme="1"/>
        <rFont val="Meiryo"/>
        <family val="2"/>
        <charset val="128"/>
      </rPr>
      <t xml:space="preserve"> </t>
    </r>
    <r>
      <rPr>
        <sz val="11"/>
        <color theme="1"/>
        <rFont val="새굴림"/>
        <family val="2"/>
        <charset val="129"/>
      </rPr>
      <t>각</t>
    </r>
    <r>
      <rPr>
        <sz val="11"/>
        <color theme="1"/>
        <rFont val="Meiryo"/>
        <family val="2"/>
        <charset val="128"/>
      </rPr>
      <t xml:space="preserve">1EA , </t>
    </r>
    <r>
      <rPr>
        <sz val="11"/>
        <color theme="1"/>
        <rFont val="새굴림"/>
        <family val="2"/>
        <charset val="129"/>
      </rPr>
      <t>너트</t>
    </r>
    <r>
      <rPr>
        <sz val="11"/>
        <color theme="1"/>
        <rFont val="Meiryo"/>
        <family val="2"/>
        <charset val="128"/>
      </rPr>
      <t>/</t>
    </r>
    <r>
      <rPr>
        <sz val="11"/>
        <color theme="1"/>
        <rFont val="새굴림"/>
        <family val="2"/>
        <charset val="129"/>
      </rPr>
      <t>평와샤</t>
    </r>
    <r>
      <rPr>
        <sz val="11"/>
        <color theme="1"/>
        <rFont val="Meiryo"/>
        <family val="2"/>
        <charset val="128"/>
      </rPr>
      <t xml:space="preserve"> </t>
    </r>
    <r>
      <rPr>
        <sz val="11"/>
        <color theme="1"/>
        <rFont val="새굴림"/>
        <family val="2"/>
        <charset val="129"/>
      </rPr>
      <t>각</t>
    </r>
    <r>
      <rPr>
        <sz val="11"/>
        <color theme="1"/>
        <rFont val="Meiryo"/>
        <family val="2"/>
        <charset val="128"/>
      </rPr>
      <t xml:space="preserve">2EA </t>
    </r>
    <phoneticPr fontId="1" type="noConversion"/>
  </si>
  <si>
    <r>
      <rPr>
        <sz val="11"/>
        <color theme="1"/>
        <rFont val="새굴림"/>
        <family val="2"/>
        <charset val="129"/>
      </rPr>
      <t>고정판</t>
    </r>
    <r>
      <rPr>
        <sz val="11"/>
        <color theme="1"/>
        <rFont val="Meiryo"/>
        <family val="2"/>
        <charset val="128"/>
      </rPr>
      <t xml:space="preserve"> 1</t>
    </r>
    <phoneticPr fontId="1" type="noConversion"/>
  </si>
  <si>
    <r>
      <t xml:space="preserve">HR 10T * 200 * 250 , </t>
    </r>
    <r>
      <rPr>
        <sz val="11"/>
        <color theme="1"/>
        <rFont val="새굴림"/>
        <family val="2"/>
        <charset val="129"/>
      </rPr>
      <t>홀</t>
    </r>
    <r>
      <rPr>
        <sz val="11"/>
        <color theme="1"/>
        <rFont val="Meiryo"/>
        <family val="2"/>
        <charset val="128"/>
      </rPr>
      <t>4</t>
    </r>
    <r>
      <rPr>
        <sz val="11"/>
        <color theme="1"/>
        <rFont val="새굴림"/>
        <family val="2"/>
        <charset val="129"/>
      </rPr>
      <t>개</t>
    </r>
    <r>
      <rPr>
        <sz val="11"/>
        <color theme="1"/>
        <rFont val="Meiryo"/>
        <family val="2"/>
        <charset val="128"/>
      </rPr>
      <t xml:space="preserve"> Ф18</t>
    </r>
    <phoneticPr fontId="1" type="noConversion"/>
  </si>
  <si>
    <r>
      <rPr>
        <sz val="11"/>
        <color theme="1"/>
        <rFont val="새굴림"/>
        <family val="2"/>
        <charset val="129"/>
      </rPr>
      <t>고정판</t>
    </r>
    <r>
      <rPr>
        <sz val="11"/>
        <color theme="1"/>
        <rFont val="Meiryo"/>
        <family val="2"/>
        <charset val="128"/>
      </rPr>
      <t xml:space="preserve"> 2 (12M~15M)</t>
    </r>
    <phoneticPr fontId="1" type="noConversion"/>
  </si>
  <si>
    <r>
      <t xml:space="preserve">HR 6T * 212 * 84, </t>
    </r>
    <r>
      <rPr>
        <sz val="11"/>
        <color theme="1"/>
        <rFont val="새굴림"/>
        <family val="2"/>
        <charset val="129"/>
      </rPr>
      <t>홀</t>
    </r>
    <r>
      <rPr>
        <sz val="11"/>
        <color theme="1"/>
        <rFont val="Meiryo"/>
        <family val="2"/>
        <charset val="128"/>
      </rPr>
      <t>4</t>
    </r>
    <r>
      <rPr>
        <sz val="11"/>
        <color theme="1"/>
        <rFont val="새굴림"/>
        <family val="2"/>
        <charset val="129"/>
      </rPr>
      <t>개</t>
    </r>
    <r>
      <rPr>
        <sz val="11"/>
        <color theme="1"/>
        <rFont val="Meiryo"/>
        <family val="2"/>
        <charset val="128"/>
      </rPr>
      <t xml:space="preserve"> Ф18 (250*368)</t>
    </r>
    <phoneticPr fontId="1" type="noConversion"/>
  </si>
  <si>
    <r>
      <rPr>
        <sz val="11"/>
        <color theme="1"/>
        <rFont val="새굴림"/>
        <family val="2"/>
        <charset val="129"/>
      </rPr>
      <t>철망</t>
    </r>
    <r>
      <rPr>
        <sz val="11"/>
        <color theme="1"/>
        <rFont val="Meiryo"/>
        <family val="2"/>
        <charset val="128"/>
      </rPr>
      <t xml:space="preserve"> </t>
    </r>
    <r>
      <rPr>
        <sz val="11"/>
        <color theme="1"/>
        <rFont val="새굴림"/>
        <family val="2"/>
        <charset val="129"/>
      </rPr>
      <t>가장부분</t>
    </r>
    <r>
      <rPr>
        <sz val="11"/>
        <color theme="1"/>
        <rFont val="Meiryo"/>
        <family val="2"/>
        <charset val="128"/>
      </rPr>
      <t xml:space="preserve"> </t>
    </r>
    <r>
      <rPr>
        <sz val="11"/>
        <color theme="1"/>
        <rFont val="새굴림"/>
        <family val="2"/>
        <charset val="129"/>
      </rPr>
      <t>막음용</t>
    </r>
    <r>
      <rPr>
        <sz val="11"/>
        <color theme="1"/>
        <rFont val="Meiryo"/>
        <family val="2"/>
        <charset val="128"/>
      </rPr>
      <t xml:space="preserve"> </t>
    </r>
    <r>
      <rPr>
        <sz val="11"/>
        <color theme="1"/>
        <rFont val="새굴림"/>
        <family val="2"/>
        <charset val="129"/>
      </rPr>
      <t>마구리</t>
    </r>
    <phoneticPr fontId="1" type="noConversion"/>
  </si>
  <si>
    <t>Ф650 * Ф409 * 35.0T↑</t>
    <phoneticPr fontId="1" type="noConversion"/>
  </si>
  <si>
    <r>
      <rPr>
        <sz val="11"/>
        <color theme="1"/>
        <rFont val="Arial Unicode MS"/>
        <family val="3"/>
        <charset val="129"/>
      </rPr>
      <t>가로</t>
    </r>
    <r>
      <rPr>
        <sz val="11"/>
        <color theme="1"/>
        <rFont val="Meiryo"/>
        <family val="2"/>
        <charset val="128"/>
      </rPr>
      <t xml:space="preserve"> 100 * </t>
    </r>
    <r>
      <rPr>
        <sz val="11"/>
        <color theme="1"/>
        <rFont val="Arial Unicode MS"/>
        <family val="3"/>
        <charset val="129"/>
      </rPr>
      <t>높이</t>
    </r>
    <r>
      <rPr>
        <sz val="11"/>
        <color theme="1"/>
        <rFont val="Meiryo"/>
        <family val="2"/>
        <charset val="128"/>
      </rPr>
      <t xml:space="preserve"> 250↑ * </t>
    </r>
    <r>
      <rPr>
        <sz val="11"/>
        <color theme="1"/>
        <rFont val="맑은 고딕"/>
        <family val="3"/>
        <charset val="204"/>
      </rPr>
      <t>두께</t>
    </r>
    <r>
      <rPr>
        <sz val="11"/>
        <color theme="1"/>
        <rFont val="Meiryo"/>
        <family val="2"/>
        <charset val="128"/>
      </rPr>
      <t xml:space="preserve"> 12.0T↑</t>
    </r>
    <phoneticPr fontId="1" type="noConversion"/>
  </si>
  <si>
    <t>Ф580 * Ф408 * 34.0T↑</t>
    <phoneticPr fontId="1" type="noConversion"/>
  </si>
  <si>
    <t>Ф580 * Ф357.6 * 34.0T↑</t>
    <phoneticPr fontId="1" type="noConversion"/>
  </si>
  <si>
    <t>Ф530 * Ф357.6 * 24.0T↑</t>
    <phoneticPr fontId="1" type="noConversion"/>
  </si>
  <si>
    <t>Ф530 * Ф320.5 * 24.0T↑</t>
    <phoneticPr fontId="1" type="noConversion"/>
  </si>
  <si>
    <r>
      <rPr>
        <sz val="11"/>
        <color theme="1"/>
        <rFont val="Malgun Gothic Semilight"/>
        <family val="2"/>
        <charset val="129"/>
      </rPr>
      <t>설치플레이트</t>
    </r>
    <r>
      <rPr>
        <sz val="11"/>
        <color theme="1"/>
        <rFont val="Meiryo"/>
        <family val="2"/>
        <charset val="128"/>
      </rPr>
      <t>(</t>
    </r>
    <r>
      <rPr>
        <sz val="11"/>
        <color theme="1"/>
        <rFont val="Malgun Gothic Semilight"/>
        <family val="2"/>
        <charset val="129"/>
      </rPr>
      <t>러그</t>
    </r>
    <r>
      <rPr>
        <sz val="11"/>
        <color theme="1"/>
        <rFont val="Meiryo"/>
        <family val="2"/>
        <charset val="128"/>
      </rPr>
      <t>)(18M~24M)</t>
    </r>
    <phoneticPr fontId="1" type="noConversion"/>
  </si>
  <si>
    <r>
      <t xml:space="preserve">HR 130 * 160 * 9T (R177.8) , </t>
    </r>
    <r>
      <rPr>
        <sz val="11"/>
        <color theme="1"/>
        <rFont val="새굴림"/>
        <family val="2"/>
        <charset val="129"/>
      </rPr>
      <t>내홀</t>
    </r>
    <r>
      <rPr>
        <sz val="11"/>
        <color theme="1"/>
        <rFont val="Meiryo"/>
        <family val="2"/>
        <charset val="128"/>
      </rPr>
      <t xml:space="preserve"> 50*60</t>
    </r>
    <phoneticPr fontId="1" type="noConversion"/>
  </si>
  <si>
    <t>Ф700 * Ф410 * 50.0T↑</t>
    <phoneticPr fontId="1" type="noConversion"/>
  </si>
  <si>
    <t>Ф580 * Ф410 * 46.0T↑</t>
    <phoneticPr fontId="1" type="noConversion"/>
  </si>
  <si>
    <t>Ф580 * Ф359 * 46.0T↑</t>
    <phoneticPr fontId="1" type="noConversion"/>
  </si>
  <si>
    <t>Ф530 * Ф359 * 36.0T↑</t>
    <phoneticPr fontId="1" type="noConversion"/>
  </si>
  <si>
    <t>Ф530 * Ф322 * 36.0T↑</t>
    <phoneticPr fontId="1" type="noConversion"/>
  </si>
  <si>
    <t>Ф790 * Ф512 * 42.0T↑</t>
    <phoneticPr fontId="1" type="noConversion"/>
  </si>
  <si>
    <t>Ф680 * Ф512 * 37.0T↑</t>
    <phoneticPr fontId="1" type="noConversion"/>
  </si>
  <si>
    <t>Ф680 * Ф461 * 37.0T↑</t>
    <phoneticPr fontId="1" type="noConversion"/>
  </si>
  <si>
    <t>Ф630 * Ф461 * 29.0T↑</t>
    <phoneticPr fontId="1" type="noConversion"/>
  </si>
  <si>
    <t>Ф630 * Ф410 * 29.0T↑</t>
    <phoneticPr fontId="1" type="noConversion"/>
  </si>
  <si>
    <t>Ф580 * Ф410 * 17.0T↑</t>
    <phoneticPr fontId="1" type="noConversion"/>
  </si>
  <si>
    <t>Ф580 * Ф359 * 17.0T↑</t>
    <phoneticPr fontId="1" type="noConversion"/>
  </si>
  <si>
    <t>Ф800 * Ф512 * 52.0T↑</t>
    <phoneticPr fontId="1" type="noConversion"/>
  </si>
  <si>
    <t>Ф680 * Ф512 * 50.0T↑</t>
    <phoneticPr fontId="1" type="noConversion"/>
  </si>
  <si>
    <t>Ф680 * Ф461 * 50.0T↑</t>
    <phoneticPr fontId="1" type="noConversion"/>
  </si>
  <si>
    <t>Ф630 * Ф461 * 39.0T↑</t>
    <phoneticPr fontId="1" type="noConversion"/>
  </si>
  <si>
    <r>
      <rPr>
        <sz val="11"/>
        <color theme="1"/>
        <rFont val="Meiryo"/>
        <family val="3"/>
        <charset val="129"/>
      </rPr>
      <t>가로</t>
    </r>
    <r>
      <rPr>
        <sz val="11"/>
        <color theme="1"/>
        <rFont val="Meiryo"/>
        <family val="2"/>
        <charset val="128"/>
      </rPr>
      <t xml:space="preserve"> 70 * </t>
    </r>
    <r>
      <rPr>
        <sz val="11"/>
        <color theme="1"/>
        <rFont val="Meiryo"/>
        <family val="3"/>
        <charset val="129"/>
      </rPr>
      <t>높이</t>
    </r>
    <r>
      <rPr>
        <sz val="11"/>
        <color theme="1"/>
        <rFont val="Meiryo"/>
        <family val="2"/>
        <charset val="128"/>
      </rPr>
      <t xml:space="preserve"> 150↑ * </t>
    </r>
    <r>
      <rPr>
        <sz val="11"/>
        <color theme="1"/>
        <rFont val="Meiryo"/>
        <family val="3"/>
        <charset val="129"/>
      </rPr>
      <t>두께</t>
    </r>
    <r>
      <rPr>
        <sz val="11"/>
        <color theme="1"/>
        <rFont val="Meiryo"/>
        <family val="2"/>
        <charset val="128"/>
      </rPr>
      <t xml:space="preserve"> 9.0T↑</t>
    </r>
  </si>
  <si>
    <t>Ф630 * Ф410 * 39.0T↑</t>
    <phoneticPr fontId="1" type="noConversion"/>
  </si>
  <si>
    <r>
      <rPr>
        <sz val="11"/>
        <color theme="1"/>
        <rFont val="Meiryo"/>
        <family val="3"/>
        <charset val="129"/>
      </rPr>
      <t>가로</t>
    </r>
    <r>
      <rPr>
        <sz val="11"/>
        <color theme="1"/>
        <rFont val="Meiryo"/>
        <family val="2"/>
        <charset val="128"/>
      </rPr>
      <t xml:space="preserve"> 95 * </t>
    </r>
    <r>
      <rPr>
        <sz val="11"/>
        <color theme="1"/>
        <rFont val="Meiryo"/>
        <family val="3"/>
        <charset val="129"/>
      </rPr>
      <t>높이</t>
    </r>
    <r>
      <rPr>
        <sz val="11"/>
        <color theme="1"/>
        <rFont val="Meiryo"/>
        <family val="2"/>
        <charset val="128"/>
      </rPr>
      <t xml:space="preserve"> 150↑ * </t>
    </r>
    <r>
      <rPr>
        <sz val="11"/>
        <color theme="1"/>
        <rFont val="Meiryo"/>
        <family val="3"/>
        <charset val="129"/>
      </rPr>
      <t>두께</t>
    </r>
    <r>
      <rPr>
        <sz val="11"/>
        <color theme="1"/>
        <rFont val="Meiryo"/>
        <family val="2"/>
        <charset val="128"/>
      </rPr>
      <t xml:space="preserve"> 9.0T↑</t>
    </r>
  </si>
  <si>
    <t>Ф580 * Ф410 * 27.0T↑</t>
    <phoneticPr fontId="1" type="noConversion"/>
  </si>
  <si>
    <t>Ф580 * Ф359 * 27.0T↑</t>
    <phoneticPr fontId="1" type="noConversion"/>
  </si>
  <si>
    <t>Ф600 * Ф600 * 18.0T↑</t>
    <phoneticPr fontId="1" type="noConversion"/>
  </si>
  <si>
    <t>Ф620 * Ф620 * 18.0T↑</t>
    <phoneticPr fontId="1" type="noConversion"/>
  </si>
  <si>
    <r>
      <rPr>
        <sz val="11"/>
        <color theme="1"/>
        <rFont val="Meiryo"/>
        <family val="3"/>
        <charset val="129"/>
      </rPr>
      <t>가로</t>
    </r>
    <r>
      <rPr>
        <sz val="11"/>
        <color theme="1"/>
        <rFont val="Meiryo"/>
        <family val="2"/>
        <charset val="128"/>
      </rPr>
      <t xml:space="preserve"> 100 * </t>
    </r>
    <r>
      <rPr>
        <sz val="11"/>
        <color theme="1"/>
        <rFont val="Meiryo"/>
        <family val="3"/>
        <charset val="129"/>
      </rPr>
      <t>높이</t>
    </r>
    <r>
      <rPr>
        <sz val="11"/>
        <color theme="1"/>
        <rFont val="Meiryo"/>
        <family val="2"/>
        <charset val="128"/>
      </rPr>
      <t xml:space="preserve"> 150↑ * </t>
    </r>
    <r>
      <rPr>
        <sz val="11"/>
        <color theme="1"/>
        <rFont val="Meiryo"/>
        <family val="3"/>
        <charset val="129"/>
      </rPr>
      <t>두께</t>
    </r>
    <r>
      <rPr>
        <sz val="11"/>
        <color theme="1"/>
        <rFont val="Meiryo"/>
        <family val="2"/>
        <charset val="128"/>
      </rPr>
      <t xml:space="preserve"> 9.0T↑</t>
    </r>
  </si>
  <si>
    <t>Ф890 * Ф613 * 39.0T↑</t>
    <phoneticPr fontId="1" type="noConversion"/>
  </si>
  <si>
    <t>Ф780 * Ф613 * 44.0T↑</t>
    <phoneticPr fontId="1" type="noConversion"/>
  </si>
  <si>
    <t>Ф780 * Ф512 * 44.0T↑</t>
    <phoneticPr fontId="1" type="noConversion"/>
  </si>
  <si>
    <t>Ф680 * Ф512 * 43.0T↑</t>
    <phoneticPr fontId="1" type="noConversion"/>
  </si>
  <si>
    <t>Ф680 * Ф410 * 43.0T↑</t>
    <phoneticPr fontId="1" type="noConversion"/>
  </si>
  <si>
    <t>Ф580 * Ф410 * 29.0T↑</t>
    <phoneticPr fontId="1" type="noConversion"/>
  </si>
  <si>
    <t>Ф580 * Ф359 * 29.0T↑</t>
    <phoneticPr fontId="1" type="noConversion"/>
  </si>
  <si>
    <t>Ф900 * Ф613 * 50.0T↑</t>
    <phoneticPr fontId="1" type="noConversion"/>
  </si>
  <si>
    <t>Ф780 * Ф613 * 57.0T↑</t>
    <phoneticPr fontId="1" type="noConversion"/>
  </si>
  <si>
    <t>Ф780 * Ф512 * 57.0T↑</t>
    <phoneticPr fontId="1" type="noConversion"/>
  </si>
  <si>
    <t>Ф680 * Ф512 * 56.0T↑</t>
    <phoneticPr fontId="1" type="noConversion"/>
  </si>
  <si>
    <t>Ф680 * Ф410 * 56.0T↑</t>
    <phoneticPr fontId="1" type="noConversion"/>
  </si>
  <si>
    <t>Ф580 * Ф410 * 43.0T↑</t>
    <phoneticPr fontId="1" type="noConversion"/>
  </si>
  <si>
    <t>Ф580 * Ф359 * 43.0T↑</t>
    <phoneticPr fontId="1" type="noConversion"/>
  </si>
  <si>
    <r>
      <rPr>
        <sz val="11"/>
        <color theme="1"/>
        <rFont val="Arial Unicode MS"/>
        <family val="3"/>
        <charset val="129"/>
      </rPr>
      <t>가로</t>
    </r>
    <r>
      <rPr>
        <sz val="11"/>
        <color theme="1"/>
        <rFont val="Meiryo"/>
        <family val="2"/>
        <charset val="128"/>
      </rPr>
      <t xml:space="preserve"> 100 * </t>
    </r>
    <r>
      <rPr>
        <sz val="11"/>
        <color theme="1"/>
        <rFont val="Arial Unicode MS"/>
        <family val="3"/>
        <charset val="129"/>
      </rPr>
      <t>높이</t>
    </r>
    <r>
      <rPr>
        <sz val="11"/>
        <color theme="1"/>
        <rFont val="Meiryo"/>
        <family val="2"/>
        <charset val="128"/>
      </rPr>
      <t xml:space="preserve"> 150↑ * </t>
    </r>
    <r>
      <rPr>
        <sz val="11"/>
        <color theme="1"/>
        <rFont val="맑은 고딕"/>
        <family val="3"/>
        <charset val="204"/>
      </rPr>
      <t>두께</t>
    </r>
    <r>
      <rPr>
        <sz val="11"/>
        <color theme="1"/>
        <rFont val="Meiryo"/>
        <family val="2"/>
        <charset val="128"/>
      </rPr>
      <t xml:space="preserve"> 12.0T↑</t>
    </r>
    <phoneticPr fontId="1" type="noConversion"/>
  </si>
  <si>
    <t>볼트캡</t>
  </si>
  <si>
    <t>M20</t>
  </si>
  <si>
    <t>점검구</t>
  </si>
  <si>
    <t>50*250*4T 1EA / 92*68*4T 1EA</t>
  </si>
  <si>
    <t>점검구 커버</t>
  </si>
  <si>
    <t>가로 100↓ * 세로 250↓ * 돌출높이 50↓ * 두께 1.2T↑</t>
  </si>
  <si>
    <t>누리테크</t>
  </si>
  <si>
    <t>SMPS함연결 파이프</t>
  </si>
  <si>
    <t>Ф89 * 70L</t>
  </si>
  <si>
    <t>스텝발판</t>
  </si>
  <si>
    <t>51*70*4T 1EA / 252*25*9T 1EA</t>
  </si>
  <si>
    <t>스텐파이프(피뢰침용)</t>
  </si>
  <si>
    <t>Ф42.7 * 2.0T * 3M</t>
  </si>
  <si>
    <t>에스케이스틸</t>
  </si>
  <si>
    <t>피뢰침베이스(원형)</t>
  </si>
  <si>
    <t>5T * Ф352 * Ф352</t>
  </si>
  <si>
    <t>피뢰침 마구리(원형)</t>
  </si>
  <si>
    <t>ID * 5T * Ф150 * Ф43.5</t>
  </si>
  <si>
    <t>피뢰침 소켓(니쁠)</t>
  </si>
  <si>
    <t>25A</t>
  </si>
  <si>
    <t>알파상사</t>
  </si>
  <si>
    <t>HR 130 * 160 * 9T (R177.8) , 내홀 50*60</t>
  </si>
  <si>
    <t>흑용접 엘보(L보)</t>
  </si>
  <si>
    <t>45도/L , 125A</t>
  </si>
  <si>
    <t>엘보 점검구</t>
  </si>
  <si>
    <t>HR 4T * 150 * 150 (R123.5) , 내홀 Ф11</t>
  </si>
  <si>
    <t>등기구 고정브라켓(떡판)</t>
  </si>
  <si>
    <t xml:space="preserve">HR 6T * 240 * 162 * 35 * 37 </t>
  </si>
  <si>
    <t>안정기함 고정판(브라켓)</t>
  </si>
  <si>
    <t>HR 6T * 300 * 98 * 50, 내홀 24*14</t>
  </si>
  <si>
    <t>아이너트</t>
  </si>
  <si>
    <t>특강볼트Set</t>
  </si>
  <si>
    <t xml:space="preserve">특강볼트/용융스프링와샤 각1EA , 특강너트/용융평와샤 각2EA </t>
  </si>
  <si>
    <t>HR각관(각파이프) 몸체</t>
  </si>
  <si>
    <t>50 * 50 * 3.2T * 6000L</t>
  </si>
  <si>
    <t>남도철강</t>
  </si>
  <si>
    <t>HR각관(각파이프) 출입문</t>
  </si>
  <si>
    <t>40 * 40 * 3T * 3000L</t>
  </si>
  <si>
    <t>ㄱ형강(앵글)</t>
  </si>
  <si>
    <t>50 * 50 * 6T * 5000L</t>
  </si>
  <si>
    <t>철망</t>
  </si>
  <si>
    <t>XS63*4.5T*4자*8자</t>
  </si>
  <si>
    <t>삼성철망</t>
  </si>
  <si>
    <t>출입문 입구 보강대</t>
  </si>
  <si>
    <t>HR 4T 144 * 144 * 60</t>
  </si>
  <si>
    <t>용융볼트Set</t>
  </si>
  <si>
    <t>HR각관(각파이프)</t>
  </si>
  <si>
    <t>원형플렛폼(고깔형 6등이하)</t>
  </si>
  <si>
    <t>외경 2600↓ * 내경 1800↓ * 높이 700↓</t>
  </si>
  <si>
    <t>HR 144 * 144 * 60 * 4T</t>
  </si>
  <si>
    <t>철망 가장부분 막음용 마구리</t>
  </si>
  <si>
    <t>HR 3T</t>
  </si>
  <si>
    <r>
      <rPr>
        <sz val="11"/>
        <color theme="1"/>
        <rFont val="새굴림"/>
        <family val="2"/>
        <charset val="129"/>
      </rPr>
      <t>고정판</t>
    </r>
    <r>
      <rPr>
        <sz val="11"/>
        <color theme="1"/>
        <rFont val="Meiryo"/>
        <family val="2"/>
        <charset val="128"/>
      </rPr>
      <t xml:space="preserve"> 2 (18M~24M)</t>
    </r>
    <phoneticPr fontId="1" type="noConversion"/>
  </si>
  <si>
    <r>
      <rPr>
        <sz val="11"/>
        <color theme="1"/>
        <rFont val="새굴림"/>
        <family val="2"/>
        <charset val="129"/>
      </rPr>
      <t>볼트캡</t>
    </r>
    <phoneticPr fontId="1" type="noConversion"/>
  </si>
  <si>
    <t>5T * Ф352 * Ф352</t>
    <phoneticPr fontId="1" type="noConversion"/>
  </si>
  <si>
    <r>
      <t xml:space="preserve">HR 6T * 212 * 66, </t>
    </r>
    <r>
      <rPr>
        <sz val="11"/>
        <color theme="1"/>
        <rFont val="새굴림"/>
        <family val="2"/>
        <charset val="129"/>
      </rPr>
      <t>홀</t>
    </r>
    <r>
      <rPr>
        <sz val="11"/>
        <color theme="1"/>
        <rFont val="Meiryo"/>
        <family val="2"/>
        <charset val="128"/>
      </rPr>
      <t>4</t>
    </r>
    <r>
      <rPr>
        <sz val="11"/>
        <color theme="1"/>
        <rFont val="새굴림"/>
        <family val="2"/>
        <charset val="129"/>
      </rPr>
      <t>개</t>
    </r>
    <r>
      <rPr>
        <sz val="11"/>
        <color theme="1"/>
        <rFont val="Meiryo"/>
        <family val="2"/>
        <charset val="128"/>
      </rPr>
      <t xml:space="preserve"> Ф18 (250*368)</t>
    </r>
    <phoneticPr fontId="1" type="noConversion"/>
  </si>
  <si>
    <t>M20 or M22 or M36</t>
    <phoneticPr fontId="1" type="noConversion"/>
  </si>
  <si>
    <t>M20 or M22 or M36</t>
  </si>
  <si>
    <r>
      <rPr>
        <sz val="11"/>
        <color theme="1"/>
        <rFont val="맑은 고딕"/>
        <family val="2"/>
        <charset val="129"/>
      </rPr>
      <t>사각플렛폼</t>
    </r>
    <r>
      <rPr>
        <sz val="11"/>
        <color theme="1"/>
        <rFont val="Meiryo"/>
        <family val="2"/>
        <charset val="128"/>
      </rPr>
      <t>(</t>
    </r>
    <r>
      <rPr>
        <sz val="11"/>
        <color theme="1"/>
        <rFont val="맑은 고딕"/>
        <family val="2"/>
        <charset val="129"/>
      </rPr>
      <t>사각형</t>
    </r>
    <r>
      <rPr>
        <sz val="11"/>
        <color theme="1"/>
        <rFont val="Meiryo"/>
        <family val="2"/>
        <charset val="128"/>
      </rPr>
      <t xml:space="preserve"> 12</t>
    </r>
    <r>
      <rPr>
        <sz val="11"/>
        <color theme="1"/>
        <rFont val="맑은 고딕"/>
        <family val="2"/>
        <charset val="129"/>
      </rPr>
      <t>등이하</t>
    </r>
    <r>
      <rPr>
        <sz val="11"/>
        <color theme="1"/>
        <rFont val="Meiryo"/>
        <family val="2"/>
        <charset val="128"/>
      </rPr>
      <t>)</t>
    </r>
    <phoneticPr fontId="1" type="noConversion"/>
  </si>
  <si>
    <r>
      <rPr>
        <sz val="11"/>
        <color theme="1"/>
        <rFont val="맑은 고딕"/>
        <family val="2"/>
        <charset val="129"/>
      </rPr>
      <t>가로</t>
    </r>
    <r>
      <rPr>
        <sz val="11"/>
        <color theme="1"/>
        <rFont val="Meiryo"/>
        <family val="2"/>
        <charset val="128"/>
      </rPr>
      <t xml:space="preserve"> 3700↓ * </t>
    </r>
    <r>
      <rPr>
        <sz val="11"/>
        <color theme="1"/>
        <rFont val="맑은 고딕"/>
        <family val="3"/>
        <charset val="129"/>
      </rPr>
      <t>세로</t>
    </r>
    <r>
      <rPr>
        <sz val="11"/>
        <color theme="1"/>
        <rFont val="Meiryo"/>
        <family val="2"/>
        <charset val="128"/>
      </rPr>
      <t xml:space="preserve"> 1600↓ * </t>
    </r>
    <r>
      <rPr>
        <sz val="11"/>
        <color theme="1"/>
        <rFont val="맑은 고딕"/>
        <family val="3"/>
        <charset val="129"/>
      </rPr>
      <t>높이 2</t>
    </r>
    <r>
      <rPr>
        <sz val="11"/>
        <color theme="1"/>
        <rFont val="Meiryo"/>
        <family val="2"/>
        <charset val="128"/>
      </rPr>
      <t>000↓</t>
    </r>
    <phoneticPr fontId="1" type="noConversion"/>
  </si>
  <si>
    <r>
      <rPr>
        <sz val="11"/>
        <color theme="1"/>
        <rFont val="맑은 고딕"/>
        <family val="2"/>
        <charset val="129"/>
      </rPr>
      <t>크로스바</t>
    </r>
    <r>
      <rPr>
        <sz val="11"/>
        <color theme="1"/>
        <rFont val="Meiryo"/>
        <family val="2"/>
        <charset val="128"/>
      </rPr>
      <t>(</t>
    </r>
    <r>
      <rPr>
        <sz val="11"/>
        <color theme="1"/>
        <rFont val="새굴림"/>
        <family val="2"/>
        <charset val="129"/>
      </rPr>
      <t>막대</t>
    </r>
    <r>
      <rPr>
        <sz val="11"/>
        <color theme="1"/>
        <rFont val="맑은 고딕"/>
        <family val="2"/>
        <charset val="129"/>
      </rPr>
      <t>형</t>
    </r>
    <r>
      <rPr>
        <sz val="11"/>
        <color theme="1"/>
        <rFont val="Meiryo"/>
        <family val="2"/>
        <charset val="128"/>
      </rPr>
      <t xml:space="preserve"> 12</t>
    </r>
    <r>
      <rPr>
        <sz val="11"/>
        <color theme="1"/>
        <rFont val="맑은 고딕"/>
        <family val="2"/>
        <charset val="129"/>
      </rPr>
      <t>등이하</t>
    </r>
    <r>
      <rPr>
        <sz val="11"/>
        <color theme="1"/>
        <rFont val="Meiryo"/>
        <family val="2"/>
        <charset val="128"/>
      </rPr>
      <t>)</t>
    </r>
    <phoneticPr fontId="1" type="noConversion"/>
  </si>
  <si>
    <r>
      <rPr>
        <sz val="11"/>
        <color theme="1"/>
        <rFont val="맑은 고딕"/>
        <family val="2"/>
        <charset val="129"/>
      </rPr>
      <t>원형플렛폼</t>
    </r>
    <r>
      <rPr>
        <sz val="11"/>
        <color theme="1"/>
        <rFont val="Meiryo"/>
        <family val="2"/>
        <charset val="128"/>
      </rPr>
      <t>(</t>
    </r>
    <r>
      <rPr>
        <sz val="11"/>
        <color theme="1"/>
        <rFont val="새굴림"/>
        <family val="2"/>
        <charset val="129"/>
      </rPr>
      <t>고깔</t>
    </r>
    <r>
      <rPr>
        <sz val="11"/>
        <color theme="1"/>
        <rFont val="맑은 고딕"/>
        <family val="2"/>
        <charset val="129"/>
      </rPr>
      <t>형</t>
    </r>
    <r>
      <rPr>
        <sz val="11"/>
        <color theme="1"/>
        <rFont val="Meiryo"/>
        <family val="2"/>
        <charset val="128"/>
      </rPr>
      <t xml:space="preserve"> 12</t>
    </r>
    <r>
      <rPr>
        <sz val="11"/>
        <color theme="1"/>
        <rFont val="맑은 고딕"/>
        <family val="2"/>
        <charset val="129"/>
      </rPr>
      <t>등이하</t>
    </r>
    <r>
      <rPr>
        <sz val="11"/>
        <color theme="1"/>
        <rFont val="Meiryo"/>
        <family val="2"/>
        <charset val="128"/>
      </rPr>
      <t>)</t>
    </r>
    <phoneticPr fontId="1" type="noConversion"/>
  </si>
  <si>
    <r>
      <rPr>
        <sz val="11"/>
        <color theme="1"/>
        <rFont val="맑은 고딕"/>
        <family val="2"/>
        <charset val="129"/>
      </rPr>
      <t>사각플렛폼</t>
    </r>
    <r>
      <rPr>
        <sz val="11"/>
        <color theme="1"/>
        <rFont val="Meiryo"/>
        <family val="2"/>
        <charset val="128"/>
      </rPr>
      <t>(</t>
    </r>
    <r>
      <rPr>
        <sz val="11"/>
        <color theme="1"/>
        <rFont val="맑은 고딕"/>
        <family val="2"/>
        <charset val="129"/>
      </rPr>
      <t>사각형</t>
    </r>
    <r>
      <rPr>
        <sz val="11"/>
        <color theme="1"/>
        <rFont val="Meiryo"/>
        <family val="2"/>
        <charset val="128"/>
      </rPr>
      <t xml:space="preserve"> </t>
    </r>
    <r>
      <rPr>
        <sz val="11"/>
        <color theme="1"/>
        <rFont val="새굴림"/>
        <family val="2"/>
        <charset val="129"/>
      </rPr>
      <t>12</t>
    </r>
    <r>
      <rPr>
        <sz val="11"/>
        <color theme="1"/>
        <rFont val="맑은 고딕"/>
        <family val="2"/>
        <charset val="129"/>
      </rPr>
      <t>등이하</t>
    </r>
    <r>
      <rPr>
        <sz val="11"/>
        <color theme="1"/>
        <rFont val="Meiryo"/>
        <family val="2"/>
        <charset val="128"/>
      </rPr>
      <t>)</t>
    </r>
    <phoneticPr fontId="1" type="noConversion"/>
  </si>
  <si>
    <r>
      <rPr>
        <sz val="11"/>
        <color theme="1"/>
        <rFont val="맑은 고딕"/>
        <family val="2"/>
        <charset val="129"/>
      </rPr>
      <t>사각플렛폼</t>
    </r>
    <r>
      <rPr>
        <sz val="11"/>
        <color theme="1"/>
        <rFont val="Meiryo"/>
        <family val="2"/>
        <charset val="128"/>
      </rPr>
      <t>(</t>
    </r>
    <r>
      <rPr>
        <sz val="11"/>
        <color theme="1"/>
        <rFont val="맑은 고딕"/>
        <family val="2"/>
        <charset val="129"/>
      </rPr>
      <t>사각형</t>
    </r>
    <r>
      <rPr>
        <sz val="11"/>
        <color theme="1"/>
        <rFont val="Meiryo"/>
        <family val="2"/>
        <charset val="128"/>
      </rPr>
      <t xml:space="preserve"> </t>
    </r>
    <r>
      <rPr>
        <sz val="11"/>
        <color theme="1"/>
        <rFont val="새굴림"/>
        <family val="2"/>
        <charset val="129"/>
      </rPr>
      <t>18</t>
    </r>
    <r>
      <rPr>
        <sz val="11"/>
        <color theme="1"/>
        <rFont val="맑은 고딕"/>
        <family val="2"/>
        <charset val="129"/>
      </rPr>
      <t>등이하</t>
    </r>
    <r>
      <rPr>
        <sz val="11"/>
        <color theme="1"/>
        <rFont val="Meiryo"/>
        <family val="2"/>
        <charset val="128"/>
      </rPr>
      <t>)</t>
    </r>
    <phoneticPr fontId="1" type="noConversion"/>
  </si>
  <si>
    <r>
      <rPr>
        <sz val="11"/>
        <color theme="1"/>
        <rFont val="맑은 고딕"/>
        <family val="2"/>
        <charset val="129"/>
      </rPr>
      <t>가로</t>
    </r>
    <r>
      <rPr>
        <sz val="11"/>
        <color theme="1"/>
        <rFont val="Meiryo"/>
        <family val="2"/>
        <charset val="128"/>
      </rPr>
      <t xml:space="preserve"> 4800↓ * </t>
    </r>
    <r>
      <rPr>
        <sz val="11"/>
        <color theme="1"/>
        <rFont val="맑은 고딕"/>
        <family val="3"/>
        <charset val="129"/>
      </rPr>
      <t>세로</t>
    </r>
    <r>
      <rPr>
        <sz val="11"/>
        <color theme="1"/>
        <rFont val="Meiryo"/>
        <family val="2"/>
        <charset val="128"/>
      </rPr>
      <t xml:space="preserve"> 1600↓ * </t>
    </r>
    <r>
      <rPr>
        <sz val="11"/>
        <color theme="1"/>
        <rFont val="맑은 고딕"/>
        <family val="3"/>
        <charset val="129"/>
      </rPr>
      <t>높이</t>
    </r>
    <r>
      <rPr>
        <sz val="11"/>
        <color theme="1"/>
        <rFont val="Meiryo"/>
        <family val="2"/>
        <charset val="128"/>
      </rPr>
      <t xml:space="preserve"> 2000↓</t>
    </r>
    <phoneticPr fontId="1" type="noConversion"/>
  </si>
  <si>
    <r>
      <rPr>
        <sz val="11"/>
        <color theme="1"/>
        <rFont val="맑은 고딕"/>
        <family val="2"/>
        <charset val="129"/>
      </rPr>
      <t>크로스바</t>
    </r>
    <r>
      <rPr>
        <sz val="11"/>
        <color theme="1"/>
        <rFont val="Meiryo"/>
        <family val="2"/>
        <charset val="128"/>
      </rPr>
      <t>(</t>
    </r>
    <r>
      <rPr>
        <sz val="11"/>
        <color theme="1"/>
        <rFont val="새굴림"/>
        <family val="2"/>
        <charset val="129"/>
      </rPr>
      <t>막대</t>
    </r>
    <r>
      <rPr>
        <sz val="11"/>
        <color theme="1"/>
        <rFont val="맑은 고딕"/>
        <family val="2"/>
        <charset val="129"/>
      </rPr>
      <t>형</t>
    </r>
    <r>
      <rPr>
        <sz val="11"/>
        <color theme="1"/>
        <rFont val="Meiryo"/>
        <family val="2"/>
        <charset val="128"/>
      </rPr>
      <t xml:space="preserve"> </t>
    </r>
    <r>
      <rPr>
        <sz val="11"/>
        <color theme="1"/>
        <rFont val="새굴림"/>
        <family val="2"/>
        <charset val="129"/>
      </rPr>
      <t>12</t>
    </r>
    <r>
      <rPr>
        <sz val="11"/>
        <color theme="1"/>
        <rFont val="맑은 고딕"/>
        <family val="2"/>
        <charset val="129"/>
      </rPr>
      <t>등이하</t>
    </r>
    <r>
      <rPr>
        <sz val="11"/>
        <color theme="1"/>
        <rFont val="Meiryo"/>
        <family val="2"/>
        <charset val="128"/>
      </rPr>
      <t>)</t>
    </r>
    <phoneticPr fontId="1" type="noConversion"/>
  </si>
  <si>
    <r>
      <rPr>
        <sz val="11"/>
        <color theme="1"/>
        <rFont val="맑은 고딕"/>
        <family val="2"/>
        <charset val="129"/>
      </rPr>
      <t>크로스바</t>
    </r>
    <r>
      <rPr>
        <sz val="11"/>
        <color theme="1"/>
        <rFont val="Meiryo"/>
        <family val="2"/>
        <charset val="128"/>
      </rPr>
      <t>(</t>
    </r>
    <r>
      <rPr>
        <sz val="11"/>
        <color theme="1"/>
        <rFont val="새굴림"/>
        <family val="2"/>
        <charset val="129"/>
      </rPr>
      <t>막대</t>
    </r>
    <r>
      <rPr>
        <sz val="11"/>
        <color theme="1"/>
        <rFont val="맑은 고딕"/>
        <family val="2"/>
        <charset val="129"/>
      </rPr>
      <t>형</t>
    </r>
    <r>
      <rPr>
        <sz val="11"/>
        <color theme="1"/>
        <rFont val="Meiryo"/>
        <family val="2"/>
        <charset val="128"/>
      </rPr>
      <t xml:space="preserve"> 18</t>
    </r>
    <r>
      <rPr>
        <sz val="11"/>
        <color theme="1"/>
        <rFont val="맑은 고딕"/>
        <family val="2"/>
        <charset val="129"/>
      </rPr>
      <t>등이하</t>
    </r>
    <r>
      <rPr>
        <sz val="11"/>
        <color theme="1"/>
        <rFont val="Meiryo"/>
        <family val="2"/>
        <charset val="128"/>
      </rPr>
      <t>)</t>
    </r>
    <phoneticPr fontId="1" type="noConversion"/>
  </si>
  <si>
    <r>
      <rPr>
        <sz val="11"/>
        <color theme="1"/>
        <rFont val="새굴림"/>
        <family val="1"/>
        <charset val="129"/>
      </rPr>
      <t>사각플렛폼</t>
    </r>
    <r>
      <rPr>
        <sz val="11"/>
        <color theme="1"/>
        <rFont val="Meiryo"/>
        <family val="2"/>
        <charset val="128"/>
      </rPr>
      <t>(</t>
    </r>
    <r>
      <rPr>
        <sz val="11"/>
        <color theme="1"/>
        <rFont val="새굴림"/>
        <family val="1"/>
        <charset val="129"/>
      </rPr>
      <t>사각형</t>
    </r>
    <r>
      <rPr>
        <sz val="11"/>
        <color theme="1"/>
        <rFont val="Meiryo"/>
        <family val="2"/>
        <charset val="128"/>
      </rPr>
      <t xml:space="preserve"> 10</t>
    </r>
    <r>
      <rPr>
        <sz val="11"/>
        <color theme="1"/>
        <rFont val="새굴림"/>
        <family val="1"/>
        <charset val="129"/>
      </rPr>
      <t>등이하</t>
    </r>
    <r>
      <rPr>
        <sz val="11"/>
        <color theme="1"/>
        <rFont val="Meiryo"/>
        <family val="2"/>
        <charset val="128"/>
      </rPr>
      <t>)</t>
    </r>
    <phoneticPr fontId="1" type="noConversion"/>
  </si>
  <si>
    <r>
      <rPr>
        <sz val="11"/>
        <color theme="1"/>
        <rFont val="새굴림"/>
        <family val="1"/>
        <charset val="129"/>
      </rPr>
      <t>사각플렛폼</t>
    </r>
    <r>
      <rPr>
        <sz val="11"/>
        <color theme="1"/>
        <rFont val="Meiryo"/>
        <family val="2"/>
        <charset val="128"/>
      </rPr>
      <t>(</t>
    </r>
    <r>
      <rPr>
        <sz val="11"/>
        <color theme="1"/>
        <rFont val="새굴림"/>
        <family val="1"/>
        <charset val="129"/>
      </rPr>
      <t>사각형</t>
    </r>
    <r>
      <rPr>
        <sz val="11"/>
        <color theme="1"/>
        <rFont val="Meiryo"/>
        <family val="2"/>
        <charset val="128"/>
      </rPr>
      <t xml:space="preserve"> 18</t>
    </r>
    <r>
      <rPr>
        <sz val="11"/>
        <color theme="1"/>
        <rFont val="새굴림"/>
        <family val="1"/>
        <charset val="129"/>
      </rPr>
      <t>등이하</t>
    </r>
    <r>
      <rPr>
        <sz val="11"/>
        <color theme="1"/>
        <rFont val="Meiryo"/>
        <family val="2"/>
        <charset val="128"/>
      </rPr>
      <t>)</t>
    </r>
    <phoneticPr fontId="1" type="noConversion"/>
  </si>
  <si>
    <r>
      <rPr>
        <sz val="11"/>
        <color theme="1"/>
        <rFont val="새굴림"/>
        <family val="1"/>
        <charset val="129"/>
      </rPr>
      <t>가로</t>
    </r>
    <r>
      <rPr>
        <sz val="11"/>
        <color theme="1"/>
        <rFont val="Meiryo"/>
        <family val="2"/>
        <charset val="128"/>
      </rPr>
      <t xml:space="preserve"> 4000↓ * </t>
    </r>
    <r>
      <rPr>
        <sz val="11"/>
        <color theme="1"/>
        <rFont val="새굴림"/>
        <family val="1"/>
        <charset val="129"/>
      </rPr>
      <t>세로</t>
    </r>
    <r>
      <rPr>
        <sz val="11"/>
        <color theme="1"/>
        <rFont val="Meiryo"/>
        <family val="2"/>
        <charset val="128"/>
      </rPr>
      <t xml:space="preserve"> 1020↓ * </t>
    </r>
    <r>
      <rPr>
        <sz val="11"/>
        <color theme="1"/>
        <rFont val="새굴림"/>
        <family val="1"/>
        <charset val="129"/>
      </rPr>
      <t>높이</t>
    </r>
    <r>
      <rPr>
        <sz val="11"/>
        <color theme="1"/>
        <rFont val="Meiryo"/>
        <family val="2"/>
        <charset val="128"/>
      </rPr>
      <t xml:space="preserve"> 1000↓</t>
    </r>
    <phoneticPr fontId="1" type="noConversion"/>
  </si>
  <si>
    <r>
      <rPr>
        <sz val="11"/>
        <color theme="1"/>
        <rFont val="새굴림"/>
        <family val="1"/>
        <charset val="129"/>
      </rPr>
      <t>가로</t>
    </r>
    <r>
      <rPr>
        <sz val="11"/>
        <color theme="1"/>
        <rFont val="Meiryo"/>
        <family val="2"/>
        <charset val="128"/>
      </rPr>
      <t xml:space="preserve"> 4800↓ * </t>
    </r>
    <r>
      <rPr>
        <sz val="11"/>
        <color theme="1"/>
        <rFont val="새굴림"/>
        <family val="1"/>
        <charset val="129"/>
      </rPr>
      <t>세로</t>
    </r>
    <r>
      <rPr>
        <sz val="11"/>
        <color theme="1"/>
        <rFont val="Meiryo"/>
        <family val="2"/>
        <charset val="128"/>
      </rPr>
      <t xml:space="preserve"> 1600↓ * </t>
    </r>
    <r>
      <rPr>
        <sz val="11"/>
        <color theme="1"/>
        <rFont val="새굴림"/>
        <family val="1"/>
        <charset val="129"/>
      </rPr>
      <t>높이</t>
    </r>
    <r>
      <rPr>
        <sz val="11"/>
        <color theme="1"/>
        <rFont val="Meiryo"/>
        <family val="2"/>
        <charset val="128"/>
      </rPr>
      <t xml:space="preserve"> 2000↓</t>
    </r>
    <phoneticPr fontId="1" type="noConversion"/>
  </si>
  <si>
    <t>나라장터 판매가(미포함가)</t>
    <phoneticPr fontId="1" type="noConversion"/>
  </si>
  <si>
    <t>경비</t>
    <phoneticPr fontId="1" type="noConversion"/>
  </si>
  <si>
    <t>노무비</t>
    <phoneticPr fontId="1" type="noConversion"/>
  </si>
  <si>
    <t>이윤</t>
    <phoneticPr fontId="1" type="noConversion"/>
  </si>
  <si>
    <t>도금비+(운반비/장비)</t>
    <phoneticPr fontId="1" type="noConversion"/>
  </si>
  <si>
    <r>
      <rPr>
        <sz val="11"/>
        <color theme="1"/>
        <rFont val="굴림"/>
        <family val="2"/>
        <charset val="129"/>
      </rPr>
      <t>도장비</t>
    </r>
    <r>
      <rPr>
        <sz val="11"/>
        <color theme="1"/>
        <rFont val="Meiryo"/>
        <family val="2"/>
        <charset val="128"/>
      </rPr>
      <t>+(</t>
    </r>
    <r>
      <rPr>
        <sz val="11"/>
        <color theme="1"/>
        <rFont val="굴림"/>
        <family val="2"/>
        <charset val="129"/>
      </rPr>
      <t>운반비/장비)</t>
    </r>
    <phoneticPr fontId="1" type="noConversion"/>
  </si>
  <si>
    <r>
      <rPr>
        <sz val="11"/>
        <color theme="1"/>
        <rFont val="굴림"/>
        <family val="2"/>
        <charset val="129"/>
      </rPr>
      <t>도장비</t>
    </r>
    <r>
      <rPr>
        <sz val="11"/>
        <color theme="1"/>
        <rFont val="Meiryo"/>
        <family val="2"/>
        <charset val="128"/>
      </rPr>
      <t>+</t>
    </r>
    <r>
      <rPr>
        <sz val="11"/>
        <color theme="1"/>
        <rFont val="새굴림"/>
        <family val="2"/>
        <charset val="129"/>
      </rPr>
      <t>도금비+</t>
    </r>
    <r>
      <rPr>
        <sz val="11"/>
        <color theme="1"/>
        <rFont val="Meiryo"/>
        <family val="2"/>
        <charset val="128"/>
      </rPr>
      <t>(</t>
    </r>
    <r>
      <rPr>
        <sz val="11"/>
        <color theme="1"/>
        <rFont val="굴림"/>
        <family val="2"/>
        <charset val="129"/>
      </rPr>
      <t>운반비/장비)</t>
    </r>
    <phoneticPr fontId="1" type="noConversion"/>
  </si>
  <si>
    <t>(부가세 미포함가)</t>
    <phoneticPr fontId="1" type="noConversion"/>
  </si>
  <si>
    <t>12M</t>
    <phoneticPr fontId="1" type="noConversion"/>
  </si>
  <si>
    <t>환봉</t>
    <phoneticPr fontId="1" type="noConversion"/>
  </si>
  <si>
    <r>
      <rPr>
        <sz val="11"/>
        <color theme="1"/>
        <rFont val="Calibri"/>
        <family val="3"/>
        <charset val="204"/>
      </rPr>
      <t>Ф</t>
    </r>
    <r>
      <rPr>
        <sz val="11"/>
        <color theme="1"/>
        <rFont val="맑은 고딕"/>
        <family val="3"/>
        <charset val="129"/>
      </rPr>
      <t>16*380</t>
    </r>
    <r>
      <rPr>
        <sz val="11"/>
        <color theme="1"/>
        <rFont val="Calibri"/>
        <family val="3"/>
      </rPr>
      <t>L</t>
    </r>
    <phoneticPr fontId="1" type="noConversion"/>
  </si>
  <si>
    <t>15,000원/6M</t>
    <phoneticPr fontId="1" type="noConversion"/>
  </si>
  <si>
    <t>앵글</t>
    <phoneticPr fontId="1" type="noConversion"/>
  </si>
  <si>
    <t>30*30*3T*2930</t>
    <phoneticPr fontId="1" type="noConversion"/>
  </si>
  <si>
    <t>16,000원/8M</t>
    <phoneticPr fontId="1" type="noConversion"/>
  </si>
  <si>
    <t>30*30*3T*4590</t>
    <phoneticPr fontId="1" type="noConversion"/>
  </si>
  <si>
    <t>각관</t>
    <phoneticPr fontId="1" type="noConversion"/>
  </si>
  <si>
    <t>50*30*2T*6000</t>
    <phoneticPr fontId="1" type="noConversion"/>
  </si>
  <si>
    <t>22,000원/6M</t>
    <phoneticPr fontId="1" type="noConversion"/>
  </si>
  <si>
    <t>평철</t>
    <phoneticPr fontId="1" type="noConversion"/>
  </si>
  <si>
    <t>50mm*4.5T*1500L</t>
    <phoneticPr fontId="1" type="noConversion"/>
  </si>
  <si>
    <t>17,000원/6M</t>
    <phoneticPr fontId="1" type="noConversion"/>
  </si>
  <si>
    <t>사다리걸이</t>
    <phoneticPr fontId="1" type="noConversion"/>
  </si>
  <si>
    <t>80*199*9T &amp; 80*419*9T</t>
    <phoneticPr fontId="1" type="noConversion"/>
  </si>
  <si>
    <t>17,000원/Set</t>
    <phoneticPr fontId="1" type="noConversion"/>
  </si>
  <si>
    <t>도금</t>
    <phoneticPr fontId="1" type="noConversion"/>
  </si>
  <si>
    <t>등받이 벤딩</t>
    <phoneticPr fontId="1" type="noConversion"/>
  </si>
  <si>
    <t>벤딩운송비</t>
    <phoneticPr fontId="1" type="noConversion"/>
  </si>
  <si>
    <t>도금운송비</t>
    <phoneticPr fontId="1" type="noConversion"/>
  </si>
  <si>
    <t>레이저가공</t>
    <phoneticPr fontId="1" type="noConversion"/>
  </si>
  <si>
    <t>환봉절단비</t>
    <phoneticPr fontId="1" type="noConversion"/>
  </si>
  <si>
    <t>15M</t>
    <phoneticPr fontId="1" type="noConversion"/>
  </si>
  <si>
    <t>15,000원/本</t>
    <phoneticPr fontId="1" type="noConversion"/>
  </si>
  <si>
    <t>30*30*3T*1680</t>
    <phoneticPr fontId="1" type="noConversion"/>
  </si>
  <si>
    <t>30*30*3T*5420</t>
    <phoneticPr fontId="1" type="noConversion"/>
  </si>
  <si>
    <t>18M</t>
    <phoneticPr fontId="1" type="noConversion"/>
  </si>
  <si>
    <t>20M</t>
    <phoneticPr fontId="1" type="noConversion"/>
  </si>
  <si>
    <t>30*30*3T*850</t>
    <phoneticPr fontId="1" type="noConversion"/>
  </si>
  <si>
    <t>24M</t>
    <phoneticPr fontId="1" type="noConversion"/>
  </si>
  <si>
    <t>MT-SLA-075</t>
  </si>
  <si>
    <t>MT-SLA-075</t>
    <phoneticPr fontId="1" type="noConversion"/>
  </si>
  <si>
    <t>MT-SLA-100</t>
  </si>
  <si>
    <t>MT-SLA-100</t>
    <phoneticPr fontId="1" type="noConversion"/>
  </si>
  <si>
    <t>MT-SLA-125</t>
  </si>
  <si>
    <t>MT-SLA-125</t>
    <phoneticPr fontId="1" type="noConversion"/>
  </si>
  <si>
    <t>MT-SLA-150</t>
  </si>
  <si>
    <t>MT-SLA-150</t>
    <phoneticPr fontId="1" type="noConversion"/>
  </si>
  <si>
    <t>스마트론</t>
    <phoneticPr fontId="1" type="noConversion"/>
  </si>
  <si>
    <t>나이스테크</t>
  </si>
  <si>
    <t>나이스테크</t>
    <phoneticPr fontId="1" type="noConversion"/>
  </si>
  <si>
    <t>TSC</t>
  </si>
  <si>
    <t>TSC</t>
    <phoneticPr fontId="1" type="noConversion"/>
  </si>
  <si>
    <t>SPLW50-36</t>
    <phoneticPr fontId="1" type="noConversion"/>
  </si>
  <si>
    <t>SPLW80-36</t>
    <phoneticPr fontId="1" type="noConversion"/>
  </si>
  <si>
    <t>SPLW100-36</t>
    <phoneticPr fontId="1" type="noConversion"/>
  </si>
  <si>
    <t>SPLW120-36</t>
    <phoneticPr fontId="1" type="noConversion"/>
  </si>
  <si>
    <t>SPLW150-36</t>
    <phoneticPr fontId="1" type="noConversion"/>
  </si>
  <si>
    <t>MT-SLAH-S</t>
    <phoneticPr fontId="1" type="noConversion"/>
  </si>
  <si>
    <t>SLA-하우징-S</t>
    <phoneticPr fontId="1" type="noConversion"/>
  </si>
  <si>
    <t>MT-SLAH-L</t>
    <phoneticPr fontId="1" type="noConversion"/>
  </si>
  <si>
    <t>SLA-하우징-L</t>
    <phoneticPr fontId="1" type="noConversion"/>
  </si>
  <si>
    <t>MT-MD-TSCM-25-STG-50BB</t>
    <phoneticPr fontId="1" type="noConversion"/>
  </si>
  <si>
    <t>모듈-TSCM-025(5000K)</t>
    <phoneticPr fontId="1" type="noConversion"/>
  </si>
  <si>
    <t>MT-SLA-050</t>
  </si>
  <si>
    <t>MT-SLA-050</t>
    <phoneticPr fontId="1" type="noConversion"/>
  </si>
  <si>
    <t>MT-SLA-030</t>
  </si>
  <si>
    <t>MT-SLA-030</t>
    <phoneticPr fontId="1" type="noConversion"/>
  </si>
  <si>
    <t>MT-SLA-040</t>
  </si>
  <si>
    <t>MT-SLA-040</t>
    <phoneticPr fontId="1" type="noConversion"/>
  </si>
  <si>
    <t>2분배기</t>
    <phoneticPr fontId="1" type="noConversion"/>
  </si>
  <si>
    <t>SPLW30-36</t>
    <phoneticPr fontId="1" type="noConversion"/>
  </si>
  <si>
    <t>SPLW40-36</t>
    <phoneticPr fontId="1" type="noConversion"/>
  </si>
  <si>
    <t>MT-ML-200</t>
  </si>
  <si>
    <t>MT-ML-200</t>
    <phoneticPr fontId="1" type="noConversion"/>
  </si>
  <si>
    <t>MT-ML-240</t>
  </si>
  <si>
    <t>MT-ML-240</t>
    <phoneticPr fontId="1" type="noConversion"/>
  </si>
  <si>
    <t>8분배기</t>
    <phoneticPr fontId="1" type="noConversion"/>
  </si>
  <si>
    <t>10분배기</t>
    <phoneticPr fontId="1" type="noConversion"/>
  </si>
  <si>
    <t>승리글로벌</t>
  </si>
  <si>
    <t>승리글로벌</t>
    <phoneticPr fontId="1" type="noConversion"/>
  </si>
  <si>
    <t>UPF-240S-36CQ2</t>
    <phoneticPr fontId="1" type="noConversion"/>
  </si>
  <si>
    <t>UPF-250S-36CQH</t>
    <phoneticPr fontId="1" type="noConversion"/>
  </si>
  <si>
    <t>보안등/가로등기구</t>
    <phoneticPr fontId="1" type="noConversion"/>
  </si>
  <si>
    <t>ARENA S</t>
    <phoneticPr fontId="1" type="noConversion"/>
  </si>
  <si>
    <t>200W</t>
    <phoneticPr fontId="1" type="noConversion"/>
  </si>
  <si>
    <t>300W</t>
    <phoneticPr fontId="1" type="noConversion"/>
  </si>
  <si>
    <t>400W</t>
    <phoneticPr fontId="1" type="noConversion"/>
  </si>
  <si>
    <t>ARENA</t>
    <phoneticPr fontId="1" type="noConversion"/>
  </si>
  <si>
    <t>500W</t>
    <phoneticPr fontId="1" type="noConversion"/>
  </si>
  <si>
    <t>600W</t>
    <phoneticPr fontId="1" type="noConversion"/>
  </si>
  <si>
    <t>800W</t>
    <phoneticPr fontId="1" type="noConversion"/>
  </si>
  <si>
    <t>STA</t>
    <phoneticPr fontId="1" type="noConversion"/>
  </si>
  <si>
    <t>1000W</t>
    <phoneticPr fontId="1" type="noConversion"/>
  </si>
  <si>
    <t>1200W</t>
    <phoneticPr fontId="1" type="noConversion"/>
  </si>
  <si>
    <t>1500W</t>
    <phoneticPr fontId="1" type="noConversion"/>
  </si>
  <si>
    <t>STA S</t>
    <phoneticPr fontId="1" type="noConversion"/>
  </si>
  <si>
    <t>* 케이블 감안하여 약5만원 추가</t>
    <phoneticPr fontId="1" type="noConversion"/>
  </si>
  <si>
    <t>*투광등 대표모델 및 규격 원가(부가세 미포함가)</t>
    <phoneticPr fontId="1" type="noConversion"/>
  </si>
  <si>
    <t>PCB-STA S-108-57</t>
    <phoneticPr fontId="1" type="noConversion"/>
  </si>
  <si>
    <t>2521-8846</t>
  </si>
  <si>
    <t>2521-8846</t>
    <phoneticPr fontId="1" type="noConversion"/>
  </si>
  <si>
    <t>2521-8845</t>
  </si>
  <si>
    <t>2521-8845</t>
    <phoneticPr fontId="1" type="noConversion"/>
  </si>
  <si>
    <t>2349-8980</t>
    <phoneticPr fontId="1" type="noConversion"/>
  </si>
  <si>
    <t>2521-8839</t>
  </si>
  <si>
    <t>2521-8839</t>
    <phoneticPr fontId="1" type="noConversion"/>
  </si>
  <si>
    <t>2521-8840</t>
  </si>
  <si>
    <t>2521-8840</t>
    <phoneticPr fontId="1" type="noConversion"/>
  </si>
  <si>
    <t>2521-8841</t>
  </si>
  <si>
    <t>2521-8841</t>
    <phoneticPr fontId="1" type="noConversion"/>
  </si>
  <si>
    <t>2521-8842</t>
  </si>
  <si>
    <t>2521-8842</t>
    <phoneticPr fontId="1" type="noConversion"/>
  </si>
  <si>
    <t>STA(H)-1500</t>
  </si>
  <si>
    <t>STA(H)-1500</t>
    <phoneticPr fontId="1" type="noConversion"/>
  </si>
  <si>
    <t>SUM-1K5S600MG</t>
    <phoneticPr fontId="1" type="noConversion"/>
  </si>
  <si>
    <t>인벤트로닉스</t>
    <phoneticPr fontId="1" type="noConversion"/>
  </si>
  <si>
    <t>비고(광주업체 견적)</t>
    <phoneticPr fontId="1" type="noConversion"/>
  </si>
  <si>
    <t>3,000원(커버 단가)</t>
    <phoneticPr fontId="1" type="noConversion"/>
  </si>
  <si>
    <t>Apodon(중국)</t>
    <phoneticPr fontId="1" type="noConversion"/>
  </si>
  <si>
    <r>
      <t xml:space="preserve">외함 , </t>
    </r>
    <r>
      <rPr>
        <b/>
        <sz val="11"/>
        <color rgb="FFFF0000"/>
        <rFont val="맑은 고딕"/>
        <family val="3"/>
        <charset val="129"/>
        <scheme val="minor"/>
      </rPr>
      <t>2000톤 장비 사출</t>
    </r>
    <r>
      <rPr>
        <sz val="11"/>
        <color theme="1"/>
        <rFont val="맑은 고딕"/>
        <family val="3"/>
        <charset val="129"/>
        <scheme val="minor"/>
      </rPr>
      <t xml:space="preserve"> </t>
    </r>
    <phoneticPr fontId="1" type="noConversion"/>
  </si>
  <si>
    <t xml:space="preserve">350톤 장비 사출 </t>
    <phoneticPr fontId="1" type="noConversion"/>
  </si>
  <si>
    <t>SMPS CASE : 850톤 장비 사출</t>
    <phoneticPr fontId="1" type="noConversion"/>
  </si>
  <si>
    <t xml:space="preserve">1250톤 장비 사출 </t>
    <phoneticPr fontId="1" type="noConversion"/>
  </si>
  <si>
    <t>GKS</t>
    <phoneticPr fontId="1" type="noConversion"/>
  </si>
  <si>
    <t>배터리</t>
    <phoneticPr fontId="1" type="noConversion"/>
  </si>
  <si>
    <t>배터리 함(케이스)</t>
  </si>
  <si>
    <t>대진산업</t>
    <phoneticPr fontId="1" type="noConversion"/>
  </si>
  <si>
    <r>
      <t xml:space="preserve">폼 목형비: 250,000원+금형 수리비 </t>
    </r>
    <r>
      <rPr>
        <sz val="11"/>
        <color theme="1"/>
        <rFont val="Calibri"/>
        <family val="3"/>
        <charset val="161"/>
      </rPr>
      <t>α</t>
    </r>
    <phoneticPr fontId="1" type="noConversion"/>
  </si>
  <si>
    <t>보린</t>
    <phoneticPr fontId="1" type="noConversion"/>
  </si>
  <si>
    <t>에스제이티</t>
    <phoneticPr fontId="1" type="noConversion"/>
  </si>
  <si>
    <t>태양광가로등주(조달)</t>
    <phoneticPr fontId="1" type="noConversion"/>
  </si>
  <si>
    <r>
      <t>MT</t>
    </r>
    <r>
      <rPr>
        <sz val="11"/>
        <color theme="1"/>
        <rFont val="맑은 고딕"/>
        <family val="2"/>
        <charset val="129"/>
      </rPr>
      <t>SOLAR-50</t>
    </r>
    <phoneticPr fontId="1" type="noConversion"/>
  </si>
  <si>
    <t>MTSOLAR-50</t>
  </si>
  <si>
    <r>
      <t xml:space="preserve">Ф216.3 * 3.0T↑ * </t>
    </r>
    <r>
      <rPr>
        <sz val="11"/>
        <color theme="1"/>
        <rFont val="맑은 고딕"/>
        <family val="2"/>
        <charset val="129"/>
      </rPr>
      <t>2</t>
    </r>
    <r>
      <rPr>
        <sz val="11"/>
        <color theme="1"/>
        <rFont val="Meiryo"/>
        <family val="2"/>
        <charset val="128"/>
      </rPr>
      <t>M</t>
    </r>
    <phoneticPr fontId="1" type="noConversion"/>
  </si>
  <si>
    <r>
      <t xml:space="preserve">Ф127.0 * 3.0T↑ * </t>
    </r>
    <r>
      <rPr>
        <sz val="11"/>
        <color theme="1"/>
        <rFont val="맑은 고딕"/>
        <family val="2"/>
        <charset val="129"/>
      </rPr>
      <t>3</t>
    </r>
    <r>
      <rPr>
        <sz val="11"/>
        <color theme="1"/>
        <rFont val="Meiryo"/>
        <family val="2"/>
        <charset val="128"/>
      </rPr>
      <t>M</t>
    </r>
    <phoneticPr fontId="1" type="noConversion"/>
  </si>
  <si>
    <r>
      <t>Ф400 * Ф216 * 1</t>
    </r>
    <r>
      <rPr>
        <sz val="11"/>
        <color theme="1"/>
        <rFont val="맑은 고딕"/>
        <family val="2"/>
        <charset val="129"/>
      </rPr>
      <t>2</t>
    </r>
    <r>
      <rPr>
        <sz val="11"/>
        <color theme="1"/>
        <rFont val="Meiryo"/>
        <family val="2"/>
        <charset val="128"/>
      </rPr>
      <t>.0T↑</t>
    </r>
    <phoneticPr fontId="1" type="noConversion"/>
  </si>
  <si>
    <t>베이스커버</t>
    <phoneticPr fontId="1" type="noConversion"/>
  </si>
  <si>
    <r>
      <rPr>
        <sz val="11"/>
        <color theme="1"/>
        <rFont val="Calibri"/>
        <family val="2"/>
        <charset val="204"/>
      </rPr>
      <t>Ф</t>
    </r>
    <r>
      <rPr>
        <sz val="11"/>
        <color theme="1"/>
        <rFont val="맑은 고딕"/>
        <family val="2"/>
        <charset val="129"/>
      </rPr>
      <t xml:space="preserve">420 * </t>
    </r>
    <r>
      <rPr>
        <sz val="11"/>
        <color theme="1"/>
        <rFont val="Calibri"/>
        <family val="2"/>
        <charset val="204"/>
      </rPr>
      <t>Ф</t>
    </r>
    <r>
      <rPr>
        <sz val="11"/>
        <color theme="1"/>
        <rFont val="맑은 고딕"/>
        <family val="2"/>
        <charset val="129"/>
      </rPr>
      <t>216</t>
    </r>
    <phoneticPr fontId="1" type="noConversion"/>
  </si>
  <si>
    <t>광동스텐</t>
    <phoneticPr fontId="1" type="noConversion"/>
  </si>
  <si>
    <t>LED등기구</t>
    <phoneticPr fontId="1" type="noConversion"/>
  </si>
  <si>
    <t>50W</t>
    <phoneticPr fontId="1" type="noConversion"/>
  </si>
  <si>
    <t>태양전지모듈(패널)</t>
    <phoneticPr fontId="1" type="noConversion"/>
  </si>
  <si>
    <t>단결정 100W , 12V</t>
    <phoneticPr fontId="1" type="noConversion"/>
  </si>
  <si>
    <t>한국리레이</t>
    <phoneticPr fontId="1" type="noConversion"/>
  </si>
  <si>
    <t>충전컨트롤러</t>
    <phoneticPr fontId="1" type="noConversion"/>
  </si>
  <si>
    <t>HP20AL-1 , DC 12V 20A</t>
    <phoneticPr fontId="1" type="noConversion"/>
  </si>
  <si>
    <t>SLD-80S  DC 12Vin / 60W, 36V / 1.46A</t>
    <phoneticPr fontId="1" type="noConversion"/>
  </si>
  <si>
    <t>엘젠테크</t>
    <phoneticPr fontId="1" type="noConversion"/>
  </si>
  <si>
    <t>타보스</t>
    <phoneticPr fontId="1" type="noConversion"/>
  </si>
  <si>
    <t>LB-11V90AH</t>
    <phoneticPr fontId="1" type="noConversion"/>
  </si>
  <si>
    <t>베크라이트</t>
    <phoneticPr fontId="1" type="noConversion"/>
  </si>
  <si>
    <t>한국베크라이트</t>
    <phoneticPr fontId="1" type="noConversion"/>
  </si>
  <si>
    <t>2467-5122</t>
  </si>
  <si>
    <t>2467-5122</t>
    <phoneticPr fontId="1" type="noConversion"/>
  </si>
  <si>
    <t>2467-5123</t>
  </si>
  <si>
    <t>2467-5123</t>
    <phoneticPr fontId="1" type="noConversion"/>
  </si>
  <si>
    <t>MT-SLC-200</t>
  </si>
  <si>
    <t>MT-SLC-200</t>
    <phoneticPr fontId="1" type="noConversion"/>
  </si>
  <si>
    <t>MT-SLC-240</t>
  </si>
  <si>
    <t>MT-SLC-240</t>
    <phoneticPr fontId="1" type="noConversion"/>
  </si>
  <si>
    <t>가로등외함,     3.0T AL , 750x338x105</t>
    <phoneticPr fontId="1" type="noConversion"/>
  </si>
  <si>
    <t>가로등외함,     3.0T AL , 878x375x225</t>
    <phoneticPr fontId="1" type="noConversion"/>
  </si>
  <si>
    <t>8분배기</t>
    <phoneticPr fontId="1" type="noConversion"/>
  </si>
  <si>
    <t>10분배기</t>
    <phoneticPr fontId="1" type="noConversion"/>
  </si>
  <si>
    <t>MT-SLA-200</t>
  </si>
  <si>
    <t>MT-SLA-200</t>
    <phoneticPr fontId="1" type="noConversion"/>
  </si>
  <si>
    <t>MT-SLA-240</t>
  </si>
  <si>
    <t>MT-SLA-240</t>
    <phoneticPr fontId="1" type="noConversion"/>
  </si>
  <si>
    <t>8B</t>
    <phoneticPr fontId="1" type="noConversion"/>
  </si>
  <si>
    <t>10B</t>
    <phoneticPr fontId="1" type="noConversion"/>
  </si>
  <si>
    <t>승리글로벌</t>
    <phoneticPr fontId="1" type="noConversion"/>
  </si>
  <si>
    <t>가로등외함,     3.0T AL , 820x336x159</t>
    <phoneticPr fontId="1" type="noConversion"/>
  </si>
  <si>
    <t>보안등외함,     3.0T AL , 543x247x107</t>
    <phoneticPr fontId="1" type="noConversion"/>
  </si>
  <si>
    <t>공급가</t>
    <phoneticPr fontId="1" type="noConversion"/>
  </si>
  <si>
    <t>SPLW200-36</t>
    <phoneticPr fontId="1" type="noConversion"/>
  </si>
  <si>
    <t>SPLW250-36</t>
    <phoneticPr fontId="1" type="noConversion"/>
  </si>
  <si>
    <t>조달판가</t>
    <phoneticPr fontId="1" type="noConversion"/>
  </si>
  <si>
    <t>지엘플레닛 , 경산기계</t>
    <phoneticPr fontId="1" type="noConversion"/>
  </si>
  <si>
    <t>MT-STA-DMCOVER</t>
  </si>
  <si>
    <t>MT-STA-DMCOVER</t>
    <phoneticPr fontId="1" type="noConversion"/>
  </si>
  <si>
    <t>대진다이캐스팅</t>
    <phoneticPr fontId="1" type="noConversion"/>
  </si>
  <si>
    <t>MT-STA-H-02</t>
    <phoneticPr fontId="1" type="noConversion"/>
  </si>
  <si>
    <t>MT-STA-RIM-02(600W)</t>
    <phoneticPr fontId="1" type="noConversion"/>
  </si>
  <si>
    <t>MT-STA-FTCOVER02</t>
    <phoneticPr fontId="1" type="noConversion"/>
  </si>
  <si>
    <t>MT-STA-FTCOVER04</t>
    <phoneticPr fontId="1" type="noConversion"/>
  </si>
  <si>
    <t>STA 프론트 커버(1500W) 420</t>
    <phoneticPr fontId="1" type="noConversion"/>
  </si>
  <si>
    <t>STA 프론트 커버(1500W) 480</t>
    <phoneticPr fontId="1" type="noConversion"/>
  </si>
  <si>
    <t>STA 프론트 커버(1500W) 540</t>
    <phoneticPr fontId="1" type="noConversion"/>
  </si>
  <si>
    <t>MT-STA-FTCOVER03</t>
    <phoneticPr fontId="1" type="noConversion"/>
  </si>
  <si>
    <t>MT-STA-FTCOVER05</t>
    <phoneticPr fontId="1" type="noConversion"/>
  </si>
  <si>
    <t>MT-STA-FTCOVER06</t>
    <phoneticPr fontId="1" type="noConversion"/>
  </si>
  <si>
    <t>STA S 프론트 커버 480</t>
    <phoneticPr fontId="1" type="noConversion"/>
  </si>
  <si>
    <t>STA S 프론트 커버 540</t>
    <phoneticPr fontId="1" type="noConversion"/>
  </si>
  <si>
    <t>STA S 프론트 커버 420</t>
    <phoneticPr fontId="1" type="noConversion"/>
  </si>
  <si>
    <t>MT-STA-BACKCOVER600</t>
    <phoneticPr fontId="1" type="noConversion"/>
  </si>
  <si>
    <t>MT-STA-HP-01</t>
    <phoneticPr fontId="1" type="noConversion"/>
  </si>
  <si>
    <t>STA-히트파이프(L type)</t>
    <phoneticPr fontId="1" type="noConversion"/>
  </si>
  <si>
    <t>STA-히트파이프(ㄷ type)</t>
    <phoneticPr fontId="1" type="noConversion"/>
  </si>
  <si>
    <t>MT-STA-HP-01</t>
  </si>
  <si>
    <t>STA-히트파이프(L type)</t>
  </si>
  <si>
    <t>STA-히트파이프(ㄷ type)</t>
  </si>
  <si>
    <t>MT-STA1500-MR420</t>
  </si>
  <si>
    <t>MT-STA1500-MR480</t>
  </si>
  <si>
    <t>MT-STA1500-MR540</t>
  </si>
  <si>
    <t>STA 메인 반사판 420</t>
  </si>
  <si>
    <t>STA 메인 반사판 480</t>
  </si>
  <si>
    <t>STA 메인 반사판 540</t>
  </si>
  <si>
    <t>MT-STA600-MR480</t>
  </si>
  <si>
    <t>MT-STA600-MR540</t>
  </si>
  <si>
    <t>MT-STA600-MR420</t>
  </si>
  <si>
    <t>MT-STA600-MR420</t>
    <phoneticPr fontId="1" type="noConversion"/>
  </si>
  <si>
    <t>STA 메인 반사판 420</t>
    <phoneticPr fontId="1" type="noConversion"/>
  </si>
  <si>
    <t>MT-STA1500600-RSR480</t>
  </si>
  <si>
    <t>MT-STA1500600-RSR540</t>
  </si>
  <si>
    <t>MT-STA1500600-LSR480</t>
  </si>
  <si>
    <t>MT-STA1500600-LSR540</t>
  </si>
  <si>
    <t>MT-STA1500600-RSR420</t>
  </si>
  <si>
    <t>MT-STA1500600-RSR420</t>
    <phoneticPr fontId="1" type="noConversion"/>
  </si>
  <si>
    <t>MT-STA1500600-LSR420</t>
  </si>
  <si>
    <t>MT-STA1500600-LSR420</t>
    <phoneticPr fontId="1" type="noConversion"/>
  </si>
  <si>
    <t>STA 1500600 반사판 우 480</t>
  </si>
  <si>
    <t>STA 1500600 반사판 우 540</t>
  </si>
  <si>
    <t>STA 1500600 반사판 좌 480</t>
  </si>
  <si>
    <t>STA 1500600 반사판 좌 540</t>
  </si>
  <si>
    <t>STA 1500600 반사판 우 420</t>
  </si>
  <si>
    <t>STA 1500600 반사판 우 420</t>
    <phoneticPr fontId="1" type="noConversion"/>
  </si>
  <si>
    <t>STA 1500600 반사판 좌 420</t>
  </si>
  <si>
    <t>STA 1500600 반사판 좌 420</t>
    <phoneticPr fontId="1" type="noConversion"/>
  </si>
  <si>
    <t>MT-STALens-55</t>
  </si>
  <si>
    <t>MT-STALens-55</t>
    <phoneticPr fontId="1" type="noConversion"/>
  </si>
  <si>
    <t>STA 55도 렌즈</t>
  </si>
  <si>
    <t>STA 55도 렌즈</t>
    <phoneticPr fontId="1" type="noConversion"/>
  </si>
  <si>
    <t>다오옵틱(구 참테크)</t>
  </si>
  <si>
    <t>다오옵틱(구 참테크)</t>
    <phoneticPr fontId="1" type="noConversion"/>
  </si>
  <si>
    <t>MT-STALens-55</t>
    <phoneticPr fontId="1" type="noConversion"/>
  </si>
  <si>
    <t>MT-STA-FTCOVER01</t>
  </si>
  <si>
    <t>STA 프론트 커버(1500W) 420</t>
  </si>
  <si>
    <t>경산기계</t>
  </si>
  <si>
    <t>MT-STA-FTCOVER02</t>
  </si>
  <si>
    <t>STA 프론트 커버(1500W) 480</t>
  </si>
  <si>
    <t>MT-STA-FTCOVER04</t>
  </si>
  <si>
    <t>STA 프론트 커버(1500W) 540</t>
  </si>
  <si>
    <t>MT-STA-FTCOVER03</t>
  </si>
  <si>
    <t>STA S 프론트 커버 480</t>
  </si>
  <si>
    <t>MT-STA-FTCOVER05</t>
  </si>
  <si>
    <t>STA S 프론트 커버 540</t>
  </si>
  <si>
    <t>MT-STA-FTCOVER06</t>
  </si>
  <si>
    <t>STA S 프론트 커버 420</t>
  </si>
  <si>
    <t>보린</t>
  </si>
  <si>
    <t>MT-STALens-20</t>
  </si>
  <si>
    <t>STA 20도 렌즈</t>
  </si>
  <si>
    <t>MT-STALens-35</t>
  </si>
  <si>
    <t>STA 30도 렌즈</t>
  </si>
  <si>
    <t>참테크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</si>
</sst>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0.0000_ "/>
    <numFmt numFmtId="177" formatCode="_-* #,##0_-;\-* #,##0_-;_-* &quot;-&quot;??_-;_-@_-"/>
  </numFmts>
  <fonts count="6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3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name val="바탕체"/>
      <family val="1"/>
      <charset val="129"/>
    </font>
    <font>
      <sz val="1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Calibri"/>
      <family val="2"/>
      <charset val="204"/>
    </font>
    <font>
      <b/>
      <sz val="12"/>
      <color rgb="FFFF000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sz val="14"/>
      <color rgb="FFFF000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204"/>
    </font>
    <font>
      <sz val="11"/>
      <color theme="1"/>
      <name val="Arial Unicode MS"/>
      <family val="3"/>
      <charset val="129"/>
    </font>
    <font>
      <sz val="10"/>
      <color theme="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Meiryo"/>
      <family val="2"/>
      <charset val="128"/>
    </font>
    <font>
      <sz val="11"/>
      <color theme="1"/>
      <name val="맑은 고딕"/>
      <family val="2"/>
      <charset val="129"/>
    </font>
    <font>
      <b/>
      <u/>
      <sz val="30"/>
      <color theme="1"/>
      <name val="Meiryo"/>
      <family val="2"/>
      <charset val="128"/>
    </font>
    <font>
      <b/>
      <u/>
      <sz val="30"/>
      <color theme="1"/>
      <name val="맑은 고딕"/>
      <family val="3"/>
      <charset val="129"/>
    </font>
    <font>
      <sz val="10"/>
      <color theme="1"/>
      <name val="Meiryo"/>
      <family val="2"/>
      <charset val="128"/>
    </font>
    <font>
      <sz val="11"/>
      <color rgb="FFFF0000"/>
      <name val="Meiryo"/>
      <family val="2"/>
      <charset val="128"/>
    </font>
    <font>
      <sz val="11"/>
      <color rgb="FF0000FF"/>
      <name val="Meiryo"/>
      <family val="2"/>
      <charset val="128"/>
    </font>
    <font>
      <b/>
      <sz val="13"/>
      <color rgb="FFFF0000"/>
      <name val="Meiryo"/>
      <family val="2"/>
      <charset val="128"/>
    </font>
    <font>
      <sz val="11"/>
      <color theme="1"/>
      <name val="굴림"/>
      <family val="2"/>
      <charset val="129"/>
    </font>
    <font>
      <sz val="11"/>
      <color theme="1"/>
      <name val="굴림"/>
      <family val="3"/>
      <charset val="129"/>
    </font>
    <font>
      <sz val="11"/>
      <color theme="1"/>
      <name val="Arial Unicode MS"/>
      <family val="2"/>
      <charset val="129"/>
    </font>
    <font>
      <b/>
      <sz val="13"/>
      <color rgb="FF0000FF"/>
      <name val="Meiryo"/>
      <family val="2"/>
      <charset val="128"/>
    </font>
    <font>
      <b/>
      <sz val="11"/>
      <color rgb="FF0000FF"/>
      <name val="Meiryo"/>
      <family val="2"/>
      <charset val="128"/>
    </font>
    <font>
      <b/>
      <sz val="11"/>
      <color rgb="FF0000FF"/>
      <name val="굴림"/>
      <family val="2"/>
      <charset val="129"/>
    </font>
    <font>
      <sz val="8.8000000000000007"/>
      <color theme="1"/>
      <name val="Meiryo"/>
      <family val="2"/>
      <charset val="128"/>
    </font>
    <font>
      <sz val="11"/>
      <color theme="1"/>
      <name val="돋움"/>
      <family val="3"/>
      <charset val="129"/>
    </font>
    <font>
      <sz val="11"/>
      <color theme="1"/>
      <name val="새굴림"/>
      <family val="2"/>
      <charset val="129"/>
    </font>
    <font>
      <sz val="11"/>
      <color theme="1"/>
      <name val="Meiryo"/>
      <family val="3"/>
      <charset val="129"/>
    </font>
    <font>
      <sz val="11"/>
      <color theme="1"/>
      <name val="새굴림"/>
      <family val="1"/>
      <charset val="129"/>
    </font>
    <font>
      <sz val="11"/>
      <color theme="1"/>
      <name val="Meiryo"/>
      <family val="1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Malgun Gothic Semilight"/>
      <family val="2"/>
      <charset val="129"/>
    </font>
    <font>
      <sz val="11"/>
      <color theme="1"/>
      <name val="맑은 고딕 Semilight"/>
      <family val="2"/>
      <charset val="129"/>
    </font>
    <font>
      <sz val="11"/>
      <color theme="1"/>
      <name val="Meiryo"/>
      <family val="2"/>
      <charset val="129"/>
    </font>
    <font>
      <sz val="14"/>
      <color theme="1"/>
      <name val="Meiryo"/>
      <family val="2"/>
      <charset val="128"/>
    </font>
    <font>
      <b/>
      <sz val="14"/>
      <color rgb="FFFF0000"/>
      <name val="Meiryo"/>
      <family val="2"/>
      <charset val="128"/>
    </font>
    <font>
      <b/>
      <sz val="12"/>
      <color rgb="FF0000FF"/>
      <name val="Meiryo"/>
      <family val="2"/>
      <charset val="128"/>
    </font>
    <font>
      <b/>
      <sz val="12"/>
      <color rgb="FF0000FF"/>
      <name val="새굴림"/>
      <family val="2"/>
      <charset val="129"/>
    </font>
    <font>
      <b/>
      <sz val="14"/>
      <color rgb="FF0000FF"/>
      <name val="Meiryo"/>
      <family val="2"/>
      <charset val="128"/>
    </font>
    <font>
      <b/>
      <sz val="11"/>
      <color rgb="FF0000FF"/>
      <name val="맑은 고딕"/>
      <family val="3"/>
      <charset val="129"/>
      <scheme val="minor"/>
    </font>
    <font>
      <b/>
      <sz val="18"/>
      <color rgb="FF0000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Calibri"/>
      <family val="3"/>
      <charset val="204"/>
    </font>
    <font>
      <sz val="11"/>
      <color theme="1"/>
      <name val="Calibri"/>
      <family val="3"/>
    </font>
    <font>
      <sz val="9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Calibri"/>
      <family val="3"/>
      <charset val="161"/>
    </font>
    <font>
      <sz val="11"/>
      <color theme="1"/>
      <name val="맑은 고딕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0" borderId="0"/>
    <xf numFmtId="176" fontId="4" fillId="0" borderId="0" applyFont="0" applyFill="0" applyBorder="0" applyAlignment="0" applyProtection="0"/>
    <xf numFmtId="0" fontId="23" fillId="0" borderId="0">
      <alignment vertical="center"/>
    </xf>
  </cellStyleXfs>
  <cellXfs count="36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1" fontId="0" fillId="0" borderId="10" xfId="1" applyFont="1" applyFill="1" applyBorder="1" applyAlignment="1">
      <alignment horizontal="center" vertical="center"/>
    </xf>
    <xf numFmtId="41" fontId="0" fillId="0" borderId="17" xfId="1" applyFont="1" applyFill="1" applyBorder="1" applyAlignment="1">
      <alignment horizontal="center" vertical="center"/>
    </xf>
    <xf numFmtId="41" fontId="0" fillId="0" borderId="3" xfId="1" applyFont="1" applyFill="1" applyBorder="1" applyAlignment="1">
      <alignment horizontal="center" vertical="center"/>
    </xf>
    <xf numFmtId="41" fontId="6" fillId="0" borderId="8" xfId="1" applyFont="1" applyBorder="1" applyAlignment="1">
      <alignment horizontal="center" vertical="center"/>
    </xf>
    <xf numFmtId="41" fontId="6" fillId="0" borderId="27" xfId="1" applyFont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0" fillId="0" borderId="12" xfId="1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41" fontId="0" fillId="0" borderId="15" xfId="1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41" fontId="2" fillId="0" borderId="0" xfId="1" applyFont="1" applyFill="1" applyAlignment="1">
      <alignment vertical="center"/>
    </xf>
    <xf numFmtId="41" fontId="7" fillId="0" borderId="0" xfId="1" applyFont="1" applyFill="1" applyAlignment="1">
      <alignment horizontal="center" vertical="center"/>
    </xf>
    <xf numFmtId="41" fontId="7" fillId="0" borderId="25" xfId="1" applyFont="1" applyFill="1" applyBorder="1" applyAlignment="1">
      <alignment horizontal="center" vertical="center"/>
    </xf>
    <xf numFmtId="41" fontId="7" fillId="0" borderId="10" xfId="1" applyFont="1" applyFill="1" applyBorder="1" applyAlignment="1">
      <alignment horizontal="center" vertical="center"/>
    </xf>
    <xf numFmtId="41" fontId="7" fillId="0" borderId="12" xfId="1" applyFont="1" applyFill="1" applyBorder="1" applyAlignment="1">
      <alignment horizontal="center" vertical="center"/>
    </xf>
    <xf numFmtId="41" fontId="7" fillId="0" borderId="17" xfId="1" applyFont="1" applyFill="1" applyBorder="1" applyAlignment="1">
      <alignment horizontal="center" vertical="center"/>
    </xf>
    <xf numFmtId="41" fontId="7" fillId="0" borderId="2" xfId="1" applyFont="1" applyFill="1" applyBorder="1" applyAlignment="1">
      <alignment horizontal="center" vertical="center"/>
    </xf>
    <xf numFmtId="41" fontId="7" fillId="0" borderId="3" xfId="1" applyFont="1" applyBorder="1" applyAlignment="1">
      <alignment horizontal="center" vertical="center"/>
    </xf>
    <xf numFmtId="41" fontId="7" fillId="0" borderId="12" xfId="1" applyFont="1" applyBorder="1" applyAlignment="1">
      <alignment horizontal="center" vertical="center"/>
    </xf>
    <xf numFmtId="41" fontId="7" fillId="0" borderId="10" xfId="1" applyFont="1" applyBorder="1" applyAlignment="1">
      <alignment horizontal="center" vertical="center"/>
    </xf>
    <xf numFmtId="41" fontId="0" fillId="0" borderId="32" xfId="1" applyFont="1" applyFill="1" applyBorder="1" applyAlignment="1">
      <alignment horizontal="center" vertical="center"/>
    </xf>
    <xf numFmtId="41" fontId="0" fillId="0" borderId="7" xfId="1" applyFont="1" applyFill="1" applyBorder="1" applyAlignment="1">
      <alignment horizontal="center" vertical="center"/>
    </xf>
    <xf numFmtId="41" fontId="0" fillId="0" borderId="0" xfId="1" applyFont="1" applyFill="1" applyAlignment="1">
      <alignment horizontal="center" vertical="center"/>
    </xf>
    <xf numFmtId="41" fontId="10" fillId="0" borderId="0" xfId="1" applyFont="1" applyAlignment="1">
      <alignment horizontal="center" vertical="center"/>
    </xf>
    <xf numFmtId="41" fontId="10" fillId="0" borderId="0" xfId="1" applyFont="1" applyFill="1" applyAlignment="1">
      <alignment horizontal="center" vertical="center"/>
    </xf>
    <xf numFmtId="41" fontId="14" fillId="0" borderId="0" xfId="1" applyFont="1" applyFill="1" applyAlignment="1">
      <alignment vertical="center"/>
    </xf>
    <xf numFmtId="0" fontId="5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41" fontId="7" fillId="0" borderId="15" xfId="1" applyFont="1" applyFill="1" applyBorder="1" applyAlignment="1">
      <alignment horizontal="center" vertical="center"/>
    </xf>
    <xf numFmtId="41" fontId="14" fillId="0" borderId="36" xfId="1" applyFont="1" applyFill="1" applyBorder="1" applyAlignment="1">
      <alignment vertical="center"/>
    </xf>
    <xf numFmtId="0" fontId="0" fillId="0" borderId="1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41" fontId="0" fillId="0" borderId="12" xfId="0" applyNumberFormat="1" applyBorder="1" applyAlignment="1">
      <alignment horizontal="center" vertical="center"/>
    </xf>
    <xf numFmtId="41" fontId="0" fillId="0" borderId="10" xfId="0" applyNumberFormat="1" applyBorder="1" applyAlignment="1">
      <alignment horizontal="center" vertical="center"/>
    </xf>
    <xf numFmtId="41" fontId="0" fillId="0" borderId="15" xfId="0" applyNumberFormat="1" applyBorder="1" applyAlignment="1">
      <alignment horizontal="center" vertical="center"/>
    </xf>
    <xf numFmtId="41" fontId="0" fillId="0" borderId="34" xfId="1" applyFont="1" applyBorder="1" applyAlignment="1">
      <alignment horizontal="center" vertical="center"/>
    </xf>
    <xf numFmtId="41" fontId="0" fillId="0" borderId="3" xfId="0" applyNumberFormat="1" applyBorder="1" applyAlignment="1">
      <alignment horizontal="center" vertical="center"/>
    </xf>
    <xf numFmtId="41" fontId="0" fillId="0" borderId="32" xfId="0" applyNumberFormat="1" applyBorder="1" applyAlignment="1">
      <alignment horizontal="center" vertical="center"/>
    </xf>
    <xf numFmtId="41" fontId="14" fillId="0" borderId="36" xfId="0" applyNumberFormat="1" applyFont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41" fontId="7" fillId="3" borderId="12" xfId="1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41" fontId="2" fillId="0" borderId="0" xfId="1" applyFont="1" applyAlignment="1">
      <alignment vertical="center"/>
    </xf>
    <xf numFmtId="41" fontId="0" fillId="0" borderId="2" xfId="1" applyFont="1" applyFill="1" applyBorder="1" applyAlignment="1">
      <alignment horizontal="center" vertical="center"/>
    </xf>
    <xf numFmtId="41" fontId="15" fillId="0" borderId="36" xfId="0" applyNumberFormat="1" applyFont="1" applyBorder="1" applyAlignment="1">
      <alignment horizontal="center" vertical="center"/>
    </xf>
    <xf numFmtId="41" fontId="16" fillId="0" borderId="36" xfId="0" applyNumberFormat="1" applyFont="1" applyBorder="1" applyAlignment="1">
      <alignment horizontal="center" vertical="center"/>
    </xf>
    <xf numFmtId="41" fontId="13" fillId="0" borderId="36" xfId="0" applyNumberFormat="1" applyFont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41" fontId="7" fillId="4" borderId="12" xfId="1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 wrapText="1"/>
    </xf>
    <xf numFmtId="41" fontId="0" fillId="4" borderId="12" xfId="1" applyFont="1" applyFill="1" applyBorder="1" applyAlignment="1">
      <alignment horizontal="center" vertical="center"/>
    </xf>
    <xf numFmtId="41" fontId="0" fillId="4" borderId="12" xfId="0" applyNumberForma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41" fontId="17" fillId="0" borderId="10" xfId="1" applyFont="1" applyBorder="1" applyAlignment="1">
      <alignment horizontal="center" vertical="center"/>
    </xf>
    <xf numFmtId="177" fontId="17" fillId="0" borderId="10" xfId="0" applyNumberFormat="1" applyFont="1" applyBorder="1" applyAlignment="1">
      <alignment horizontal="center" vertical="center"/>
    </xf>
    <xf numFmtId="41" fontId="17" fillId="0" borderId="15" xfId="1" applyFont="1" applyBorder="1" applyAlignment="1">
      <alignment horizontal="center" vertical="center"/>
    </xf>
    <xf numFmtId="177" fontId="17" fillId="0" borderId="15" xfId="0" applyNumberFormat="1" applyFont="1" applyBorder="1" applyAlignment="1">
      <alignment horizontal="center" vertical="center"/>
    </xf>
    <xf numFmtId="177" fontId="17" fillId="0" borderId="32" xfId="0" applyNumberFormat="1" applyFont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41" fontId="22" fillId="4" borderId="12" xfId="1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10" fillId="0" borderId="12" xfId="0" applyFont="1" applyBorder="1" applyAlignment="1">
      <alignment horizontal="center"/>
    </xf>
    <xf numFmtId="41" fontId="0" fillId="0" borderId="12" xfId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41" fontId="24" fillId="0" borderId="36" xfId="0" applyNumberFormat="1" applyFont="1" applyBorder="1" applyAlignment="1">
      <alignment horizontal="center" vertical="center"/>
    </xf>
    <xf numFmtId="41" fontId="3" fillId="0" borderId="12" xfId="1" applyFont="1" applyFill="1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  <xf numFmtId="41" fontId="0" fillId="0" borderId="2" xfId="1" applyFont="1" applyBorder="1" applyAlignment="1">
      <alignment horizontal="center" vertical="center"/>
    </xf>
    <xf numFmtId="41" fontId="0" fillId="0" borderId="17" xfId="1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41" fontId="25" fillId="0" borderId="34" xfId="1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 wrapText="1"/>
    </xf>
    <xf numFmtId="41" fontId="25" fillId="0" borderId="12" xfId="1" applyFont="1" applyFill="1" applyBorder="1" applyAlignment="1">
      <alignment horizontal="center" vertical="center"/>
    </xf>
    <xf numFmtId="41" fontId="25" fillId="0" borderId="12" xfId="0" applyNumberFormat="1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41" fontId="25" fillId="0" borderId="0" xfId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41" fontId="30" fillId="0" borderId="10" xfId="1" applyFont="1" applyFill="1" applyBorder="1" applyAlignment="1">
      <alignment horizontal="center" vertical="center"/>
    </xf>
    <xf numFmtId="41" fontId="30" fillId="0" borderId="12" xfId="1" applyFont="1" applyFill="1" applyBorder="1" applyAlignment="1">
      <alignment horizontal="center" vertical="center"/>
    </xf>
    <xf numFmtId="41" fontId="30" fillId="0" borderId="10" xfId="0" applyNumberFormat="1" applyFont="1" applyBorder="1" applyAlignment="1">
      <alignment horizontal="center" vertical="center"/>
    </xf>
    <xf numFmtId="41" fontId="30" fillId="0" borderId="12" xfId="0" applyNumberFormat="1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41" fontId="30" fillId="0" borderId="0" xfId="1" applyFont="1" applyFill="1" applyBorder="1" applyAlignment="1">
      <alignment horizontal="center" vertical="center"/>
    </xf>
    <xf numFmtId="41" fontId="30" fillId="0" borderId="0" xfId="0" applyNumberFormat="1" applyFont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41" fontId="25" fillId="0" borderId="15" xfId="1" applyFont="1" applyFill="1" applyBorder="1" applyAlignment="1">
      <alignment horizontal="center" vertical="center"/>
    </xf>
    <xf numFmtId="41" fontId="25" fillId="0" borderId="15" xfId="0" applyNumberFormat="1" applyFont="1" applyBorder="1" applyAlignment="1">
      <alignment horizontal="center" vertical="center"/>
    </xf>
    <xf numFmtId="41" fontId="32" fillId="0" borderId="36" xfId="0" applyNumberFormat="1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0" xfId="0" applyFont="1">
      <alignment vertical="center"/>
    </xf>
    <xf numFmtId="0" fontId="25" fillId="0" borderId="23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 wrapText="1"/>
    </xf>
    <xf numFmtId="41" fontId="25" fillId="0" borderId="17" xfId="1" applyFont="1" applyFill="1" applyBorder="1" applyAlignment="1">
      <alignment horizontal="center" vertical="center"/>
    </xf>
    <xf numFmtId="41" fontId="25" fillId="0" borderId="17" xfId="0" applyNumberFormat="1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177" fontId="25" fillId="0" borderId="0" xfId="0" applyNumberFormat="1" applyFont="1" applyAlignment="1">
      <alignment horizontal="center" vertical="center"/>
    </xf>
    <xf numFmtId="177" fontId="36" fillId="0" borderId="36" xfId="0" applyNumberFormat="1" applyFont="1" applyBorder="1" applyAlignment="1">
      <alignment horizontal="center" vertical="center"/>
    </xf>
    <xf numFmtId="41" fontId="37" fillId="0" borderId="0" xfId="1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25" fillId="6" borderId="12" xfId="0" applyFont="1" applyFill="1" applyBorder="1" applyAlignment="1">
      <alignment horizontal="center" vertical="center"/>
    </xf>
    <xf numFmtId="0" fontId="25" fillId="6" borderId="12" xfId="0" applyFont="1" applyFill="1" applyBorder="1" applyAlignment="1">
      <alignment horizontal="center" vertical="center" wrapText="1"/>
    </xf>
    <xf numFmtId="41" fontId="25" fillId="6" borderId="12" xfId="1" applyFont="1" applyFill="1" applyBorder="1" applyAlignment="1">
      <alignment horizontal="center" vertical="center"/>
    </xf>
    <xf numFmtId="41" fontId="25" fillId="6" borderId="12" xfId="0" applyNumberFormat="1" applyFont="1" applyFill="1" applyBorder="1" applyAlignment="1">
      <alignment horizontal="center" vertical="center"/>
    </xf>
    <xf numFmtId="0" fontId="25" fillId="6" borderId="20" xfId="0" applyFont="1" applyFill="1" applyBorder="1" applyAlignment="1">
      <alignment horizontal="center" vertical="center"/>
    </xf>
    <xf numFmtId="0" fontId="25" fillId="3" borderId="18" xfId="0" applyFont="1" applyFill="1" applyBorder="1" applyAlignment="1">
      <alignment horizontal="center" vertical="center"/>
    </xf>
    <xf numFmtId="0" fontId="25" fillId="3" borderId="15" xfId="0" applyFont="1" applyFill="1" applyBorder="1" applyAlignment="1">
      <alignment horizontal="center" vertical="center"/>
    </xf>
    <xf numFmtId="0" fontId="25" fillId="3" borderId="15" xfId="0" applyFont="1" applyFill="1" applyBorder="1" applyAlignment="1">
      <alignment horizontal="center" vertical="center" wrapText="1"/>
    </xf>
    <xf numFmtId="0" fontId="25" fillId="3" borderId="19" xfId="0" applyFont="1" applyFill="1" applyBorder="1" applyAlignment="1">
      <alignment horizontal="center" vertical="center"/>
    </xf>
    <xf numFmtId="41" fontId="30" fillId="6" borderId="12" xfId="0" applyNumberFormat="1" applyFont="1" applyFill="1" applyBorder="1" applyAlignment="1">
      <alignment horizontal="center" vertical="center"/>
    </xf>
    <xf numFmtId="0" fontId="25" fillId="6" borderId="21" xfId="0" applyFont="1" applyFill="1" applyBorder="1" applyAlignment="1">
      <alignment horizontal="center" vertical="center"/>
    </xf>
    <xf numFmtId="0" fontId="25" fillId="6" borderId="3" xfId="0" applyFont="1" applyFill="1" applyBorder="1" applyAlignment="1">
      <alignment horizontal="center" vertical="center"/>
    </xf>
    <xf numFmtId="41" fontId="30" fillId="6" borderId="12" xfId="1" applyFont="1" applyFill="1" applyBorder="1" applyAlignment="1">
      <alignment horizontal="center" vertical="center"/>
    </xf>
    <xf numFmtId="0" fontId="49" fillId="6" borderId="12" xfId="0" applyFont="1" applyFill="1" applyBorder="1" applyAlignment="1">
      <alignment horizontal="center" vertical="center"/>
    </xf>
    <xf numFmtId="0" fontId="44" fillId="6" borderId="12" xfId="0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41" fontId="51" fillId="0" borderId="36" xfId="0" applyNumberFormat="1" applyFont="1" applyBorder="1" applyAlignment="1">
      <alignment horizontal="center" vertical="center"/>
    </xf>
    <xf numFmtId="0" fontId="50" fillId="0" borderId="0" xfId="0" applyFont="1">
      <alignment vertical="center"/>
    </xf>
    <xf numFmtId="41" fontId="52" fillId="0" borderId="0" xfId="1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41" fontId="54" fillId="0" borderId="0" xfId="0" applyNumberFormat="1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41" fontId="56" fillId="0" borderId="0" xfId="0" applyNumberFormat="1" applyFont="1" applyAlignment="1">
      <alignment horizontal="center" vertical="center"/>
    </xf>
    <xf numFmtId="0" fontId="55" fillId="0" borderId="0" xfId="0" applyFont="1" applyAlignment="1">
      <alignment horizontal="left" vertical="center"/>
    </xf>
    <xf numFmtId="41" fontId="57" fillId="0" borderId="0" xfId="1" applyFont="1" applyFill="1" applyAlignment="1">
      <alignment horizontal="center" vertical="center"/>
    </xf>
    <xf numFmtId="177" fontId="58" fillId="0" borderId="0" xfId="0" applyNumberFormat="1" applyFont="1" applyAlignment="1">
      <alignment horizontal="center" vertical="center"/>
    </xf>
    <xf numFmtId="41" fontId="0" fillId="0" borderId="0" xfId="1" applyFont="1">
      <alignment vertical="center"/>
    </xf>
    <xf numFmtId="0" fontId="0" fillId="0" borderId="12" xfId="0" applyBorder="1">
      <alignment vertical="center"/>
    </xf>
    <xf numFmtId="2" fontId="0" fillId="0" borderId="12" xfId="0" applyNumberFormat="1" applyBorder="1">
      <alignment vertical="center"/>
    </xf>
    <xf numFmtId="41" fontId="0" fillId="0" borderId="12" xfId="1" applyFont="1" applyBorder="1">
      <alignment vertical="center"/>
    </xf>
    <xf numFmtId="41" fontId="61" fillId="0" borderId="12" xfId="1" applyFont="1" applyBorder="1" applyAlignment="1">
      <alignment horizontal="center" vertical="center"/>
    </xf>
    <xf numFmtId="0" fontId="19" fillId="0" borderId="10" xfId="0" applyFont="1" applyBorder="1">
      <alignment vertical="center"/>
    </xf>
    <xf numFmtId="0" fontId="0" fillId="0" borderId="10" xfId="0" applyBorder="1">
      <alignment vertical="center"/>
    </xf>
    <xf numFmtId="2" fontId="0" fillId="0" borderId="10" xfId="0" applyNumberFormat="1" applyBorder="1">
      <alignment vertical="center"/>
    </xf>
    <xf numFmtId="41" fontId="0" fillId="0" borderId="11" xfId="1" applyFont="1" applyBorder="1">
      <alignment vertical="center"/>
    </xf>
    <xf numFmtId="41" fontId="7" fillId="0" borderId="20" xfId="1" applyFont="1" applyBorder="1">
      <alignment vertical="center"/>
    </xf>
    <xf numFmtId="41" fontId="0" fillId="0" borderId="20" xfId="1" applyFont="1" applyBorder="1">
      <alignment vertical="center"/>
    </xf>
    <xf numFmtId="41" fontId="30" fillId="3" borderId="15" xfId="0" applyNumberFormat="1" applyFont="1" applyFill="1" applyBorder="1" applyAlignment="1">
      <alignment horizontal="center" vertical="center"/>
    </xf>
    <xf numFmtId="41" fontId="30" fillId="3" borderId="15" xfId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1" fontId="25" fillId="0" borderId="0" xfId="0" applyNumberFormat="1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41" fontId="0" fillId="0" borderId="19" xfId="1" applyFont="1" applyBorder="1">
      <alignment vertical="center"/>
    </xf>
    <xf numFmtId="41" fontId="0" fillId="0" borderId="22" xfId="1" applyFont="1" applyBorder="1">
      <alignment vertical="center"/>
    </xf>
    <xf numFmtId="41" fontId="0" fillId="0" borderId="57" xfId="1" applyFont="1" applyBorder="1">
      <alignment vertical="center"/>
    </xf>
    <xf numFmtId="0" fontId="0" fillId="0" borderId="48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0" xfId="0" applyAlignment="1"/>
    <xf numFmtId="41" fontId="62" fillId="0" borderId="0" xfId="1" applyFont="1">
      <alignment vertical="center"/>
    </xf>
    <xf numFmtId="0" fontId="0" fillId="3" borderId="0" xfId="0" applyFill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6" fillId="0" borderId="12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1" fontId="14" fillId="0" borderId="52" xfId="1" applyFont="1" applyFill="1" applyBorder="1" applyAlignment="1">
      <alignment vertical="center"/>
    </xf>
    <xf numFmtId="41" fontId="0" fillId="0" borderId="3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41" fontId="17" fillId="0" borderId="43" xfId="1" applyFont="1" applyBorder="1" applyAlignment="1">
      <alignment horizontal="center" vertical="center"/>
    </xf>
    <xf numFmtId="41" fontId="17" fillId="0" borderId="44" xfId="1" applyFont="1" applyBorder="1" applyAlignment="1">
      <alignment horizontal="center" vertical="center"/>
    </xf>
    <xf numFmtId="41" fontId="17" fillId="0" borderId="27" xfId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41" fontId="10" fillId="0" borderId="6" xfId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41" fontId="0" fillId="0" borderId="6" xfId="1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1" fontId="7" fillId="0" borderId="17" xfId="1" applyFont="1" applyBorder="1" applyAlignment="1">
      <alignment horizontal="center" vertical="center"/>
    </xf>
    <xf numFmtId="41" fontId="7" fillId="0" borderId="7" xfId="1" applyFont="1" applyBorder="1" applyAlignment="1">
      <alignment horizontal="center" vertical="center"/>
    </xf>
    <xf numFmtId="41" fontId="7" fillId="0" borderId="3" xfId="1" applyFont="1" applyBorder="1" applyAlignment="1">
      <alignment horizontal="center" vertical="center"/>
    </xf>
    <xf numFmtId="41" fontId="7" fillId="0" borderId="17" xfId="1" applyFont="1" applyFill="1" applyBorder="1" applyAlignment="1">
      <alignment horizontal="center" vertical="center"/>
    </xf>
    <xf numFmtId="41" fontId="7" fillId="0" borderId="7" xfId="1" applyFont="1" applyFill="1" applyBorder="1" applyAlignment="1">
      <alignment horizontal="center" vertical="center"/>
    </xf>
    <xf numFmtId="41" fontId="7" fillId="0" borderId="3" xfId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41" fontId="0" fillId="0" borderId="17" xfId="1" applyFont="1" applyFill="1" applyBorder="1" applyAlignment="1">
      <alignment horizontal="center" vertical="center"/>
    </xf>
    <xf numFmtId="41" fontId="0" fillId="0" borderId="7" xfId="1" applyFont="1" applyFill="1" applyBorder="1" applyAlignment="1">
      <alignment horizontal="center" vertical="center"/>
    </xf>
    <xf numFmtId="41" fontId="0" fillId="0" borderId="3" xfId="1" applyFont="1" applyFill="1" applyBorder="1" applyAlignment="1">
      <alignment horizontal="center" vertical="center"/>
    </xf>
    <xf numFmtId="41" fontId="0" fillId="0" borderId="17" xfId="0" applyNumberFormat="1" applyBorder="1" applyAlignment="1">
      <alignment horizontal="center" vertical="center"/>
    </xf>
    <xf numFmtId="41" fontId="0" fillId="0" borderId="7" xfId="0" applyNumberFormat="1" applyBorder="1" applyAlignment="1">
      <alignment horizontal="center" vertical="center"/>
    </xf>
    <xf numFmtId="41" fontId="0" fillId="0" borderId="3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12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41" fontId="3" fillId="0" borderId="17" xfId="1" applyFont="1" applyFill="1" applyBorder="1" applyAlignment="1">
      <alignment horizontal="center" vertical="center"/>
    </xf>
    <xf numFmtId="41" fontId="3" fillId="0" borderId="7" xfId="1" applyFont="1" applyFill="1" applyBorder="1" applyAlignment="1">
      <alignment horizontal="center" vertical="center"/>
    </xf>
    <xf numFmtId="41" fontId="3" fillId="0" borderId="3" xfId="1" applyFont="1" applyFill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17" fillId="0" borderId="55" xfId="0" applyFont="1" applyBorder="1" applyAlignment="1">
      <alignment horizontal="center" vertical="center"/>
    </xf>
    <xf numFmtId="0" fontId="17" fillId="0" borderId="56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41" fontId="17" fillId="0" borderId="45" xfId="1" applyFont="1" applyBorder="1" applyAlignment="1">
      <alignment horizontal="center" vertical="center"/>
    </xf>
    <xf numFmtId="41" fontId="17" fillId="0" borderId="51" xfId="1" applyFont="1" applyBorder="1" applyAlignment="1">
      <alignment horizontal="center" vertical="center"/>
    </xf>
    <xf numFmtId="41" fontId="17" fillId="0" borderId="52" xfId="1" applyFont="1" applyBorder="1" applyAlignment="1">
      <alignment horizontal="center" vertical="center"/>
    </xf>
    <xf numFmtId="41" fontId="22" fillId="0" borderId="17" xfId="1" applyFont="1" applyFill="1" applyBorder="1" applyAlignment="1">
      <alignment horizontal="center" vertical="center"/>
    </xf>
    <xf numFmtId="41" fontId="22" fillId="0" borderId="7" xfId="1" applyFont="1" applyFill="1" applyBorder="1" applyAlignment="1">
      <alignment horizontal="center" vertical="center"/>
    </xf>
    <xf numFmtId="41" fontId="22" fillId="0" borderId="3" xfId="1" applyFont="1" applyFill="1" applyBorder="1" applyAlignment="1">
      <alignment horizontal="center" vertical="center"/>
    </xf>
    <xf numFmtId="0" fontId="29" fillId="0" borderId="12" xfId="0" applyFont="1" applyBorder="1" applyAlignment="1">
      <alignment horizontal="center"/>
    </xf>
    <xf numFmtId="0" fontId="29" fillId="0" borderId="29" xfId="0" applyFont="1" applyBorder="1" applyAlignment="1">
      <alignment horizontal="center"/>
    </xf>
    <xf numFmtId="0" fontId="29" fillId="0" borderId="5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41" fontId="14" fillId="0" borderId="30" xfId="1" applyFont="1" applyBorder="1" applyAlignment="1">
      <alignment horizontal="center" vertical="center"/>
    </xf>
    <xf numFmtId="41" fontId="14" fillId="0" borderId="54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2" fillId="0" borderId="30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0" fontId="62" fillId="0" borderId="49" xfId="0" applyFont="1" applyBorder="1" applyAlignment="1">
      <alignment horizontal="center" vertical="center"/>
    </xf>
    <xf numFmtId="0" fontId="62" fillId="0" borderId="15" xfId="0" applyFont="1" applyBorder="1" applyAlignment="1">
      <alignment horizontal="center" vertical="center"/>
    </xf>
    <xf numFmtId="41" fontId="14" fillId="0" borderId="15" xfId="1" applyFont="1" applyBorder="1" applyAlignment="1">
      <alignment horizontal="center" vertical="center"/>
    </xf>
    <xf numFmtId="41" fontId="14" fillId="0" borderId="19" xfId="1" applyFont="1" applyBorder="1" applyAlignment="1">
      <alignment horizontal="center" vertical="center"/>
    </xf>
    <xf numFmtId="0" fontId="29" fillId="0" borderId="6" xfId="0" applyFont="1" applyBorder="1" applyAlignment="1">
      <alignment horizontal="center"/>
    </xf>
    <xf numFmtId="0" fontId="0" fillId="4" borderId="1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0" fillId="0" borderId="65" xfId="0" applyBorder="1" applyAlignment="1">
      <alignment horizontal="center" vertical="center"/>
    </xf>
    <xf numFmtId="41" fontId="0" fillId="0" borderId="65" xfId="1" applyFont="1" applyFill="1" applyBorder="1" applyAlignment="1">
      <alignment horizontal="center" vertical="center"/>
    </xf>
    <xf numFmtId="41" fontId="0" fillId="0" borderId="65" xfId="0" applyNumberFormat="1" applyBorder="1" applyAlignment="1">
      <alignment horizontal="center" vertical="center"/>
    </xf>
    <xf numFmtId="0" fontId="0" fillId="0" borderId="65" xfId="0" applyBorder="1" applyAlignment="1">
      <alignment horizontal="center" vertical="center" wrapText="1"/>
    </xf>
    <xf numFmtId="41" fontId="3" fillId="0" borderId="65" xfId="1" applyFont="1" applyFill="1" applyBorder="1" applyAlignment="1">
      <alignment horizontal="center" vertical="center"/>
    </xf>
  </cellXfs>
  <cellStyles count="5">
    <cellStyle name="쉼표 [0]" xfId="1" builtinId="6"/>
    <cellStyle name="쉼표 [0] 8" xfId="3"/>
    <cellStyle name="표준" xfId="0" builtinId="0"/>
    <cellStyle name="표준 2" xfId="2"/>
    <cellStyle name="표준 3" xfId="4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299357</xdr:colOff>
      <xdr:row>129</xdr:row>
      <xdr:rowOff>163285</xdr:rowOff>
    </xdr:from>
    <xdr:to>
      <xdr:col>19</xdr:col>
      <xdr:colOff>471716</xdr:colOff>
      <xdr:row>146</xdr:row>
      <xdr:rowOff>164798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5A641A7-2BDA-4943-9E72-10ABFC39E66E}"/>
            </a:ext>
          </a:extLst>
        </xdr:cNvPr>
        <xdr:cNvSpPr/>
      </xdr:nvSpPr>
      <xdr:spPr>
        <a:xfrm>
          <a:off x="14654893" y="1170214"/>
          <a:ext cx="5098144" cy="347133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chemeClr val="tx1"/>
              </a:solidFill>
            </a:rPr>
            <a:t>운반비</a:t>
          </a:r>
          <a:r>
            <a:rPr lang="en-US" altLang="ko-KR" sz="1400" b="1">
              <a:solidFill>
                <a:schemeClr val="tx1"/>
              </a:solidFill>
            </a:rPr>
            <a:t>/</a:t>
          </a:r>
          <a:r>
            <a:rPr lang="ko-KR" altLang="en-US" sz="1400" b="1">
              <a:solidFill>
                <a:schemeClr val="tx1"/>
              </a:solidFill>
            </a:rPr>
            <a:t>장비  </a:t>
          </a:r>
          <a:r>
            <a:rPr lang="en-US" altLang="ko-KR" sz="1400" b="1">
              <a:solidFill>
                <a:schemeClr val="tx1"/>
              </a:solidFill>
            </a:rPr>
            <a:t>:  12M~18M - 500,000</a:t>
          </a:r>
          <a:r>
            <a:rPr lang="ko-KR" altLang="en-US" sz="1400" b="1">
              <a:solidFill>
                <a:schemeClr val="tx1"/>
              </a:solidFill>
            </a:rPr>
            <a:t>원</a:t>
          </a:r>
          <a:endParaRPr lang="en-US" altLang="ko-KR" sz="1400" b="1">
            <a:solidFill>
              <a:schemeClr val="tx1"/>
            </a:solidFill>
          </a:endParaRPr>
        </a:p>
        <a:p>
          <a:pPr algn="l"/>
          <a:r>
            <a:rPr lang="en-US" altLang="ko-KR" sz="1400" b="1">
              <a:solidFill>
                <a:schemeClr val="tx1"/>
              </a:solidFill>
            </a:rPr>
            <a:t>                             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20M~24M - 700,000</a:t>
          </a:r>
          <a:r>
            <a:rPr lang="ko-KR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원</a:t>
          </a:r>
          <a:endParaRPr lang="ko-KR" altLang="en-US" sz="1800" b="1">
            <a:solidFill>
              <a:schemeClr val="tx1"/>
            </a:solidFill>
          </a:endParaRPr>
        </a:p>
        <a:p>
          <a:pPr algn="l"/>
          <a:r>
            <a:rPr lang="ko-KR" altLang="en-US" sz="1400" b="1">
              <a:solidFill>
                <a:schemeClr val="tx1"/>
              </a:solidFill>
            </a:rPr>
            <a:t>                </a:t>
          </a:r>
        </a:p>
        <a:p>
          <a:pPr algn="l"/>
          <a:r>
            <a:rPr lang="ko-KR" altLang="en-US" sz="1400" b="1">
              <a:solidFill>
                <a:schemeClr val="tx1"/>
              </a:solidFill>
            </a:rPr>
            <a:t>경비</a:t>
          </a:r>
          <a:r>
            <a:rPr lang="en-US" altLang="ko-KR" sz="1400" b="1">
              <a:solidFill>
                <a:schemeClr val="tx1"/>
              </a:solidFill>
            </a:rPr>
            <a:t>:</a:t>
          </a:r>
          <a:r>
            <a:rPr lang="ko-KR" altLang="en-US" sz="1400" b="1">
              <a:solidFill>
                <a:schemeClr val="tx1"/>
              </a:solidFill>
            </a:rPr>
            <a:t>  </a:t>
          </a:r>
          <a:r>
            <a:rPr lang="en-US" altLang="ko-KR" sz="1400" b="1">
              <a:solidFill>
                <a:schemeClr val="tx1"/>
              </a:solidFill>
            </a:rPr>
            <a:t>7% (</a:t>
          </a:r>
          <a:r>
            <a:rPr lang="ko-KR" altLang="en-US" sz="1400" b="1">
              <a:solidFill>
                <a:schemeClr val="tx1"/>
              </a:solidFill>
            </a:rPr>
            <a:t>자재비의 </a:t>
          </a:r>
          <a:r>
            <a:rPr lang="en-US" altLang="ko-KR" sz="1400" b="1">
              <a:solidFill>
                <a:schemeClr val="tx1"/>
              </a:solidFill>
            </a:rPr>
            <a:t>7%)              </a:t>
          </a:r>
        </a:p>
        <a:p>
          <a:pPr algn="l"/>
          <a:r>
            <a:rPr lang="ko-KR" altLang="en-US" sz="1400" b="1">
              <a:solidFill>
                <a:schemeClr val="tx1"/>
              </a:solidFill>
            </a:rPr>
            <a:t>노무비</a:t>
          </a:r>
          <a:r>
            <a:rPr lang="en-US" altLang="ko-KR" sz="1400" b="1">
              <a:solidFill>
                <a:schemeClr val="tx1"/>
              </a:solidFill>
            </a:rPr>
            <a:t>(</a:t>
          </a:r>
          <a:r>
            <a:rPr lang="ko-KR" altLang="en-US" sz="1400" b="1">
              <a:solidFill>
                <a:schemeClr val="tx1"/>
              </a:solidFill>
            </a:rPr>
            <a:t>인건비</a:t>
          </a:r>
          <a:r>
            <a:rPr lang="en-US" altLang="ko-KR" sz="1400" b="1">
              <a:solidFill>
                <a:schemeClr val="tx1"/>
              </a:solidFill>
            </a:rPr>
            <a:t>):  20% ('</a:t>
          </a:r>
          <a:r>
            <a:rPr lang="ko-KR" altLang="en-US" sz="1400" b="1">
              <a:solidFill>
                <a:schemeClr val="tx1"/>
              </a:solidFill>
            </a:rPr>
            <a:t>자재비</a:t>
          </a:r>
          <a:r>
            <a:rPr lang="en-US" altLang="ko-KR" sz="1400" b="1">
              <a:solidFill>
                <a:schemeClr val="tx1"/>
              </a:solidFill>
            </a:rPr>
            <a:t>+</a:t>
          </a:r>
          <a:r>
            <a:rPr lang="ko-KR" altLang="en-US" sz="1400" b="1">
              <a:solidFill>
                <a:schemeClr val="tx1"/>
              </a:solidFill>
            </a:rPr>
            <a:t>경비</a:t>
          </a:r>
          <a:r>
            <a:rPr lang="en-US" altLang="ko-KR" sz="1400" b="1">
              <a:solidFill>
                <a:schemeClr val="tx1"/>
              </a:solidFill>
            </a:rPr>
            <a:t>'</a:t>
          </a:r>
          <a:r>
            <a:rPr lang="ko-KR" altLang="en-US" sz="1400" b="1">
              <a:solidFill>
                <a:schemeClr val="tx1"/>
              </a:solidFill>
            </a:rPr>
            <a:t> 총합의 </a:t>
          </a:r>
          <a:r>
            <a:rPr lang="en-US" altLang="ko-KR" sz="1400" b="1">
              <a:solidFill>
                <a:schemeClr val="tx1"/>
              </a:solidFill>
            </a:rPr>
            <a:t>15%)</a:t>
          </a:r>
        </a:p>
        <a:p>
          <a:pPr algn="l"/>
          <a:r>
            <a:rPr lang="ko-KR" altLang="en-US" sz="1400" b="1">
              <a:solidFill>
                <a:schemeClr val="tx1"/>
              </a:solidFill>
            </a:rPr>
            <a:t>이윤</a:t>
          </a:r>
          <a:r>
            <a:rPr lang="en-US" altLang="ko-KR" sz="1400" b="1">
              <a:solidFill>
                <a:schemeClr val="tx1"/>
              </a:solidFill>
            </a:rPr>
            <a:t>: </a:t>
          </a:r>
          <a:r>
            <a:rPr lang="ko-KR" altLang="en-US" sz="1400" b="1">
              <a:solidFill>
                <a:schemeClr val="tx1"/>
              </a:solidFill>
            </a:rPr>
            <a:t>  </a:t>
          </a:r>
          <a:r>
            <a:rPr lang="en-US" altLang="ko-KR" sz="1400" b="1">
              <a:solidFill>
                <a:schemeClr val="tx1"/>
              </a:solidFill>
            </a:rPr>
            <a:t>25% 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('</a:t>
          </a:r>
          <a:r>
            <a:rPr lang="ko-KR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자재비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</a:t>
          </a:r>
          <a:r>
            <a:rPr lang="ko-KR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경비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노무비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총합</a:t>
          </a:r>
          <a:r>
            <a:rPr lang="ko-KR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의 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25%)</a:t>
          </a:r>
          <a:endParaRPr lang="en-US" altLang="ko-KR" sz="1400" b="1">
            <a:solidFill>
              <a:schemeClr val="tx1"/>
            </a:solidFill>
          </a:endParaRPr>
        </a:p>
        <a:p>
          <a:pPr algn="l"/>
          <a:r>
            <a:rPr lang="ko-KR" altLang="en-US" sz="1400" b="1">
              <a:solidFill>
                <a:schemeClr val="tx1"/>
              </a:solidFill>
            </a:rPr>
            <a:t>부가세</a:t>
          </a:r>
          <a:r>
            <a:rPr lang="en-US" altLang="ko-KR" sz="1400" b="1">
              <a:solidFill>
                <a:schemeClr val="tx1"/>
              </a:solidFill>
            </a:rPr>
            <a:t>: </a:t>
          </a:r>
          <a:r>
            <a:rPr lang="ko-KR" altLang="en-US" sz="1400" b="1">
              <a:solidFill>
                <a:schemeClr val="tx1"/>
              </a:solidFill>
            </a:rPr>
            <a:t> </a:t>
          </a:r>
          <a:r>
            <a:rPr lang="en-US" altLang="ko-KR" sz="1400" b="1">
              <a:solidFill>
                <a:schemeClr val="tx1"/>
              </a:solidFill>
            </a:rPr>
            <a:t>10% </a:t>
          </a:r>
          <a:endParaRPr lang="ko-KR" altLang="en-US" sz="1400" b="1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476249</xdr:colOff>
      <xdr:row>43</xdr:row>
      <xdr:rowOff>137583</xdr:rowOff>
    </xdr:from>
    <xdr:to>
      <xdr:col>13</xdr:col>
      <xdr:colOff>1915584</xdr:colOff>
      <xdr:row>55</xdr:row>
      <xdr:rowOff>179917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1BD3814-AEC0-446A-BFB7-FAFBAE39B5D2}"/>
            </a:ext>
          </a:extLst>
        </xdr:cNvPr>
        <xdr:cNvSpPr/>
      </xdr:nvSpPr>
      <xdr:spPr>
        <a:xfrm>
          <a:off x="14393332" y="9620250"/>
          <a:ext cx="4254502" cy="347133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chemeClr val="tx1"/>
              </a:solidFill>
            </a:rPr>
            <a:t>도금비</a:t>
          </a:r>
          <a:r>
            <a:rPr lang="en-US" altLang="ko-KR" sz="1400" b="1">
              <a:solidFill>
                <a:schemeClr val="tx1"/>
              </a:solidFill>
            </a:rPr>
            <a:t>:  12B-60</a:t>
          </a:r>
          <a:r>
            <a:rPr lang="ko-KR" altLang="en-US" sz="1400" b="1">
              <a:solidFill>
                <a:schemeClr val="tx1"/>
              </a:solidFill>
            </a:rPr>
            <a:t>만원 </a:t>
          </a:r>
          <a:r>
            <a:rPr lang="en-US" altLang="ko-KR" sz="1400" b="1">
              <a:solidFill>
                <a:schemeClr val="tx1"/>
              </a:solidFill>
            </a:rPr>
            <a:t>. 15A/15B-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80</a:t>
          </a:r>
          <a:r>
            <a:rPr lang="ko-KR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만원</a:t>
          </a:r>
          <a:endParaRPr lang="en-US" altLang="ko-KR" sz="14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altLang="ko-KR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18A/18B-90</a:t>
          </a:r>
          <a:r>
            <a:rPr lang="ko-KR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만원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, 20A/20B-130</a:t>
          </a:r>
          <a:r>
            <a:rPr lang="ko-KR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만원</a:t>
          </a:r>
          <a:endParaRPr lang="ko-KR" altLang="en-US" sz="1400" b="1">
            <a:solidFill>
              <a:schemeClr val="tx1"/>
            </a:solidFill>
          </a:endParaRPr>
        </a:p>
        <a:p>
          <a:pPr algn="l"/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24A/24B-220</a:t>
          </a:r>
          <a:r>
            <a:rPr lang="ko-KR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만원</a:t>
          </a:r>
          <a:endParaRPr lang="en-US" altLang="ko-KR" sz="1400" b="1">
            <a:solidFill>
              <a:schemeClr val="tx1"/>
            </a:solidFill>
          </a:endParaRPr>
        </a:p>
        <a:p>
          <a:pPr algn="l"/>
          <a:r>
            <a:rPr lang="ko-KR" altLang="en-US" sz="1400" b="1">
              <a:solidFill>
                <a:schemeClr val="tx1"/>
              </a:solidFill>
            </a:rPr>
            <a:t>운반비</a:t>
          </a:r>
          <a:r>
            <a:rPr lang="en-US" altLang="ko-KR" sz="1400" b="1">
              <a:solidFill>
                <a:schemeClr val="tx1"/>
              </a:solidFill>
            </a:rPr>
            <a:t>/</a:t>
          </a:r>
          <a:r>
            <a:rPr lang="ko-KR" altLang="en-US" sz="1400" b="1">
              <a:solidFill>
                <a:schemeClr val="tx1"/>
              </a:solidFill>
            </a:rPr>
            <a:t>장비  </a:t>
          </a:r>
          <a:r>
            <a:rPr lang="en-US" altLang="ko-KR" sz="1400" b="1">
              <a:solidFill>
                <a:schemeClr val="tx1"/>
              </a:solidFill>
            </a:rPr>
            <a:t>:  12M~18M - 500,000</a:t>
          </a:r>
          <a:r>
            <a:rPr lang="ko-KR" altLang="en-US" sz="1400" b="1">
              <a:solidFill>
                <a:schemeClr val="tx1"/>
              </a:solidFill>
            </a:rPr>
            <a:t>원</a:t>
          </a:r>
          <a:endParaRPr lang="en-US" altLang="ko-KR" sz="1400" b="1">
            <a:solidFill>
              <a:schemeClr val="tx1"/>
            </a:solidFill>
          </a:endParaRPr>
        </a:p>
        <a:p>
          <a:pPr algn="l"/>
          <a:r>
            <a:rPr lang="en-US" altLang="ko-KR" sz="1400" b="1">
              <a:solidFill>
                <a:schemeClr val="tx1"/>
              </a:solidFill>
            </a:rPr>
            <a:t>                             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20M~24M - 700,000</a:t>
          </a:r>
          <a:r>
            <a:rPr lang="ko-KR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원</a:t>
          </a:r>
          <a:endParaRPr lang="ko-KR" altLang="en-US" sz="1800" b="1">
            <a:solidFill>
              <a:schemeClr val="tx1"/>
            </a:solidFill>
          </a:endParaRPr>
        </a:p>
        <a:p>
          <a:pPr algn="l"/>
          <a:r>
            <a:rPr lang="ko-KR" altLang="en-US" sz="1400" b="1">
              <a:solidFill>
                <a:schemeClr val="tx1"/>
              </a:solidFill>
            </a:rPr>
            <a:t>                </a:t>
          </a:r>
        </a:p>
        <a:p>
          <a:pPr algn="l"/>
          <a:r>
            <a:rPr lang="ko-KR" altLang="en-US" sz="1400" b="1">
              <a:solidFill>
                <a:schemeClr val="tx1"/>
              </a:solidFill>
            </a:rPr>
            <a:t>경비</a:t>
          </a:r>
          <a:r>
            <a:rPr lang="en-US" altLang="ko-KR" sz="1400" b="1">
              <a:solidFill>
                <a:schemeClr val="tx1"/>
              </a:solidFill>
            </a:rPr>
            <a:t>:</a:t>
          </a:r>
          <a:r>
            <a:rPr lang="ko-KR" altLang="en-US" sz="1400" b="1">
              <a:solidFill>
                <a:schemeClr val="tx1"/>
              </a:solidFill>
            </a:rPr>
            <a:t>  </a:t>
          </a:r>
          <a:r>
            <a:rPr lang="en-US" altLang="ko-KR" sz="1400" b="1">
              <a:solidFill>
                <a:schemeClr val="tx1"/>
              </a:solidFill>
            </a:rPr>
            <a:t>7% (</a:t>
          </a:r>
          <a:r>
            <a:rPr lang="ko-KR" altLang="en-US" sz="1400" b="1">
              <a:solidFill>
                <a:schemeClr val="tx1"/>
              </a:solidFill>
            </a:rPr>
            <a:t>자재비의 </a:t>
          </a:r>
          <a:r>
            <a:rPr lang="en-US" altLang="ko-KR" sz="1400" b="1">
              <a:solidFill>
                <a:schemeClr val="tx1"/>
              </a:solidFill>
            </a:rPr>
            <a:t>7%)              </a:t>
          </a:r>
        </a:p>
        <a:p>
          <a:pPr algn="l"/>
          <a:r>
            <a:rPr lang="ko-KR" altLang="en-US" sz="1400" b="1">
              <a:solidFill>
                <a:schemeClr val="tx1"/>
              </a:solidFill>
            </a:rPr>
            <a:t>노무비</a:t>
          </a:r>
          <a:r>
            <a:rPr lang="en-US" altLang="ko-KR" sz="1400" b="1">
              <a:solidFill>
                <a:schemeClr val="tx1"/>
              </a:solidFill>
            </a:rPr>
            <a:t>(</a:t>
          </a:r>
          <a:r>
            <a:rPr lang="ko-KR" altLang="en-US" sz="1400" b="1">
              <a:solidFill>
                <a:schemeClr val="tx1"/>
              </a:solidFill>
            </a:rPr>
            <a:t>인건비</a:t>
          </a:r>
          <a:r>
            <a:rPr lang="en-US" altLang="ko-KR" sz="1400" b="1">
              <a:solidFill>
                <a:schemeClr val="tx1"/>
              </a:solidFill>
            </a:rPr>
            <a:t>):  20% ('</a:t>
          </a:r>
          <a:r>
            <a:rPr lang="ko-KR" altLang="en-US" sz="1400" b="1">
              <a:solidFill>
                <a:schemeClr val="tx1"/>
              </a:solidFill>
            </a:rPr>
            <a:t>자재비</a:t>
          </a:r>
          <a:r>
            <a:rPr lang="en-US" altLang="ko-KR" sz="1400" b="1">
              <a:solidFill>
                <a:schemeClr val="tx1"/>
              </a:solidFill>
            </a:rPr>
            <a:t>+</a:t>
          </a:r>
          <a:r>
            <a:rPr lang="ko-KR" altLang="en-US" sz="1400" b="1">
              <a:solidFill>
                <a:schemeClr val="tx1"/>
              </a:solidFill>
            </a:rPr>
            <a:t>경비</a:t>
          </a:r>
          <a:r>
            <a:rPr lang="en-US" altLang="ko-KR" sz="1400" b="1">
              <a:solidFill>
                <a:schemeClr val="tx1"/>
              </a:solidFill>
            </a:rPr>
            <a:t>'</a:t>
          </a:r>
          <a:r>
            <a:rPr lang="ko-KR" altLang="en-US" sz="1400" b="1">
              <a:solidFill>
                <a:schemeClr val="tx1"/>
              </a:solidFill>
            </a:rPr>
            <a:t> 총합의 </a:t>
          </a:r>
          <a:r>
            <a:rPr lang="en-US" altLang="ko-KR" sz="1400" b="1">
              <a:solidFill>
                <a:schemeClr val="tx1"/>
              </a:solidFill>
            </a:rPr>
            <a:t>15%)</a:t>
          </a:r>
        </a:p>
        <a:p>
          <a:pPr algn="l"/>
          <a:r>
            <a:rPr lang="ko-KR" altLang="en-US" sz="1400" b="1">
              <a:solidFill>
                <a:schemeClr val="tx1"/>
              </a:solidFill>
            </a:rPr>
            <a:t>이윤</a:t>
          </a:r>
          <a:r>
            <a:rPr lang="en-US" altLang="ko-KR" sz="1400" b="1">
              <a:solidFill>
                <a:schemeClr val="tx1"/>
              </a:solidFill>
            </a:rPr>
            <a:t>: </a:t>
          </a:r>
          <a:r>
            <a:rPr lang="ko-KR" altLang="en-US" sz="1400" b="1">
              <a:solidFill>
                <a:schemeClr val="tx1"/>
              </a:solidFill>
            </a:rPr>
            <a:t>  </a:t>
          </a:r>
          <a:r>
            <a:rPr lang="en-US" altLang="ko-KR" sz="1400" b="1">
              <a:solidFill>
                <a:schemeClr val="tx1"/>
              </a:solidFill>
            </a:rPr>
            <a:t>25% 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('</a:t>
          </a:r>
          <a:r>
            <a:rPr lang="ko-KR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자재비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</a:t>
          </a:r>
          <a:r>
            <a:rPr lang="ko-KR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경비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노무비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총합</a:t>
          </a:r>
          <a:r>
            <a:rPr lang="ko-KR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의 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25%)</a:t>
          </a:r>
          <a:endParaRPr lang="en-US" altLang="ko-KR" sz="1400" b="1">
            <a:solidFill>
              <a:schemeClr val="tx1"/>
            </a:solidFill>
          </a:endParaRPr>
        </a:p>
        <a:p>
          <a:pPr algn="l"/>
          <a:r>
            <a:rPr lang="ko-KR" altLang="en-US" sz="1400" b="1">
              <a:solidFill>
                <a:schemeClr val="tx1"/>
              </a:solidFill>
            </a:rPr>
            <a:t>부가세</a:t>
          </a:r>
          <a:r>
            <a:rPr lang="en-US" altLang="ko-KR" sz="1400" b="1">
              <a:solidFill>
                <a:schemeClr val="tx1"/>
              </a:solidFill>
            </a:rPr>
            <a:t>: </a:t>
          </a:r>
          <a:r>
            <a:rPr lang="ko-KR" altLang="en-US" sz="1400" b="1">
              <a:solidFill>
                <a:schemeClr val="tx1"/>
              </a:solidFill>
            </a:rPr>
            <a:t> </a:t>
          </a:r>
          <a:r>
            <a:rPr lang="en-US" altLang="ko-KR" sz="1400" b="1">
              <a:solidFill>
                <a:schemeClr val="tx1"/>
              </a:solidFill>
            </a:rPr>
            <a:t>10% </a:t>
          </a:r>
          <a:endParaRPr lang="ko-KR" altLang="en-US" sz="1400" b="1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543721</xdr:colOff>
      <xdr:row>40</xdr:row>
      <xdr:rowOff>2646</xdr:rowOff>
    </xdr:from>
    <xdr:to>
      <xdr:col>14</xdr:col>
      <xdr:colOff>254000</xdr:colOff>
      <xdr:row>54</xdr:row>
      <xdr:rowOff>104511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A4ADB88-8906-4DF9-A19B-5F1EC28B8E36}"/>
            </a:ext>
          </a:extLst>
        </xdr:cNvPr>
        <xdr:cNvSpPr/>
      </xdr:nvSpPr>
      <xdr:spPr>
        <a:xfrm>
          <a:off x="15064054" y="1145646"/>
          <a:ext cx="4038863" cy="3647282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chemeClr val="tx1"/>
              </a:solidFill>
            </a:rPr>
            <a:t>도장비</a:t>
          </a:r>
          <a:r>
            <a:rPr lang="en-US" altLang="ko-KR" sz="1400" b="1">
              <a:solidFill>
                <a:schemeClr val="tx1"/>
              </a:solidFill>
            </a:rPr>
            <a:t>:  6M</a:t>
          </a:r>
          <a:r>
            <a:rPr lang="ko-KR" altLang="en-US" sz="1400" b="1">
              <a:solidFill>
                <a:schemeClr val="tx1"/>
              </a:solidFill>
            </a:rPr>
            <a:t>까지는 </a:t>
          </a:r>
          <a:r>
            <a:rPr lang="en-US" altLang="ko-KR" sz="1400" b="1">
              <a:solidFill>
                <a:schemeClr val="tx1"/>
              </a:solidFill>
            </a:rPr>
            <a:t>150,000</a:t>
          </a:r>
          <a:r>
            <a:rPr lang="ko-KR" altLang="en-US" sz="1400" b="1">
              <a:solidFill>
                <a:schemeClr val="tx1"/>
              </a:solidFill>
            </a:rPr>
            <a:t>원</a:t>
          </a:r>
        </a:p>
        <a:p>
          <a:pPr algn="l"/>
          <a:r>
            <a:rPr lang="ko-KR" altLang="en-US" sz="1400" b="1">
              <a:solidFill>
                <a:schemeClr val="tx1"/>
              </a:solidFill>
            </a:rPr>
            <a:t>                </a:t>
          </a:r>
          <a:r>
            <a:rPr lang="en-US" altLang="ko-KR" sz="1400" b="1">
              <a:solidFill>
                <a:schemeClr val="tx1"/>
              </a:solidFill>
            </a:rPr>
            <a:t>7M</a:t>
          </a:r>
          <a:r>
            <a:rPr lang="ko-KR" altLang="en-US" sz="1400" b="1">
              <a:solidFill>
                <a:schemeClr val="tx1"/>
              </a:solidFill>
            </a:rPr>
            <a:t>부터는 </a:t>
          </a:r>
          <a:r>
            <a:rPr lang="en-US" altLang="ko-KR" sz="1400" b="1">
              <a:solidFill>
                <a:schemeClr val="tx1"/>
              </a:solidFill>
            </a:rPr>
            <a:t>200,000</a:t>
          </a:r>
          <a:r>
            <a:rPr lang="ko-KR" altLang="en-US" sz="1400" b="1">
              <a:solidFill>
                <a:schemeClr val="tx1"/>
              </a:solidFill>
            </a:rPr>
            <a:t>원</a:t>
          </a:r>
        </a:p>
        <a:p>
          <a:pPr algn="l"/>
          <a:r>
            <a:rPr lang="ko-KR" altLang="en-US" sz="1400" b="1">
              <a:solidFill>
                <a:schemeClr val="tx1"/>
              </a:solidFill>
            </a:rPr>
            <a:t>운반비</a:t>
          </a:r>
          <a:r>
            <a:rPr lang="en-US" altLang="ko-KR" sz="1400" b="1">
              <a:solidFill>
                <a:schemeClr val="tx1"/>
              </a:solidFill>
            </a:rPr>
            <a:t>:  </a:t>
          </a:r>
          <a:r>
            <a:rPr lang="ko-KR" altLang="en-US" sz="1400" b="1">
              <a:solidFill>
                <a:schemeClr val="tx1"/>
              </a:solidFill>
            </a:rPr>
            <a:t>도장시 </a:t>
          </a:r>
          <a:r>
            <a:rPr lang="en-US" altLang="ko-KR" sz="1400" b="1">
              <a:solidFill>
                <a:schemeClr val="tx1"/>
              </a:solidFill>
            </a:rPr>
            <a:t>200,000</a:t>
          </a:r>
          <a:r>
            <a:rPr lang="ko-KR" altLang="en-US" sz="1400" b="1">
              <a:solidFill>
                <a:schemeClr val="tx1"/>
              </a:solidFill>
            </a:rPr>
            <a:t>원</a:t>
          </a:r>
        </a:p>
        <a:p>
          <a:pPr algn="l"/>
          <a:r>
            <a:rPr lang="ko-KR" altLang="en-US" sz="1400" b="1">
              <a:solidFill>
                <a:schemeClr val="tx1"/>
              </a:solidFill>
            </a:rPr>
            <a:t>                 납품시 </a:t>
          </a:r>
          <a:r>
            <a:rPr lang="en-US" altLang="ko-KR" sz="1400" b="1">
              <a:solidFill>
                <a:schemeClr val="tx1"/>
              </a:solidFill>
            </a:rPr>
            <a:t>200,000</a:t>
          </a:r>
          <a:r>
            <a:rPr lang="ko-KR" altLang="en-US" sz="1400" b="1">
              <a:solidFill>
                <a:schemeClr val="tx1"/>
              </a:solidFill>
            </a:rPr>
            <a:t>원</a:t>
          </a:r>
        </a:p>
        <a:p>
          <a:pPr algn="l"/>
          <a:r>
            <a:rPr lang="ko-KR" altLang="en-US" sz="1400" b="1">
              <a:solidFill>
                <a:schemeClr val="tx1"/>
              </a:solidFill>
            </a:rPr>
            <a:t>장비이용료</a:t>
          </a:r>
          <a:r>
            <a:rPr lang="en-US" altLang="ko-KR" sz="1400" b="1">
              <a:solidFill>
                <a:schemeClr val="tx1"/>
              </a:solidFill>
            </a:rPr>
            <a:t>:</a:t>
          </a:r>
          <a:r>
            <a:rPr lang="ko-KR" altLang="en-US" sz="1400" b="1">
              <a:solidFill>
                <a:schemeClr val="tx1"/>
              </a:solidFill>
            </a:rPr>
            <a:t>  납품시 지게차 </a:t>
          </a:r>
          <a:r>
            <a:rPr lang="en-US" altLang="ko-KR" sz="1400" b="1">
              <a:solidFill>
                <a:schemeClr val="tx1"/>
              </a:solidFill>
            </a:rPr>
            <a:t>200,000</a:t>
          </a:r>
          <a:r>
            <a:rPr lang="ko-KR" altLang="en-US" sz="1400" b="1">
              <a:solidFill>
                <a:schemeClr val="tx1"/>
              </a:solidFill>
            </a:rPr>
            <a:t>원</a:t>
          </a:r>
        </a:p>
        <a:p>
          <a:pPr algn="l"/>
          <a:r>
            <a:rPr lang="ko-KR" altLang="en-US" sz="1400" b="1">
              <a:solidFill>
                <a:schemeClr val="tx1"/>
              </a:solidFill>
            </a:rPr>
            <a:t>경비</a:t>
          </a:r>
          <a:r>
            <a:rPr lang="en-US" altLang="ko-KR" sz="1400" b="1">
              <a:solidFill>
                <a:schemeClr val="tx1"/>
              </a:solidFill>
            </a:rPr>
            <a:t>:</a:t>
          </a:r>
          <a:r>
            <a:rPr lang="ko-KR" altLang="en-US" sz="1400" b="1">
              <a:solidFill>
                <a:schemeClr val="tx1"/>
              </a:solidFill>
            </a:rPr>
            <a:t>  </a:t>
          </a:r>
          <a:r>
            <a:rPr lang="en-US" altLang="ko-KR" sz="1400" b="1">
              <a:solidFill>
                <a:schemeClr val="tx1"/>
              </a:solidFill>
            </a:rPr>
            <a:t>7% (</a:t>
          </a:r>
          <a:r>
            <a:rPr lang="ko-KR" altLang="en-US" sz="1400" b="1">
              <a:solidFill>
                <a:schemeClr val="tx1"/>
              </a:solidFill>
            </a:rPr>
            <a:t>자재비의 </a:t>
          </a:r>
          <a:r>
            <a:rPr lang="en-US" altLang="ko-KR" sz="1400" b="1">
              <a:solidFill>
                <a:schemeClr val="tx1"/>
              </a:solidFill>
            </a:rPr>
            <a:t>7%)              </a:t>
          </a:r>
        </a:p>
        <a:p>
          <a:pPr algn="l"/>
          <a:r>
            <a:rPr lang="ko-KR" altLang="en-US" sz="1400" b="1">
              <a:solidFill>
                <a:schemeClr val="tx1"/>
              </a:solidFill>
            </a:rPr>
            <a:t>노무비</a:t>
          </a:r>
          <a:r>
            <a:rPr lang="en-US" altLang="ko-KR" sz="1400" b="1">
              <a:solidFill>
                <a:schemeClr val="tx1"/>
              </a:solidFill>
            </a:rPr>
            <a:t>(</a:t>
          </a:r>
          <a:r>
            <a:rPr lang="ko-KR" altLang="en-US" sz="1400" b="1">
              <a:solidFill>
                <a:schemeClr val="tx1"/>
              </a:solidFill>
            </a:rPr>
            <a:t>인건비</a:t>
          </a:r>
          <a:r>
            <a:rPr lang="en-US" altLang="ko-KR" sz="1400" b="1">
              <a:solidFill>
                <a:schemeClr val="tx1"/>
              </a:solidFill>
            </a:rPr>
            <a:t>):  20% ('</a:t>
          </a:r>
          <a:r>
            <a:rPr lang="ko-KR" altLang="en-US" sz="1400" b="1">
              <a:solidFill>
                <a:schemeClr val="tx1"/>
              </a:solidFill>
            </a:rPr>
            <a:t>자재비</a:t>
          </a:r>
          <a:r>
            <a:rPr lang="en-US" altLang="ko-KR" sz="1400" b="1">
              <a:solidFill>
                <a:schemeClr val="tx1"/>
              </a:solidFill>
            </a:rPr>
            <a:t>+</a:t>
          </a:r>
          <a:r>
            <a:rPr lang="ko-KR" altLang="en-US" sz="1400" b="1">
              <a:solidFill>
                <a:schemeClr val="tx1"/>
              </a:solidFill>
            </a:rPr>
            <a:t>경비</a:t>
          </a:r>
          <a:r>
            <a:rPr lang="en-US" altLang="ko-KR" sz="1400" b="1">
              <a:solidFill>
                <a:schemeClr val="tx1"/>
              </a:solidFill>
            </a:rPr>
            <a:t>'</a:t>
          </a:r>
          <a:r>
            <a:rPr lang="ko-KR" altLang="en-US" sz="1400" b="1">
              <a:solidFill>
                <a:schemeClr val="tx1"/>
              </a:solidFill>
            </a:rPr>
            <a:t> 총합의 </a:t>
          </a:r>
          <a:r>
            <a:rPr lang="en-US" altLang="ko-KR" sz="1400" b="1">
              <a:solidFill>
                <a:schemeClr val="tx1"/>
              </a:solidFill>
            </a:rPr>
            <a:t>15%)</a:t>
          </a:r>
        </a:p>
        <a:p>
          <a:pPr algn="l"/>
          <a:r>
            <a:rPr lang="ko-KR" altLang="en-US" sz="1400" b="1">
              <a:solidFill>
                <a:schemeClr val="tx1"/>
              </a:solidFill>
            </a:rPr>
            <a:t>이윤</a:t>
          </a:r>
          <a:r>
            <a:rPr lang="en-US" altLang="ko-KR" sz="1400" b="1">
              <a:solidFill>
                <a:schemeClr val="tx1"/>
              </a:solidFill>
            </a:rPr>
            <a:t>: </a:t>
          </a:r>
          <a:r>
            <a:rPr lang="ko-KR" altLang="en-US" sz="1400" b="1">
              <a:solidFill>
                <a:schemeClr val="tx1"/>
              </a:solidFill>
            </a:rPr>
            <a:t>  </a:t>
          </a:r>
          <a:r>
            <a:rPr lang="en-US" altLang="ko-KR" sz="1400" b="1">
              <a:solidFill>
                <a:schemeClr val="tx1"/>
              </a:solidFill>
            </a:rPr>
            <a:t>25% 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('</a:t>
          </a:r>
          <a:r>
            <a:rPr lang="ko-KR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자재비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</a:t>
          </a:r>
          <a:r>
            <a:rPr lang="ko-KR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경비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노무비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총합</a:t>
          </a:r>
          <a:r>
            <a:rPr lang="ko-KR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의 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25%)</a:t>
          </a:r>
          <a:endParaRPr lang="en-US" altLang="ko-KR" sz="1400" b="1">
            <a:solidFill>
              <a:schemeClr val="tx1"/>
            </a:solidFill>
          </a:endParaRPr>
        </a:p>
        <a:p>
          <a:pPr algn="l"/>
          <a:r>
            <a:rPr lang="ko-KR" altLang="en-US" sz="1400" b="1">
              <a:solidFill>
                <a:schemeClr val="tx1"/>
              </a:solidFill>
            </a:rPr>
            <a:t>부가세</a:t>
          </a:r>
          <a:r>
            <a:rPr lang="en-US" altLang="ko-KR" sz="1400" b="1">
              <a:solidFill>
                <a:schemeClr val="tx1"/>
              </a:solidFill>
            </a:rPr>
            <a:t>: </a:t>
          </a:r>
          <a:r>
            <a:rPr lang="ko-KR" altLang="en-US" sz="1400" b="1">
              <a:solidFill>
                <a:schemeClr val="tx1"/>
              </a:solidFill>
            </a:rPr>
            <a:t> </a:t>
          </a:r>
          <a:r>
            <a:rPr lang="en-US" altLang="ko-KR" sz="1400" b="1">
              <a:solidFill>
                <a:schemeClr val="tx1"/>
              </a:solidFill>
            </a:rPr>
            <a:t>10% </a:t>
          </a:r>
          <a:endParaRPr lang="ko-KR" altLang="en-US" sz="1400" b="1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560916</xdr:colOff>
      <xdr:row>1</xdr:row>
      <xdr:rowOff>74084</xdr:rowOff>
    </xdr:from>
    <xdr:to>
      <xdr:col>14</xdr:col>
      <xdr:colOff>592667</xdr:colOff>
      <xdr:row>29</xdr:row>
      <xdr:rowOff>211668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C879873-48F0-BB3D-61AF-D56B31AE160A}"/>
            </a:ext>
          </a:extLst>
        </xdr:cNvPr>
        <xdr:cNvSpPr/>
      </xdr:nvSpPr>
      <xdr:spPr>
        <a:xfrm>
          <a:off x="14858999" y="508001"/>
          <a:ext cx="4180418" cy="375708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chemeClr val="tx1"/>
              </a:solidFill>
            </a:rPr>
            <a:t>도장비</a:t>
          </a:r>
          <a:r>
            <a:rPr lang="en-US" altLang="ko-KR" sz="1400" b="1">
              <a:solidFill>
                <a:schemeClr val="tx1"/>
              </a:solidFill>
            </a:rPr>
            <a:t>:  6M</a:t>
          </a:r>
          <a:r>
            <a:rPr lang="ko-KR" altLang="en-US" sz="1400" b="1">
              <a:solidFill>
                <a:schemeClr val="tx1"/>
              </a:solidFill>
            </a:rPr>
            <a:t>까지는 </a:t>
          </a:r>
          <a:r>
            <a:rPr lang="en-US" altLang="ko-KR" sz="1400" b="1">
              <a:solidFill>
                <a:schemeClr val="tx1"/>
              </a:solidFill>
            </a:rPr>
            <a:t>150,000</a:t>
          </a:r>
          <a:r>
            <a:rPr lang="ko-KR" altLang="en-US" sz="1400" b="1">
              <a:solidFill>
                <a:schemeClr val="tx1"/>
              </a:solidFill>
            </a:rPr>
            <a:t>원</a:t>
          </a:r>
        </a:p>
        <a:p>
          <a:pPr algn="l"/>
          <a:r>
            <a:rPr lang="ko-KR" altLang="en-US" sz="1400" b="1">
              <a:solidFill>
                <a:schemeClr val="tx1"/>
              </a:solidFill>
            </a:rPr>
            <a:t>                </a:t>
          </a:r>
          <a:r>
            <a:rPr lang="en-US" altLang="ko-KR" sz="1400" b="1">
              <a:solidFill>
                <a:schemeClr val="tx1"/>
              </a:solidFill>
            </a:rPr>
            <a:t>7M</a:t>
          </a:r>
          <a:r>
            <a:rPr lang="ko-KR" altLang="en-US" sz="1400" b="1">
              <a:solidFill>
                <a:schemeClr val="tx1"/>
              </a:solidFill>
            </a:rPr>
            <a:t>부터는 </a:t>
          </a:r>
          <a:r>
            <a:rPr lang="en-US" altLang="ko-KR" sz="1400" b="1">
              <a:solidFill>
                <a:schemeClr val="tx1"/>
              </a:solidFill>
            </a:rPr>
            <a:t>200,000</a:t>
          </a:r>
          <a:r>
            <a:rPr lang="ko-KR" altLang="en-US" sz="1400" b="1">
              <a:solidFill>
                <a:schemeClr val="tx1"/>
              </a:solidFill>
            </a:rPr>
            <a:t>원</a:t>
          </a:r>
        </a:p>
        <a:p>
          <a:pPr algn="l"/>
          <a:r>
            <a:rPr lang="ko-KR" altLang="en-US" sz="1400" b="1">
              <a:solidFill>
                <a:schemeClr val="tx1"/>
              </a:solidFill>
            </a:rPr>
            <a:t>운반비</a:t>
          </a:r>
          <a:r>
            <a:rPr lang="en-US" altLang="ko-KR" sz="1400" b="1">
              <a:solidFill>
                <a:schemeClr val="tx1"/>
              </a:solidFill>
            </a:rPr>
            <a:t>:  </a:t>
          </a:r>
          <a:r>
            <a:rPr lang="ko-KR" altLang="en-US" sz="1400" b="1">
              <a:solidFill>
                <a:schemeClr val="tx1"/>
              </a:solidFill>
            </a:rPr>
            <a:t>도장시 </a:t>
          </a:r>
          <a:r>
            <a:rPr lang="en-US" altLang="ko-KR" sz="1400" b="1">
              <a:solidFill>
                <a:schemeClr val="tx1"/>
              </a:solidFill>
            </a:rPr>
            <a:t>200,000</a:t>
          </a:r>
          <a:r>
            <a:rPr lang="ko-KR" altLang="en-US" sz="1400" b="1">
              <a:solidFill>
                <a:schemeClr val="tx1"/>
              </a:solidFill>
            </a:rPr>
            <a:t>원</a:t>
          </a:r>
        </a:p>
        <a:p>
          <a:pPr algn="l"/>
          <a:r>
            <a:rPr lang="ko-KR" altLang="en-US" sz="1400" b="1">
              <a:solidFill>
                <a:schemeClr val="tx1"/>
              </a:solidFill>
            </a:rPr>
            <a:t>                 도금시 </a:t>
          </a:r>
          <a:r>
            <a:rPr lang="en-US" altLang="ko-KR" sz="1400" b="1">
              <a:solidFill>
                <a:schemeClr val="tx1"/>
              </a:solidFill>
            </a:rPr>
            <a:t>200,000</a:t>
          </a:r>
          <a:r>
            <a:rPr lang="ko-KR" altLang="en-US" sz="1400" b="1">
              <a:solidFill>
                <a:schemeClr val="tx1"/>
              </a:solidFill>
            </a:rPr>
            <a:t>원</a:t>
          </a:r>
        </a:p>
        <a:p>
          <a:pPr algn="l"/>
          <a:r>
            <a:rPr lang="ko-KR" altLang="en-US" sz="1400" b="1">
              <a:solidFill>
                <a:schemeClr val="tx1"/>
              </a:solidFill>
            </a:rPr>
            <a:t>                 납품시 </a:t>
          </a:r>
          <a:r>
            <a:rPr lang="en-US" altLang="ko-KR" sz="1400" b="1">
              <a:solidFill>
                <a:schemeClr val="tx1"/>
              </a:solidFill>
            </a:rPr>
            <a:t>200,000</a:t>
          </a:r>
          <a:r>
            <a:rPr lang="ko-KR" altLang="en-US" sz="1400" b="1">
              <a:solidFill>
                <a:schemeClr val="tx1"/>
              </a:solidFill>
            </a:rPr>
            <a:t>원</a:t>
          </a:r>
        </a:p>
        <a:p>
          <a:pPr algn="l"/>
          <a:r>
            <a:rPr lang="ko-KR" altLang="en-US" sz="1400" b="1">
              <a:solidFill>
                <a:schemeClr val="tx1"/>
              </a:solidFill>
            </a:rPr>
            <a:t>장비이용료</a:t>
          </a:r>
          <a:r>
            <a:rPr lang="en-US" altLang="ko-KR" sz="1400" b="1">
              <a:solidFill>
                <a:schemeClr val="tx1"/>
              </a:solidFill>
            </a:rPr>
            <a:t>:</a:t>
          </a:r>
          <a:r>
            <a:rPr lang="ko-KR" altLang="en-US" sz="1400" b="1">
              <a:solidFill>
                <a:schemeClr val="tx1"/>
              </a:solidFill>
            </a:rPr>
            <a:t>  납품시 지게차 </a:t>
          </a:r>
          <a:r>
            <a:rPr lang="en-US" altLang="ko-KR" sz="1400" b="1">
              <a:solidFill>
                <a:schemeClr val="tx1"/>
              </a:solidFill>
            </a:rPr>
            <a:t>200,000</a:t>
          </a:r>
          <a:r>
            <a:rPr lang="ko-KR" altLang="en-US" sz="1400" b="1">
              <a:solidFill>
                <a:schemeClr val="tx1"/>
              </a:solidFill>
            </a:rPr>
            <a:t>원</a:t>
          </a:r>
        </a:p>
        <a:p>
          <a:pPr algn="l"/>
          <a:r>
            <a:rPr lang="ko-KR" altLang="en-US" sz="1400" b="1">
              <a:solidFill>
                <a:schemeClr val="tx1"/>
              </a:solidFill>
            </a:rPr>
            <a:t>경비</a:t>
          </a:r>
          <a:r>
            <a:rPr lang="en-US" altLang="ko-KR" sz="1400" b="1">
              <a:solidFill>
                <a:schemeClr val="tx1"/>
              </a:solidFill>
            </a:rPr>
            <a:t>:</a:t>
          </a:r>
          <a:r>
            <a:rPr lang="ko-KR" altLang="en-US" sz="1400" b="1">
              <a:solidFill>
                <a:schemeClr val="tx1"/>
              </a:solidFill>
            </a:rPr>
            <a:t>  </a:t>
          </a:r>
          <a:r>
            <a:rPr lang="en-US" altLang="ko-KR" sz="1400" b="1">
              <a:solidFill>
                <a:schemeClr val="tx1"/>
              </a:solidFill>
            </a:rPr>
            <a:t>7% (</a:t>
          </a:r>
          <a:r>
            <a:rPr lang="ko-KR" altLang="en-US" sz="1400" b="1">
              <a:solidFill>
                <a:schemeClr val="tx1"/>
              </a:solidFill>
            </a:rPr>
            <a:t>자재비의 </a:t>
          </a:r>
          <a:r>
            <a:rPr lang="en-US" altLang="ko-KR" sz="1400" b="1">
              <a:solidFill>
                <a:schemeClr val="tx1"/>
              </a:solidFill>
            </a:rPr>
            <a:t>7%)              </a:t>
          </a:r>
        </a:p>
        <a:p>
          <a:pPr algn="l"/>
          <a:r>
            <a:rPr lang="ko-KR" altLang="en-US" sz="1400" b="1">
              <a:solidFill>
                <a:schemeClr val="tx1"/>
              </a:solidFill>
            </a:rPr>
            <a:t>노무비</a:t>
          </a:r>
          <a:r>
            <a:rPr lang="en-US" altLang="ko-KR" sz="1400" b="1">
              <a:solidFill>
                <a:schemeClr val="tx1"/>
              </a:solidFill>
            </a:rPr>
            <a:t>(</a:t>
          </a:r>
          <a:r>
            <a:rPr lang="ko-KR" altLang="en-US" sz="1400" b="1">
              <a:solidFill>
                <a:schemeClr val="tx1"/>
              </a:solidFill>
            </a:rPr>
            <a:t>인건비</a:t>
          </a:r>
          <a:r>
            <a:rPr lang="en-US" altLang="ko-KR" sz="1400" b="1">
              <a:solidFill>
                <a:schemeClr val="tx1"/>
              </a:solidFill>
            </a:rPr>
            <a:t>):  20% ('</a:t>
          </a:r>
          <a:r>
            <a:rPr lang="ko-KR" altLang="en-US" sz="1400" b="1">
              <a:solidFill>
                <a:schemeClr val="tx1"/>
              </a:solidFill>
            </a:rPr>
            <a:t>자재비</a:t>
          </a:r>
          <a:r>
            <a:rPr lang="en-US" altLang="ko-KR" sz="1400" b="1">
              <a:solidFill>
                <a:schemeClr val="tx1"/>
              </a:solidFill>
            </a:rPr>
            <a:t>+</a:t>
          </a:r>
          <a:r>
            <a:rPr lang="ko-KR" altLang="en-US" sz="1400" b="1">
              <a:solidFill>
                <a:schemeClr val="tx1"/>
              </a:solidFill>
            </a:rPr>
            <a:t>경비</a:t>
          </a:r>
          <a:r>
            <a:rPr lang="en-US" altLang="ko-KR" sz="1400" b="1">
              <a:solidFill>
                <a:schemeClr val="tx1"/>
              </a:solidFill>
            </a:rPr>
            <a:t>'</a:t>
          </a:r>
          <a:r>
            <a:rPr lang="ko-KR" altLang="en-US" sz="1400" b="1">
              <a:solidFill>
                <a:schemeClr val="tx1"/>
              </a:solidFill>
            </a:rPr>
            <a:t> 총합의 </a:t>
          </a:r>
          <a:r>
            <a:rPr lang="en-US" altLang="ko-KR" sz="1400" b="1">
              <a:solidFill>
                <a:schemeClr val="tx1"/>
              </a:solidFill>
            </a:rPr>
            <a:t>15%)</a:t>
          </a:r>
        </a:p>
        <a:p>
          <a:pPr algn="l"/>
          <a:r>
            <a:rPr lang="ko-KR" altLang="en-US" sz="1400" b="1">
              <a:solidFill>
                <a:schemeClr val="tx1"/>
              </a:solidFill>
            </a:rPr>
            <a:t>이윤</a:t>
          </a:r>
          <a:r>
            <a:rPr lang="en-US" altLang="ko-KR" sz="1400" b="1">
              <a:solidFill>
                <a:schemeClr val="tx1"/>
              </a:solidFill>
            </a:rPr>
            <a:t>: </a:t>
          </a:r>
          <a:r>
            <a:rPr lang="ko-KR" altLang="en-US" sz="1400" b="1">
              <a:solidFill>
                <a:schemeClr val="tx1"/>
              </a:solidFill>
            </a:rPr>
            <a:t>  </a:t>
          </a:r>
          <a:r>
            <a:rPr lang="en-US" altLang="ko-KR" sz="1400" b="1">
              <a:solidFill>
                <a:schemeClr val="tx1"/>
              </a:solidFill>
            </a:rPr>
            <a:t>25% 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('</a:t>
          </a:r>
          <a:r>
            <a:rPr lang="ko-KR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자재비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</a:t>
          </a:r>
          <a:r>
            <a:rPr lang="ko-KR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경비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노무비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총합</a:t>
          </a:r>
          <a:r>
            <a:rPr lang="ko-KR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의 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25%)</a:t>
          </a:r>
          <a:endParaRPr lang="en-US" altLang="ko-KR" sz="1400" b="1">
            <a:solidFill>
              <a:schemeClr val="tx1"/>
            </a:solidFill>
          </a:endParaRPr>
        </a:p>
        <a:p>
          <a:pPr algn="l"/>
          <a:r>
            <a:rPr lang="ko-KR" altLang="en-US" sz="1400" b="1">
              <a:solidFill>
                <a:schemeClr val="tx1"/>
              </a:solidFill>
            </a:rPr>
            <a:t>부가세</a:t>
          </a:r>
          <a:r>
            <a:rPr lang="en-US" altLang="ko-KR" sz="1400" b="1">
              <a:solidFill>
                <a:schemeClr val="tx1"/>
              </a:solidFill>
            </a:rPr>
            <a:t>: </a:t>
          </a:r>
          <a:r>
            <a:rPr lang="ko-KR" altLang="en-US" sz="1400" b="1">
              <a:solidFill>
                <a:schemeClr val="tx1"/>
              </a:solidFill>
            </a:rPr>
            <a:t> </a:t>
          </a:r>
          <a:r>
            <a:rPr lang="en-US" altLang="ko-KR" sz="1400" b="1">
              <a:solidFill>
                <a:schemeClr val="tx1"/>
              </a:solidFill>
            </a:rPr>
            <a:t>10% </a:t>
          </a:r>
          <a:endParaRPr lang="ko-KR" altLang="en-US" sz="1400" b="1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543721</xdr:colOff>
      <xdr:row>40</xdr:row>
      <xdr:rowOff>2646</xdr:rowOff>
    </xdr:from>
    <xdr:to>
      <xdr:col>14</xdr:col>
      <xdr:colOff>254000</xdr:colOff>
      <xdr:row>51</xdr:row>
      <xdr:rowOff>190500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DE331D2-CF76-4CD1-B3BA-3CDF73C6F057}"/>
            </a:ext>
          </a:extLst>
        </xdr:cNvPr>
        <xdr:cNvSpPr/>
      </xdr:nvSpPr>
      <xdr:spPr>
        <a:xfrm>
          <a:off x="15064054" y="1145646"/>
          <a:ext cx="4187029" cy="297127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chemeClr val="tx1"/>
              </a:solidFill>
            </a:rPr>
            <a:t>도장비</a:t>
          </a:r>
          <a:r>
            <a:rPr lang="en-US" altLang="ko-KR" sz="1400" b="1">
              <a:solidFill>
                <a:schemeClr val="tx1"/>
              </a:solidFill>
            </a:rPr>
            <a:t>:  6M</a:t>
          </a:r>
          <a:r>
            <a:rPr lang="ko-KR" altLang="en-US" sz="1400" b="1">
              <a:solidFill>
                <a:schemeClr val="tx1"/>
              </a:solidFill>
            </a:rPr>
            <a:t>까지는 </a:t>
          </a:r>
          <a:r>
            <a:rPr lang="en-US" altLang="ko-KR" sz="1400" b="1">
              <a:solidFill>
                <a:schemeClr val="tx1"/>
              </a:solidFill>
            </a:rPr>
            <a:t>100,000</a:t>
          </a:r>
          <a:r>
            <a:rPr lang="ko-KR" altLang="en-US" sz="1400" b="1">
              <a:solidFill>
                <a:schemeClr val="tx1"/>
              </a:solidFill>
            </a:rPr>
            <a:t>원</a:t>
          </a:r>
        </a:p>
        <a:p>
          <a:pPr algn="l"/>
          <a:r>
            <a:rPr lang="ko-KR" altLang="en-US" sz="1400" b="1">
              <a:solidFill>
                <a:schemeClr val="tx1"/>
              </a:solidFill>
            </a:rPr>
            <a:t>                </a:t>
          </a:r>
          <a:r>
            <a:rPr lang="en-US" altLang="ko-KR" sz="1400" b="1">
              <a:solidFill>
                <a:schemeClr val="tx1"/>
              </a:solidFill>
            </a:rPr>
            <a:t>7M</a:t>
          </a:r>
          <a:r>
            <a:rPr lang="ko-KR" altLang="en-US" sz="1400" b="1">
              <a:solidFill>
                <a:schemeClr val="tx1"/>
              </a:solidFill>
            </a:rPr>
            <a:t>부터는 </a:t>
          </a:r>
          <a:r>
            <a:rPr lang="en-US" altLang="ko-KR" sz="1400" b="1">
              <a:solidFill>
                <a:schemeClr val="tx1"/>
              </a:solidFill>
            </a:rPr>
            <a:t>200,000</a:t>
          </a:r>
          <a:r>
            <a:rPr lang="ko-KR" altLang="en-US" sz="1400" b="1">
              <a:solidFill>
                <a:schemeClr val="tx1"/>
              </a:solidFill>
            </a:rPr>
            <a:t>원</a:t>
          </a:r>
        </a:p>
        <a:p>
          <a:pPr algn="l"/>
          <a:r>
            <a:rPr lang="ko-KR" altLang="en-US" sz="1400" b="1">
              <a:solidFill>
                <a:schemeClr val="tx1"/>
              </a:solidFill>
            </a:rPr>
            <a:t>운반비</a:t>
          </a:r>
          <a:r>
            <a:rPr lang="en-US" altLang="ko-KR" sz="1400" b="1">
              <a:solidFill>
                <a:schemeClr val="tx1"/>
              </a:solidFill>
            </a:rPr>
            <a:t>:  </a:t>
          </a:r>
          <a:r>
            <a:rPr lang="ko-KR" altLang="en-US" sz="1400" b="1">
              <a:solidFill>
                <a:schemeClr val="tx1"/>
              </a:solidFill>
            </a:rPr>
            <a:t>도장시 </a:t>
          </a:r>
          <a:r>
            <a:rPr lang="en-US" altLang="ko-KR" sz="1400" b="1">
              <a:solidFill>
                <a:schemeClr val="tx1"/>
              </a:solidFill>
            </a:rPr>
            <a:t>200,000</a:t>
          </a:r>
          <a:r>
            <a:rPr lang="ko-KR" altLang="en-US" sz="1400" b="1">
              <a:solidFill>
                <a:schemeClr val="tx1"/>
              </a:solidFill>
            </a:rPr>
            <a:t>원</a:t>
          </a:r>
        </a:p>
        <a:p>
          <a:pPr algn="l"/>
          <a:r>
            <a:rPr lang="ko-KR" altLang="en-US" sz="1400" b="1">
              <a:solidFill>
                <a:schemeClr val="tx1"/>
              </a:solidFill>
            </a:rPr>
            <a:t>                 납품시 </a:t>
          </a:r>
          <a:r>
            <a:rPr lang="en-US" altLang="ko-KR" sz="1400" b="1">
              <a:solidFill>
                <a:schemeClr val="tx1"/>
              </a:solidFill>
            </a:rPr>
            <a:t>200,000</a:t>
          </a:r>
          <a:r>
            <a:rPr lang="ko-KR" altLang="en-US" sz="1400" b="1">
              <a:solidFill>
                <a:schemeClr val="tx1"/>
              </a:solidFill>
            </a:rPr>
            <a:t>원</a:t>
          </a:r>
        </a:p>
        <a:p>
          <a:pPr algn="l"/>
          <a:r>
            <a:rPr lang="ko-KR" altLang="en-US" sz="1400" b="1">
              <a:solidFill>
                <a:schemeClr val="tx1"/>
              </a:solidFill>
            </a:rPr>
            <a:t>장비이용료</a:t>
          </a:r>
          <a:r>
            <a:rPr lang="en-US" altLang="ko-KR" sz="1400" b="1">
              <a:solidFill>
                <a:schemeClr val="tx1"/>
              </a:solidFill>
            </a:rPr>
            <a:t>:</a:t>
          </a:r>
          <a:r>
            <a:rPr lang="ko-KR" altLang="en-US" sz="1400" b="1">
              <a:solidFill>
                <a:schemeClr val="tx1"/>
              </a:solidFill>
            </a:rPr>
            <a:t>  납품시 지게차 </a:t>
          </a:r>
          <a:r>
            <a:rPr lang="en-US" altLang="ko-KR" sz="1400" b="1">
              <a:solidFill>
                <a:schemeClr val="tx1"/>
              </a:solidFill>
            </a:rPr>
            <a:t>200,000</a:t>
          </a:r>
          <a:r>
            <a:rPr lang="ko-KR" altLang="en-US" sz="1400" b="1">
              <a:solidFill>
                <a:schemeClr val="tx1"/>
              </a:solidFill>
            </a:rPr>
            <a:t>원</a:t>
          </a:r>
        </a:p>
        <a:p>
          <a:pPr algn="l"/>
          <a:r>
            <a:rPr lang="ko-KR" altLang="en-US" sz="1400" b="1">
              <a:solidFill>
                <a:schemeClr val="tx1"/>
              </a:solidFill>
            </a:rPr>
            <a:t>경비</a:t>
          </a:r>
          <a:r>
            <a:rPr lang="en-US" altLang="ko-KR" sz="1400" b="1">
              <a:solidFill>
                <a:schemeClr val="tx1"/>
              </a:solidFill>
            </a:rPr>
            <a:t>:</a:t>
          </a:r>
          <a:r>
            <a:rPr lang="ko-KR" altLang="en-US" sz="1400" b="1">
              <a:solidFill>
                <a:schemeClr val="tx1"/>
              </a:solidFill>
            </a:rPr>
            <a:t>  </a:t>
          </a:r>
          <a:r>
            <a:rPr lang="en-US" altLang="ko-KR" sz="1400" b="1">
              <a:solidFill>
                <a:schemeClr val="tx1"/>
              </a:solidFill>
            </a:rPr>
            <a:t>7% (</a:t>
          </a:r>
          <a:r>
            <a:rPr lang="ko-KR" altLang="en-US" sz="1400" b="1">
              <a:solidFill>
                <a:schemeClr val="tx1"/>
              </a:solidFill>
            </a:rPr>
            <a:t>자재비의 </a:t>
          </a:r>
          <a:r>
            <a:rPr lang="en-US" altLang="ko-KR" sz="1400" b="1">
              <a:solidFill>
                <a:schemeClr val="tx1"/>
              </a:solidFill>
            </a:rPr>
            <a:t>7%)              </a:t>
          </a:r>
        </a:p>
        <a:p>
          <a:pPr algn="l"/>
          <a:r>
            <a:rPr lang="ko-KR" altLang="en-US" sz="1400" b="1">
              <a:solidFill>
                <a:schemeClr val="tx1"/>
              </a:solidFill>
            </a:rPr>
            <a:t>노무비</a:t>
          </a:r>
          <a:r>
            <a:rPr lang="en-US" altLang="ko-KR" sz="1400" b="1">
              <a:solidFill>
                <a:schemeClr val="tx1"/>
              </a:solidFill>
            </a:rPr>
            <a:t>(</a:t>
          </a:r>
          <a:r>
            <a:rPr lang="ko-KR" altLang="en-US" sz="1400" b="1">
              <a:solidFill>
                <a:schemeClr val="tx1"/>
              </a:solidFill>
            </a:rPr>
            <a:t>인건비</a:t>
          </a:r>
          <a:r>
            <a:rPr lang="en-US" altLang="ko-KR" sz="1400" b="1">
              <a:solidFill>
                <a:schemeClr val="tx1"/>
              </a:solidFill>
            </a:rPr>
            <a:t>):  20% ('</a:t>
          </a:r>
          <a:r>
            <a:rPr lang="ko-KR" altLang="en-US" sz="1400" b="1">
              <a:solidFill>
                <a:schemeClr val="tx1"/>
              </a:solidFill>
            </a:rPr>
            <a:t>자재비</a:t>
          </a:r>
          <a:r>
            <a:rPr lang="en-US" altLang="ko-KR" sz="1400" b="1">
              <a:solidFill>
                <a:schemeClr val="tx1"/>
              </a:solidFill>
            </a:rPr>
            <a:t>+</a:t>
          </a:r>
          <a:r>
            <a:rPr lang="ko-KR" altLang="en-US" sz="1400" b="1">
              <a:solidFill>
                <a:schemeClr val="tx1"/>
              </a:solidFill>
            </a:rPr>
            <a:t>경비</a:t>
          </a:r>
          <a:r>
            <a:rPr lang="en-US" altLang="ko-KR" sz="1400" b="1">
              <a:solidFill>
                <a:schemeClr val="tx1"/>
              </a:solidFill>
            </a:rPr>
            <a:t>'</a:t>
          </a:r>
          <a:r>
            <a:rPr lang="ko-KR" altLang="en-US" sz="1400" b="1">
              <a:solidFill>
                <a:schemeClr val="tx1"/>
              </a:solidFill>
            </a:rPr>
            <a:t> 총합의 </a:t>
          </a:r>
          <a:r>
            <a:rPr lang="en-US" altLang="ko-KR" sz="1400" b="1">
              <a:solidFill>
                <a:schemeClr val="tx1"/>
              </a:solidFill>
            </a:rPr>
            <a:t>15%)</a:t>
          </a:r>
        </a:p>
        <a:p>
          <a:pPr algn="l"/>
          <a:r>
            <a:rPr lang="ko-KR" altLang="en-US" sz="1400" b="1">
              <a:solidFill>
                <a:schemeClr val="tx1"/>
              </a:solidFill>
            </a:rPr>
            <a:t>이윤</a:t>
          </a:r>
          <a:r>
            <a:rPr lang="en-US" altLang="ko-KR" sz="1400" b="1">
              <a:solidFill>
                <a:schemeClr val="tx1"/>
              </a:solidFill>
            </a:rPr>
            <a:t>: </a:t>
          </a:r>
          <a:r>
            <a:rPr lang="ko-KR" altLang="en-US" sz="1400" b="1">
              <a:solidFill>
                <a:schemeClr val="tx1"/>
              </a:solidFill>
            </a:rPr>
            <a:t>  </a:t>
          </a:r>
          <a:r>
            <a:rPr lang="en-US" altLang="ko-KR" sz="1400" b="1">
              <a:solidFill>
                <a:schemeClr val="tx1"/>
              </a:solidFill>
            </a:rPr>
            <a:t>25% 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('</a:t>
          </a:r>
          <a:r>
            <a:rPr lang="ko-KR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자재비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</a:t>
          </a:r>
          <a:r>
            <a:rPr lang="ko-KR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경비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노무비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총합</a:t>
          </a:r>
          <a:r>
            <a:rPr lang="ko-KR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의 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25%)</a:t>
          </a:r>
          <a:endParaRPr lang="en-US" altLang="ko-KR" sz="1400" b="1">
            <a:solidFill>
              <a:schemeClr val="tx1"/>
            </a:solidFill>
          </a:endParaRPr>
        </a:p>
        <a:p>
          <a:pPr algn="l"/>
          <a:r>
            <a:rPr lang="ko-KR" altLang="en-US" sz="1400" b="1">
              <a:solidFill>
                <a:schemeClr val="tx1"/>
              </a:solidFill>
            </a:rPr>
            <a:t>부가세</a:t>
          </a:r>
          <a:r>
            <a:rPr lang="en-US" altLang="ko-KR" sz="1400" b="1">
              <a:solidFill>
                <a:schemeClr val="tx1"/>
              </a:solidFill>
            </a:rPr>
            <a:t>: </a:t>
          </a:r>
          <a:r>
            <a:rPr lang="ko-KR" altLang="en-US" sz="1400" b="1">
              <a:solidFill>
                <a:schemeClr val="tx1"/>
              </a:solidFill>
            </a:rPr>
            <a:t> </a:t>
          </a:r>
          <a:r>
            <a:rPr lang="en-US" altLang="ko-KR" sz="1400" b="1">
              <a:solidFill>
                <a:schemeClr val="tx1"/>
              </a:solidFill>
            </a:rPr>
            <a:t>10% </a:t>
          </a:r>
          <a:endParaRPr lang="ko-KR" altLang="en-US" sz="1400" b="1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zoomScale="85" zoomScaleNormal="85" workbookViewId="0">
      <pane xSplit="1" ySplit="13" topLeftCell="B16" activePane="bottomRight" state="frozen"/>
      <selection pane="topRight" activeCell="B1" sqref="B1"/>
      <selection pane="bottomLeft" activeCell="A16" sqref="A16"/>
      <selection pane="bottomRight" activeCell="I36" sqref="I36"/>
    </sheetView>
  </sheetViews>
  <sheetFormatPr defaultColWidth="9" defaultRowHeight="17"/>
  <cols>
    <col min="1" max="1" width="3.5" style="1" customWidth="1"/>
    <col min="2" max="2" width="12.83203125" style="1" customWidth="1"/>
    <col min="3" max="3" width="14.58203125" style="1" customWidth="1"/>
    <col min="4" max="4" width="26.58203125" style="1" customWidth="1"/>
    <col min="5" max="5" width="23.5" style="1" customWidth="1"/>
    <col min="6" max="6" width="6.25" style="1" customWidth="1"/>
    <col min="7" max="7" width="36.58203125" style="1" customWidth="1"/>
    <col min="8" max="8" width="6.5" style="1" customWidth="1"/>
    <col min="9" max="9" width="9.83203125" style="1" customWidth="1"/>
    <col min="10" max="10" width="20.33203125" style="1" customWidth="1"/>
    <col min="11" max="11" width="45.25" style="1" customWidth="1"/>
    <col min="12" max="12" width="10.75" style="1" bestFit="1" customWidth="1"/>
    <col min="13" max="13" width="14" style="1" customWidth="1"/>
    <col min="14" max="16384" width="9" style="1"/>
  </cols>
  <sheetData>
    <row r="1" spans="1:11" ht="44">
      <c r="F1" s="260" t="s">
        <v>1638</v>
      </c>
      <c r="G1" s="260"/>
      <c r="H1" s="3"/>
    </row>
    <row r="2" spans="1:11" ht="17.25" customHeight="1">
      <c r="D2" s="1" t="s">
        <v>676</v>
      </c>
      <c r="E2" s="3"/>
      <c r="F2" s="3"/>
      <c r="G2" s="3"/>
      <c r="H2" s="3"/>
    </row>
    <row r="3" spans="1:11">
      <c r="H3" s="261" t="s">
        <v>257</v>
      </c>
      <c r="I3" s="262"/>
      <c r="J3" s="263"/>
      <c r="K3" s="2" t="s">
        <v>258</v>
      </c>
    </row>
    <row r="4" spans="1:11" hidden="1">
      <c r="H4" s="261" t="s">
        <v>259</v>
      </c>
      <c r="I4" s="262"/>
      <c r="J4" s="263"/>
      <c r="K4" s="2">
        <v>1</v>
      </c>
    </row>
    <row r="5" spans="1:11" hidden="1">
      <c r="H5" s="261" t="s">
        <v>260</v>
      </c>
      <c r="I5" s="262"/>
      <c r="J5" s="263"/>
      <c r="K5" s="2">
        <v>1</v>
      </c>
    </row>
    <row r="6" spans="1:11" hidden="1">
      <c r="H6" s="261" t="s">
        <v>261</v>
      </c>
      <c r="I6" s="262"/>
      <c r="J6" s="263"/>
      <c r="K6" s="2">
        <v>1</v>
      </c>
    </row>
    <row r="7" spans="1:11" hidden="1">
      <c r="H7" s="261" t="s">
        <v>7</v>
      </c>
      <c r="I7" s="262"/>
      <c r="J7" s="263"/>
      <c r="K7" s="2">
        <v>1</v>
      </c>
    </row>
    <row r="8" spans="1:11" hidden="1">
      <c r="H8" s="261" t="s">
        <v>262</v>
      </c>
      <c r="I8" s="262"/>
      <c r="J8" s="263"/>
      <c r="K8" s="2">
        <v>1</v>
      </c>
    </row>
    <row r="9" spans="1:11" hidden="1">
      <c r="H9" s="261" t="s">
        <v>263</v>
      </c>
      <c r="I9" s="262"/>
      <c r="J9" s="263"/>
      <c r="K9" s="2">
        <v>1</v>
      </c>
    </row>
    <row r="10" spans="1:11" hidden="1">
      <c r="H10" s="261" t="s">
        <v>264</v>
      </c>
      <c r="I10" s="262"/>
      <c r="J10" s="263"/>
      <c r="K10" s="2">
        <v>1</v>
      </c>
    </row>
    <row r="11" spans="1:11">
      <c r="H11" s="261" t="s">
        <v>265</v>
      </c>
      <c r="I11" s="262"/>
      <c r="J11" s="263"/>
      <c r="K11" s="2"/>
    </row>
    <row r="12" spans="1:11" ht="17.5" thickBot="1"/>
    <row r="13" spans="1:11" ht="17.5" thickBot="1">
      <c r="A13" s="62" t="s">
        <v>80</v>
      </c>
      <c r="B13" s="63" t="s">
        <v>0</v>
      </c>
      <c r="C13" s="63" t="s">
        <v>142</v>
      </c>
      <c r="D13" s="63" t="s">
        <v>103</v>
      </c>
      <c r="E13" s="63" t="s">
        <v>104</v>
      </c>
      <c r="F13" s="63" t="s">
        <v>83</v>
      </c>
      <c r="G13" s="63" t="s">
        <v>84</v>
      </c>
      <c r="H13" s="63" t="s">
        <v>255</v>
      </c>
      <c r="I13" s="63" t="s">
        <v>85</v>
      </c>
      <c r="J13" s="63" t="s">
        <v>256</v>
      </c>
      <c r="K13" s="64" t="s">
        <v>79</v>
      </c>
    </row>
    <row r="14" spans="1:11">
      <c r="A14" s="257">
        <v>1</v>
      </c>
      <c r="B14" s="11" t="s">
        <v>1656</v>
      </c>
      <c r="C14" s="11" t="s">
        <v>1622</v>
      </c>
      <c r="D14" s="11" t="s">
        <v>484</v>
      </c>
      <c r="E14" s="11" t="s">
        <v>1625</v>
      </c>
      <c r="F14" s="11">
        <v>1</v>
      </c>
      <c r="G14" s="11" t="s">
        <v>366</v>
      </c>
      <c r="H14" s="54">
        <f>$K$4*F14</f>
        <v>1</v>
      </c>
      <c r="I14" s="54">
        <v>3150</v>
      </c>
      <c r="J14" s="54">
        <f>H14*I14</f>
        <v>3150</v>
      </c>
      <c r="K14" s="12"/>
    </row>
    <row r="15" spans="1:11">
      <c r="A15" s="258"/>
      <c r="B15" s="13" t="s">
        <v>1655</v>
      </c>
      <c r="C15" s="228" t="s">
        <v>1621</v>
      </c>
      <c r="D15" s="13" t="s">
        <v>1626</v>
      </c>
      <c r="E15" s="61" t="s">
        <v>534</v>
      </c>
      <c r="F15" s="13">
        <v>1</v>
      </c>
      <c r="G15" s="13" t="s">
        <v>1603</v>
      </c>
      <c r="H15" s="60">
        <f t="shared" ref="H15:H16" si="0">$K$4*F15</f>
        <v>1</v>
      </c>
      <c r="I15" s="60">
        <v>21000</v>
      </c>
      <c r="J15" s="60">
        <f t="shared" ref="J15:J17" si="1">H15*I15</f>
        <v>21000</v>
      </c>
      <c r="K15" s="16"/>
    </row>
    <row r="16" spans="1:11" ht="17.5" thickBot="1">
      <c r="A16" s="258"/>
      <c r="B16" s="13" t="s">
        <v>1655</v>
      </c>
      <c r="C16" s="13" t="s">
        <v>1621</v>
      </c>
      <c r="D16" s="13" t="s">
        <v>1613</v>
      </c>
      <c r="E16" s="13" t="s">
        <v>1614</v>
      </c>
      <c r="F16" s="13">
        <v>1</v>
      </c>
      <c r="G16" s="13" t="s">
        <v>1605</v>
      </c>
      <c r="H16" s="60">
        <f t="shared" si="0"/>
        <v>1</v>
      </c>
      <c r="I16" s="60">
        <v>40000</v>
      </c>
      <c r="J16" s="60">
        <f t="shared" si="1"/>
        <v>40000</v>
      </c>
      <c r="K16" s="16" t="s">
        <v>1728</v>
      </c>
    </row>
    <row r="17" spans="1:12" ht="18" thickBot="1">
      <c r="A17" s="259"/>
      <c r="B17" s="53" t="s">
        <v>1655</v>
      </c>
      <c r="C17" s="28" t="s">
        <v>1621</v>
      </c>
      <c r="D17" s="53" t="s">
        <v>1617</v>
      </c>
      <c r="E17" s="53" t="s">
        <v>1618</v>
      </c>
      <c r="F17" s="53">
        <v>3</v>
      </c>
      <c r="G17" s="53" t="s">
        <v>1607</v>
      </c>
      <c r="H17" s="65">
        <v>1</v>
      </c>
      <c r="I17" s="65">
        <v>12000</v>
      </c>
      <c r="J17" s="65">
        <f t="shared" si="1"/>
        <v>12000</v>
      </c>
      <c r="K17" s="14" t="s">
        <v>485</v>
      </c>
      <c r="L17" s="107">
        <f>SUM(J14:J17)</f>
        <v>76150</v>
      </c>
    </row>
    <row r="18" spans="1:12">
      <c r="A18" s="265">
        <v>2</v>
      </c>
      <c r="B18" s="10" t="s">
        <v>1658</v>
      </c>
      <c r="C18" s="10" t="s">
        <v>1624</v>
      </c>
      <c r="D18" s="10" t="s">
        <v>484</v>
      </c>
      <c r="E18" s="10" t="s">
        <v>1625</v>
      </c>
      <c r="F18" s="10">
        <v>1</v>
      </c>
      <c r="G18" s="10" t="s">
        <v>366</v>
      </c>
      <c r="H18" s="56">
        <f>$K$4*F18</f>
        <v>1</v>
      </c>
      <c r="I18" s="56">
        <v>3150</v>
      </c>
      <c r="J18" s="56">
        <f>H18*I18</f>
        <v>3150</v>
      </c>
      <c r="K18" s="17"/>
    </row>
    <row r="19" spans="1:12">
      <c r="A19" s="265"/>
      <c r="B19" s="13" t="s">
        <v>1657</v>
      </c>
      <c r="C19" s="228" t="s">
        <v>1623</v>
      </c>
      <c r="D19" s="13" t="s">
        <v>1627</v>
      </c>
      <c r="E19" s="61" t="s">
        <v>534</v>
      </c>
      <c r="F19" s="13">
        <v>1</v>
      </c>
      <c r="G19" s="13" t="s">
        <v>1603</v>
      </c>
      <c r="H19" s="60">
        <f t="shared" ref="H19:H20" si="2">$K$4*F19</f>
        <v>1</v>
      </c>
      <c r="I19" s="60">
        <v>22000</v>
      </c>
      <c r="J19" s="60">
        <f t="shared" ref="J19:J21" si="3">H19*I19</f>
        <v>22000</v>
      </c>
      <c r="K19" s="16"/>
    </row>
    <row r="20" spans="1:12" ht="17.5" thickBot="1">
      <c r="A20" s="265"/>
      <c r="B20" s="13" t="s">
        <v>1657</v>
      </c>
      <c r="C20" s="13" t="s">
        <v>1623</v>
      </c>
      <c r="D20" s="13" t="s">
        <v>1613</v>
      </c>
      <c r="E20" s="13" t="s">
        <v>1614</v>
      </c>
      <c r="F20" s="13">
        <v>1</v>
      </c>
      <c r="G20" s="13" t="s">
        <v>1605</v>
      </c>
      <c r="H20" s="60">
        <f t="shared" si="2"/>
        <v>1</v>
      </c>
      <c r="I20" s="60">
        <v>40000</v>
      </c>
      <c r="J20" s="60">
        <f t="shared" si="3"/>
        <v>40000</v>
      </c>
      <c r="K20" s="16" t="s">
        <v>1728</v>
      </c>
    </row>
    <row r="21" spans="1:12" ht="18" thickBot="1">
      <c r="A21" s="265"/>
      <c r="B21" s="15" t="s">
        <v>1657</v>
      </c>
      <c r="C21" s="228" t="s">
        <v>1623</v>
      </c>
      <c r="D21" s="15" t="s">
        <v>1617</v>
      </c>
      <c r="E21" s="15" t="s">
        <v>1618</v>
      </c>
      <c r="F21" s="15">
        <v>3</v>
      </c>
      <c r="G21" s="15" t="s">
        <v>1607</v>
      </c>
      <c r="H21" s="55">
        <v>2</v>
      </c>
      <c r="I21" s="55">
        <v>12000</v>
      </c>
      <c r="J21" s="55">
        <f t="shared" si="3"/>
        <v>24000</v>
      </c>
      <c r="K21" s="22" t="s">
        <v>485</v>
      </c>
      <c r="L21" s="107">
        <f>SUM(J18:J21)</f>
        <v>89150</v>
      </c>
    </row>
    <row r="22" spans="1:12">
      <c r="A22" s="266">
        <v>3</v>
      </c>
      <c r="B22" s="11" t="s">
        <v>1659</v>
      </c>
      <c r="C22" s="11" t="s">
        <v>1620</v>
      </c>
      <c r="D22" s="11" t="s">
        <v>484</v>
      </c>
      <c r="E22" s="11" t="s">
        <v>1625</v>
      </c>
      <c r="F22" s="11">
        <v>1</v>
      </c>
      <c r="G22" s="11" t="s">
        <v>366</v>
      </c>
      <c r="H22" s="54">
        <f>$K$4*F22</f>
        <v>1</v>
      </c>
      <c r="I22" s="54">
        <v>3150</v>
      </c>
      <c r="J22" s="54">
        <f>H22*I22</f>
        <v>3150</v>
      </c>
      <c r="K22" s="12"/>
    </row>
    <row r="23" spans="1:12">
      <c r="A23" s="265"/>
      <c r="B23" s="13" t="s">
        <v>21</v>
      </c>
      <c r="C23" s="228" t="s">
        <v>1619</v>
      </c>
      <c r="D23" s="13" t="s">
        <v>1608</v>
      </c>
      <c r="E23" s="61" t="s">
        <v>534</v>
      </c>
      <c r="F23" s="13">
        <v>1</v>
      </c>
      <c r="G23" s="13" t="s">
        <v>1603</v>
      </c>
      <c r="H23" s="60">
        <f t="shared" ref="H23:H24" si="4">$K$4*F23</f>
        <v>1</v>
      </c>
      <c r="I23" s="60">
        <v>24000</v>
      </c>
      <c r="J23" s="60">
        <f t="shared" ref="J23:J25" si="5">H23*I23</f>
        <v>24000</v>
      </c>
      <c r="K23" s="16"/>
    </row>
    <row r="24" spans="1:12" ht="17.5" thickBot="1">
      <c r="A24" s="265"/>
      <c r="B24" s="13" t="s">
        <v>21</v>
      </c>
      <c r="C24" s="13" t="s">
        <v>1619</v>
      </c>
      <c r="D24" s="13" t="s">
        <v>1613</v>
      </c>
      <c r="E24" s="13" t="s">
        <v>1614</v>
      </c>
      <c r="F24" s="13">
        <v>1</v>
      </c>
      <c r="G24" s="13" t="s">
        <v>1605</v>
      </c>
      <c r="H24" s="60">
        <f t="shared" si="4"/>
        <v>1</v>
      </c>
      <c r="I24" s="60">
        <v>40000</v>
      </c>
      <c r="J24" s="60">
        <f t="shared" si="5"/>
        <v>40000</v>
      </c>
      <c r="K24" s="16" t="s">
        <v>1728</v>
      </c>
    </row>
    <row r="25" spans="1:12" ht="18" thickBot="1">
      <c r="A25" s="267"/>
      <c r="B25" s="53" t="s">
        <v>21</v>
      </c>
      <c r="C25" s="28" t="s">
        <v>1619</v>
      </c>
      <c r="D25" s="53" t="s">
        <v>1617</v>
      </c>
      <c r="E25" s="53" t="s">
        <v>1618</v>
      </c>
      <c r="F25" s="53">
        <v>3</v>
      </c>
      <c r="G25" s="53" t="s">
        <v>1607</v>
      </c>
      <c r="H25" s="65">
        <v>2</v>
      </c>
      <c r="I25" s="65">
        <v>12000</v>
      </c>
      <c r="J25" s="65">
        <f t="shared" si="5"/>
        <v>24000</v>
      </c>
      <c r="K25" s="14" t="s">
        <v>485</v>
      </c>
      <c r="L25" s="107">
        <f>SUM(J22:J25)</f>
        <v>91150</v>
      </c>
    </row>
    <row r="26" spans="1:12">
      <c r="A26" s="257">
        <v>4</v>
      </c>
      <c r="B26" s="11" t="s">
        <v>1661</v>
      </c>
      <c r="C26" s="11" t="s">
        <v>1596</v>
      </c>
      <c r="D26" s="11" t="s">
        <v>480</v>
      </c>
      <c r="E26" s="11" t="s">
        <v>237</v>
      </c>
      <c r="F26" s="11">
        <v>1</v>
      </c>
      <c r="G26" s="11" t="s">
        <v>366</v>
      </c>
      <c r="H26" s="54">
        <f>$K$4*F26</f>
        <v>1</v>
      </c>
      <c r="I26" s="54">
        <v>3650</v>
      </c>
      <c r="J26" s="54">
        <f>H26*I26</f>
        <v>3650</v>
      </c>
      <c r="K26" s="12"/>
    </row>
    <row r="27" spans="1:12">
      <c r="A27" s="258"/>
      <c r="B27" s="13" t="s">
        <v>1660</v>
      </c>
      <c r="C27" s="13" t="s">
        <v>1595</v>
      </c>
      <c r="D27" s="13" t="s">
        <v>1609</v>
      </c>
      <c r="E27" s="61" t="s">
        <v>534</v>
      </c>
      <c r="F27" s="13">
        <v>1</v>
      </c>
      <c r="G27" s="13" t="s">
        <v>1603</v>
      </c>
      <c r="H27" s="60">
        <f t="shared" ref="H27:H41" si="6">$K$4*F27</f>
        <v>1</v>
      </c>
      <c r="I27" s="60">
        <v>29000</v>
      </c>
      <c r="J27" s="60">
        <f t="shared" ref="J27:J41" si="7">H27*I27</f>
        <v>29000</v>
      </c>
      <c r="K27" s="16"/>
    </row>
    <row r="28" spans="1:12" ht="17.5" thickBot="1">
      <c r="A28" s="258"/>
      <c r="B28" s="13" t="s">
        <v>1660</v>
      </c>
      <c r="C28" s="13" t="s">
        <v>1595</v>
      </c>
      <c r="D28" s="13" t="s">
        <v>1613</v>
      </c>
      <c r="E28" s="13" t="s">
        <v>1614</v>
      </c>
      <c r="F28" s="13">
        <v>1</v>
      </c>
      <c r="G28" s="13" t="s">
        <v>1604</v>
      </c>
      <c r="H28" s="60">
        <f t="shared" si="6"/>
        <v>1</v>
      </c>
      <c r="I28" s="60">
        <v>64000</v>
      </c>
      <c r="J28" s="60">
        <f t="shared" si="7"/>
        <v>64000</v>
      </c>
      <c r="K28" s="16" t="s">
        <v>1727</v>
      </c>
    </row>
    <row r="29" spans="1:12" ht="18" thickBot="1">
      <c r="A29" s="264"/>
      <c r="B29" s="15" t="s">
        <v>1660</v>
      </c>
      <c r="C29" s="15" t="s">
        <v>1595</v>
      </c>
      <c r="D29" s="15" t="s">
        <v>1617</v>
      </c>
      <c r="E29" s="15" t="s">
        <v>1618</v>
      </c>
      <c r="F29" s="15">
        <v>3</v>
      </c>
      <c r="G29" s="15" t="s">
        <v>1606</v>
      </c>
      <c r="H29" s="55">
        <f t="shared" si="6"/>
        <v>3</v>
      </c>
      <c r="I29" s="55">
        <v>12000</v>
      </c>
      <c r="J29" s="55">
        <f t="shared" si="7"/>
        <v>36000</v>
      </c>
      <c r="K29" s="22" t="s">
        <v>485</v>
      </c>
      <c r="L29" s="107">
        <f>SUM(J26:J29)</f>
        <v>132650</v>
      </c>
    </row>
    <row r="30" spans="1:12">
      <c r="A30" s="257">
        <v>5</v>
      </c>
      <c r="B30" s="11" t="s">
        <v>1663</v>
      </c>
      <c r="C30" s="11" t="s">
        <v>1598</v>
      </c>
      <c r="D30" s="11" t="s">
        <v>481</v>
      </c>
      <c r="E30" s="11" t="s">
        <v>88</v>
      </c>
      <c r="F30" s="11">
        <v>1</v>
      </c>
      <c r="G30" s="11" t="s">
        <v>367</v>
      </c>
      <c r="H30" s="54">
        <f t="shared" si="6"/>
        <v>1</v>
      </c>
      <c r="I30" s="54">
        <v>4200</v>
      </c>
      <c r="J30" s="54">
        <f t="shared" si="7"/>
        <v>4200</v>
      </c>
      <c r="K30" s="12"/>
    </row>
    <row r="31" spans="1:12">
      <c r="A31" s="258"/>
      <c r="B31" s="13" t="s">
        <v>1662</v>
      </c>
      <c r="C31" s="13" t="s">
        <v>1597</v>
      </c>
      <c r="D31" s="13" t="s">
        <v>1610</v>
      </c>
      <c r="E31" s="61" t="s">
        <v>534</v>
      </c>
      <c r="F31" s="13">
        <v>1</v>
      </c>
      <c r="G31" s="13" t="s">
        <v>1603</v>
      </c>
      <c r="H31" s="60">
        <f t="shared" si="6"/>
        <v>1</v>
      </c>
      <c r="I31" s="60">
        <v>35000</v>
      </c>
      <c r="J31" s="60">
        <f t="shared" si="7"/>
        <v>35000</v>
      </c>
      <c r="K31" s="16"/>
    </row>
    <row r="32" spans="1:12" ht="17.5" thickBot="1">
      <c r="A32" s="258"/>
      <c r="B32" s="13" t="s">
        <v>1662</v>
      </c>
      <c r="C32" s="13" t="s">
        <v>1597</v>
      </c>
      <c r="D32" s="13" t="s">
        <v>1615</v>
      </c>
      <c r="E32" s="13" t="s">
        <v>1616</v>
      </c>
      <c r="F32" s="13">
        <v>1</v>
      </c>
      <c r="G32" s="13" t="s">
        <v>1604</v>
      </c>
      <c r="H32" s="60">
        <f t="shared" si="6"/>
        <v>1</v>
      </c>
      <c r="I32" s="60">
        <v>64000</v>
      </c>
      <c r="J32" s="60">
        <f t="shared" si="7"/>
        <v>64000</v>
      </c>
      <c r="K32" s="16" t="s">
        <v>1727</v>
      </c>
    </row>
    <row r="33" spans="1:12" ht="18" thickBot="1">
      <c r="A33" s="259"/>
      <c r="B33" s="53" t="s">
        <v>1662</v>
      </c>
      <c r="C33" s="53" t="s">
        <v>1597</v>
      </c>
      <c r="D33" s="53" t="s">
        <v>1617</v>
      </c>
      <c r="E33" s="53" t="s">
        <v>1618</v>
      </c>
      <c r="F33" s="53">
        <v>4</v>
      </c>
      <c r="G33" s="53" t="s">
        <v>1606</v>
      </c>
      <c r="H33" s="65">
        <f t="shared" si="6"/>
        <v>4</v>
      </c>
      <c r="I33" s="65">
        <v>12000</v>
      </c>
      <c r="J33" s="65">
        <f t="shared" si="7"/>
        <v>48000</v>
      </c>
      <c r="K33" s="14" t="s">
        <v>485</v>
      </c>
      <c r="L33" s="107">
        <f>SUM(J30:J33)</f>
        <v>151200</v>
      </c>
    </row>
    <row r="34" spans="1:12">
      <c r="A34" s="274">
        <v>6</v>
      </c>
      <c r="B34" s="10" t="s">
        <v>1665</v>
      </c>
      <c r="C34" s="10" t="s">
        <v>1600</v>
      </c>
      <c r="D34" s="10" t="s">
        <v>482</v>
      </c>
      <c r="E34" s="10" t="s">
        <v>91</v>
      </c>
      <c r="F34" s="10">
        <v>1</v>
      </c>
      <c r="G34" s="10" t="s">
        <v>367</v>
      </c>
      <c r="H34" s="56">
        <f t="shared" si="6"/>
        <v>1</v>
      </c>
      <c r="I34" s="56">
        <v>4700</v>
      </c>
      <c r="J34" s="56">
        <f t="shared" si="7"/>
        <v>4700</v>
      </c>
      <c r="K34" s="17"/>
    </row>
    <row r="35" spans="1:12">
      <c r="A35" s="258"/>
      <c r="B35" s="13" t="s">
        <v>1665</v>
      </c>
      <c r="C35" s="13" t="s">
        <v>1599</v>
      </c>
      <c r="D35" s="13" t="s">
        <v>1611</v>
      </c>
      <c r="E35" s="61" t="s">
        <v>534</v>
      </c>
      <c r="F35" s="13">
        <v>1</v>
      </c>
      <c r="G35" s="13" t="s">
        <v>1603</v>
      </c>
      <c r="H35" s="60">
        <f t="shared" si="6"/>
        <v>1</v>
      </c>
      <c r="I35" s="60">
        <v>38000</v>
      </c>
      <c r="J35" s="60">
        <f t="shared" si="7"/>
        <v>38000</v>
      </c>
      <c r="K35" s="16"/>
    </row>
    <row r="36" spans="1:12" ht="17.5" thickBot="1">
      <c r="A36" s="258"/>
      <c r="B36" s="13" t="s">
        <v>1664</v>
      </c>
      <c r="C36" s="13" t="s">
        <v>1599</v>
      </c>
      <c r="D36" s="13" t="s">
        <v>1615</v>
      </c>
      <c r="E36" s="13" t="s">
        <v>1616</v>
      </c>
      <c r="F36" s="13">
        <v>1</v>
      </c>
      <c r="G36" s="13" t="s">
        <v>1604</v>
      </c>
      <c r="H36" s="60">
        <f t="shared" si="6"/>
        <v>1</v>
      </c>
      <c r="I36" s="60">
        <v>64000</v>
      </c>
      <c r="J36" s="60">
        <f t="shared" si="7"/>
        <v>64000</v>
      </c>
      <c r="K36" s="16" t="s">
        <v>1727</v>
      </c>
    </row>
    <row r="37" spans="1:12" ht="18" thickBot="1">
      <c r="A37" s="264"/>
      <c r="B37" s="15" t="s">
        <v>1664</v>
      </c>
      <c r="C37" s="15" t="s">
        <v>1599</v>
      </c>
      <c r="D37" s="15" t="s">
        <v>1617</v>
      </c>
      <c r="E37" s="15" t="s">
        <v>1618</v>
      </c>
      <c r="F37" s="15">
        <v>5</v>
      </c>
      <c r="G37" s="15" t="s">
        <v>1606</v>
      </c>
      <c r="H37" s="55">
        <f t="shared" si="6"/>
        <v>5</v>
      </c>
      <c r="I37" s="55">
        <v>12000</v>
      </c>
      <c r="J37" s="55">
        <f t="shared" si="7"/>
        <v>60000</v>
      </c>
      <c r="K37" s="22" t="s">
        <v>485</v>
      </c>
      <c r="L37" s="107">
        <f>SUM(J34:J37)</f>
        <v>166700</v>
      </c>
    </row>
    <row r="38" spans="1:12">
      <c r="A38" s="257">
        <v>7</v>
      </c>
      <c r="B38" s="11" t="s">
        <v>1667</v>
      </c>
      <c r="C38" s="11" t="s">
        <v>1602</v>
      </c>
      <c r="D38" s="11" t="s">
        <v>483</v>
      </c>
      <c r="E38" s="11" t="s">
        <v>92</v>
      </c>
      <c r="F38" s="11">
        <v>1</v>
      </c>
      <c r="G38" s="11" t="s">
        <v>367</v>
      </c>
      <c r="H38" s="54">
        <f t="shared" si="6"/>
        <v>1</v>
      </c>
      <c r="I38" s="54">
        <v>5250</v>
      </c>
      <c r="J38" s="54">
        <f t="shared" si="7"/>
        <v>5250</v>
      </c>
      <c r="K38" s="12"/>
    </row>
    <row r="39" spans="1:12">
      <c r="A39" s="258"/>
      <c r="B39" s="13" t="s">
        <v>1666</v>
      </c>
      <c r="C39" s="13" t="s">
        <v>1601</v>
      </c>
      <c r="D39" s="13" t="s">
        <v>1612</v>
      </c>
      <c r="E39" s="61" t="s">
        <v>534</v>
      </c>
      <c r="F39" s="13">
        <v>1</v>
      </c>
      <c r="G39" s="13" t="s">
        <v>1603</v>
      </c>
      <c r="H39" s="60">
        <f t="shared" si="6"/>
        <v>1</v>
      </c>
      <c r="I39" s="60">
        <v>40000</v>
      </c>
      <c r="J39" s="60">
        <f t="shared" si="7"/>
        <v>40000</v>
      </c>
      <c r="K39" s="16"/>
    </row>
    <row r="40" spans="1:12" ht="17.5" thickBot="1">
      <c r="A40" s="258"/>
      <c r="B40" s="13" t="s">
        <v>1666</v>
      </c>
      <c r="C40" s="13" t="s">
        <v>1601</v>
      </c>
      <c r="D40" s="13" t="s">
        <v>1615</v>
      </c>
      <c r="E40" s="13" t="s">
        <v>1616</v>
      </c>
      <c r="F40" s="13">
        <v>1</v>
      </c>
      <c r="G40" s="13" t="s">
        <v>1604</v>
      </c>
      <c r="H40" s="60">
        <f t="shared" si="6"/>
        <v>1</v>
      </c>
      <c r="I40" s="60">
        <v>64000</v>
      </c>
      <c r="J40" s="60">
        <f t="shared" si="7"/>
        <v>64000</v>
      </c>
      <c r="K40" s="16" t="s">
        <v>1727</v>
      </c>
    </row>
    <row r="41" spans="1:12" ht="18" thickBot="1">
      <c r="A41" s="259"/>
      <c r="B41" s="53" t="s">
        <v>1666</v>
      </c>
      <c r="C41" s="53" t="s">
        <v>1601</v>
      </c>
      <c r="D41" s="53" t="s">
        <v>1617</v>
      </c>
      <c r="E41" s="53" t="s">
        <v>1618</v>
      </c>
      <c r="F41" s="53">
        <v>6</v>
      </c>
      <c r="G41" s="53" t="s">
        <v>1606</v>
      </c>
      <c r="H41" s="65">
        <f t="shared" si="6"/>
        <v>6</v>
      </c>
      <c r="I41" s="65">
        <v>12000</v>
      </c>
      <c r="J41" s="65">
        <f t="shared" si="7"/>
        <v>72000</v>
      </c>
      <c r="K41" s="14" t="s">
        <v>485</v>
      </c>
      <c r="L41" s="107">
        <f>SUM(J38:J41)</f>
        <v>181250</v>
      </c>
    </row>
    <row r="42" spans="1:12" ht="17.5" thickBot="1"/>
    <row r="43" spans="1:12">
      <c r="A43" s="257">
        <v>8</v>
      </c>
      <c r="B43" s="11"/>
      <c r="C43" s="11" t="s">
        <v>1721</v>
      </c>
      <c r="D43" s="11" t="s">
        <v>1724</v>
      </c>
      <c r="E43" s="11" t="s">
        <v>1718</v>
      </c>
      <c r="F43" s="11">
        <v>1</v>
      </c>
      <c r="G43" s="11" t="s">
        <v>367</v>
      </c>
      <c r="H43" s="54">
        <f t="shared" ref="H43:H46" si="8">$K$4*F43</f>
        <v>1</v>
      </c>
      <c r="I43" s="54">
        <v>6300</v>
      </c>
      <c r="J43" s="54">
        <f t="shared" ref="J43:J46" si="9">H43*I43</f>
        <v>6300</v>
      </c>
      <c r="K43" s="12"/>
    </row>
    <row r="44" spans="1:12">
      <c r="A44" s="258"/>
      <c r="B44" s="13"/>
      <c r="C44" s="13" t="s">
        <v>1720</v>
      </c>
      <c r="D44" s="13" t="s">
        <v>1730</v>
      </c>
      <c r="E44" s="61" t="s">
        <v>534</v>
      </c>
      <c r="F44" s="13">
        <v>1</v>
      </c>
      <c r="G44" s="13" t="s">
        <v>1603</v>
      </c>
      <c r="H44" s="60">
        <f t="shared" si="8"/>
        <v>1</v>
      </c>
      <c r="I44" s="60">
        <v>43000</v>
      </c>
      <c r="J44" s="60">
        <f t="shared" si="9"/>
        <v>43000</v>
      </c>
      <c r="K44" s="16"/>
    </row>
    <row r="45" spans="1:12" ht="17.5" thickBot="1">
      <c r="A45" s="258"/>
      <c r="B45" s="13"/>
      <c r="C45" s="13" t="s">
        <v>1720</v>
      </c>
      <c r="D45" s="13" t="s">
        <v>1615</v>
      </c>
      <c r="E45" s="13" t="s">
        <v>1616</v>
      </c>
      <c r="F45" s="13">
        <v>1</v>
      </c>
      <c r="G45" s="13" t="s">
        <v>1726</v>
      </c>
      <c r="H45" s="60">
        <f t="shared" si="8"/>
        <v>1</v>
      </c>
      <c r="I45" s="60">
        <v>95000</v>
      </c>
      <c r="J45" s="60">
        <f t="shared" si="9"/>
        <v>95000</v>
      </c>
      <c r="K45" s="16" t="s">
        <v>1717</v>
      </c>
    </row>
    <row r="46" spans="1:12" ht="18" thickBot="1">
      <c r="A46" s="259"/>
      <c r="B46" s="53"/>
      <c r="C46" s="53" t="s">
        <v>1720</v>
      </c>
      <c r="D46" s="53" t="s">
        <v>1617</v>
      </c>
      <c r="E46" s="53" t="s">
        <v>1618</v>
      </c>
      <c r="F46" s="53">
        <v>8</v>
      </c>
      <c r="G46" s="53" t="s">
        <v>1606</v>
      </c>
      <c r="H46" s="65">
        <f t="shared" si="8"/>
        <v>8</v>
      </c>
      <c r="I46" s="65">
        <v>12000</v>
      </c>
      <c r="J46" s="65">
        <f t="shared" si="9"/>
        <v>96000</v>
      </c>
      <c r="K46" s="14" t="s">
        <v>485</v>
      </c>
      <c r="L46" s="107">
        <f>SUM(J43:J46)</f>
        <v>240300</v>
      </c>
    </row>
    <row r="47" spans="1:12">
      <c r="A47" s="257">
        <v>9</v>
      </c>
      <c r="B47" s="11"/>
      <c r="C47" s="11" t="s">
        <v>1723</v>
      </c>
      <c r="D47" s="11" t="s">
        <v>1725</v>
      </c>
      <c r="E47" s="11" t="s">
        <v>1719</v>
      </c>
      <c r="F47" s="11">
        <v>1</v>
      </c>
      <c r="G47" s="11" t="s">
        <v>367</v>
      </c>
      <c r="H47" s="54">
        <f t="shared" ref="H47:H50" si="10">$K$4*F47</f>
        <v>1</v>
      </c>
      <c r="I47" s="54">
        <v>8000</v>
      </c>
      <c r="J47" s="54">
        <f t="shared" ref="J47:J50" si="11">H47*I47</f>
        <v>8000</v>
      </c>
      <c r="K47" s="12"/>
    </row>
    <row r="48" spans="1:12">
      <c r="A48" s="258"/>
      <c r="B48" s="13"/>
      <c r="C48" s="13" t="s">
        <v>1722</v>
      </c>
      <c r="D48" s="13" t="s">
        <v>1731</v>
      </c>
      <c r="E48" s="61" t="s">
        <v>534</v>
      </c>
      <c r="F48" s="13">
        <v>1</v>
      </c>
      <c r="G48" s="13" t="s">
        <v>1603</v>
      </c>
      <c r="H48" s="60">
        <f t="shared" si="10"/>
        <v>1</v>
      </c>
      <c r="I48" s="60">
        <v>48000</v>
      </c>
      <c r="J48" s="60">
        <f t="shared" si="11"/>
        <v>48000</v>
      </c>
      <c r="K48" s="16"/>
    </row>
    <row r="49" spans="1:12" ht="17.5" thickBot="1">
      <c r="A49" s="258"/>
      <c r="B49" s="13"/>
      <c r="C49" s="13" t="s">
        <v>1722</v>
      </c>
      <c r="D49" s="13" t="s">
        <v>1615</v>
      </c>
      <c r="E49" s="13" t="s">
        <v>1616</v>
      </c>
      <c r="F49" s="13">
        <v>1</v>
      </c>
      <c r="G49" s="13" t="s">
        <v>1726</v>
      </c>
      <c r="H49" s="60">
        <f t="shared" si="10"/>
        <v>1</v>
      </c>
      <c r="I49" s="60">
        <v>95000</v>
      </c>
      <c r="J49" s="60">
        <f t="shared" si="11"/>
        <v>95000</v>
      </c>
      <c r="K49" s="16" t="s">
        <v>1717</v>
      </c>
    </row>
    <row r="50" spans="1:12" ht="18" thickBot="1">
      <c r="A50" s="259"/>
      <c r="B50" s="53"/>
      <c r="C50" s="53" t="s">
        <v>1722</v>
      </c>
      <c r="D50" s="53" t="s">
        <v>1617</v>
      </c>
      <c r="E50" s="53" t="s">
        <v>1618</v>
      </c>
      <c r="F50" s="53">
        <v>10</v>
      </c>
      <c r="G50" s="53" t="s">
        <v>1606</v>
      </c>
      <c r="H50" s="65">
        <f t="shared" si="10"/>
        <v>10</v>
      </c>
      <c r="I50" s="65">
        <v>12000</v>
      </c>
      <c r="J50" s="65">
        <f t="shared" si="11"/>
        <v>120000</v>
      </c>
      <c r="K50" s="14" t="s">
        <v>485</v>
      </c>
      <c r="L50" s="107">
        <f>SUM(J47:J50)</f>
        <v>271000</v>
      </c>
    </row>
    <row r="52" spans="1:12" ht="17.5" thickBot="1"/>
    <row r="53" spans="1:12" ht="27" customHeight="1" thickBot="1">
      <c r="C53" s="119"/>
      <c r="D53" s="120"/>
      <c r="E53" s="275"/>
      <c r="F53" s="270"/>
      <c r="G53" s="120" t="s">
        <v>763</v>
      </c>
      <c r="H53" s="276" t="s">
        <v>764</v>
      </c>
      <c r="I53" s="276"/>
      <c r="J53" s="277"/>
    </row>
    <row r="54" spans="1:12" ht="27" customHeight="1">
      <c r="C54" s="117" t="s">
        <v>760</v>
      </c>
      <c r="D54" s="121">
        <v>3000000</v>
      </c>
      <c r="E54" s="278" t="s">
        <v>762</v>
      </c>
      <c r="F54" s="279"/>
      <c r="G54" s="122">
        <f>D54/22</f>
        <v>136363.63636363635</v>
      </c>
      <c r="H54" s="280" t="s">
        <v>765</v>
      </c>
      <c r="I54" s="280"/>
      <c r="J54" s="281"/>
    </row>
    <row r="55" spans="1:12" ht="27" customHeight="1" thickBot="1">
      <c r="C55" s="118" t="s">
        <v>761</v>
      </c>
      <c r="D55" s="123">
        <v>3500000</v>
      </c>
      <c r="E55" s="282" t="s">
        <v>762</v>
      </c>
      <c r="F55" s="283"/>
      <c r="G55" s="124">
        <f>D55/22</f>
        <v>159090.90909090909</v>
      </c>
      <c r="H55" s="284" t="s">
        <v>766</v>
      </c>
      <c r="I55" s="284"/>
      <c r="J55" s="285"/>
    </row>
    <row r="56" spans="1:12" ht="27" customHeight="1" thickBot="1">
      <c r="C56" s="268" t="s">
        <v>265</v>
      </c>
      <c r="D56" s="269"/>
      <c r="E56" s="269"/>
      <c r="F56" s="270"/>
      <c r="G56" s="125">
        <f>SUM(G54:G55)</f>
        <v>295454.54545454541</v>
      </c>
      <c r="H56" s="271">
        <f>83333+97222</f>
        <v>180555</v>
      </c>
      <c r="I56" s="272"/>
      <c r="J56" s="273"/>
    </row>
    <row r="61" spans="1:12">
      <c r="D61" s="1" t="s">
        <v>536</v>
      </c>
    </row>
  </sheetData>
  <autoFilter ref="A13:K41"/>
  <mergeCells count="27">
    <mergeCell ref="C56:F56"/>
    <mergeCell ref="H56:J56"/>
    <mergeCell ref="A34:A37"/>
    <mergeCell ref="A38:A41"/>
    <mergeCell ref="E53:F53"/>
    <mergeCell ref="H53:J53"/>
    <mergeCell ref="E54:F54"/>
    <mergeCell ref="H54:J54"/>
    <mergeCell ref="E55:F55"/>
    <mergeCell ref="H55:J55"/>
    <mergeCell ref="A43:A46"/>
    <mergeCell ref="A47:A50"/>
    <mergeCell ref="A30:A33"/>
    <mergeCell ref="A14:A17"/>
    <mergeCell ref="F1:G1"/>
    <mergeCell ref="H3:J3"/>
    <mergeCell ref="H4:J4"/>
    <mergeCell ref="H5:J5"/>
    <mergeCell ref="H6:J6"/>
    <mergeCell ref="H7:J7"/>
    <mergeCell ref="H8:J8"/>
    <mergeCell ref="H9:J9"/>
    <mergeCell ref="H10:J10"/>
    <mergeCell ref="H11:J11"/>
    <mergeCell ref="A26:A29"/>
    <mergeCell ref="A18:A21"/>
    <mergeCell ref="A22:A25"/>
  </mergeCells>
  <phoneticPr fontId="1" type="noConversion"/>
  <pageMargins left="0.31496062992125984" right="0.31496062992125984" top="0.74803149606299213" bottom="0.74803149606299213" header="0.31496062992125984" footer="0.31496062992125984"/>
  <pageSetup paperSize="9" scale="60" orientation="landscape" horizontalDpi="1200" verticalDpi="1200" r:id="rId1"/>
  <headerFooter>
    <oddFooter>&amp;C(주)매그나텍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69"/>
  <sheetViews>
    <sheetView zoomScale="85" zoomScaleNormal="85" workbookViewId="0">
      <pane xSplit="1" ySplit="13" topLeftCell="B14" activePane="bottomRight" state="frozen"/>
      <selection pane="topRight" activeCell="B1" sqref="B1"/>
      <selection pane="bottomLeft" activeCell="A16" sqref="A16"/>
      <selection pane="bottomRight" activeCell="I21" sqref="I21"/>
    </sheetView>
  </sheetViews>
  <sheetFormatPr defaultColWidth="9" defaultRowHeight="17"/>
  <cols>
    <col min="1" max="1" width="3.5" style="1" customWidth="1"/>
    <col min="2" max="2" width="12.83203125" style="1" customWidth="1"/>
    <col min="3" max="3" width="14.58203125" style="1" customWidth="1"/>
    <col min="4" max="4" width="20.75" style="1" customWidth="1"/>
    <col min="5" max="5" width="19.5" style="1" customWidth="1"/>
    <col min="6" max="6" width="6.25" style="1" customWidth="1"/>
    <col min="7" max="7" width="36.58203125" style="1" customWidth="1"/>
    <col min="8" max="8" width="6.5" style="1" customWidth="1"/>
    <col min="9" max="9" width="9.83203125" style="1" customWidth="1"/>
    <col min="10" max="10" width="20.33203125" style="1" customWidth="1"/>
    <col min="11" max="11" width="45.25" style="1" customWidth="1"/>
    <col min="12" max="12" width="10.75" style="1" bestFit="1" customWidth="1"/>
    <col min="13" max="16384" width="9" style="1"/>
  </cols>
  <sheetData>
    <row r="1" spans="1:11" ht="44">
      <c r="F1" s="260" t="s">
        <v>473</v>
      </c>
      <c r="G1" s="260"/>
      <c r="H1" s="3"/>
    </row>
    <row r="2" spans="1:11" ht="17.25" customHeight="1">
      <c r="D2" s="1" t="s">
        <v>676</v>
      </c>
      <c r="E2" s="3"/>
      <c r="F2" s="3"/>
      <c r="G2" s="3"/>
      <c r="H2" s="3"/>
    </row>
    <row r="3" spans="1:11">
      <c r="H3" s="261" t="s">
        <v>257</v>
      </c>
      <c r="I3" s="262"/>
      <c r="J3" s="263"/>
      <c r="K3" s="2" t="s">
        <v>258</v>
      </c>
    </row>
    <row r="4" spans="1:11" hidden="1">
      <c r="H4" s="261" t="s">
        <v>259</v>
      </c>
      <c r="I4" s="262"/>
      <c r="J4" s="263"/>
      <c r="K4" s="2">
        <v>1</v>
      </c>
    </row>
    <row r="5" spans="1:11" hidden="1">
      <c r="H5" s="261" t="s">
        <v>260</v>
      </c>
      <c r="I5" s="262"/>
      <c r="J5" s="263"/>
      <c r="K5" s="2">
        <v>1</v>
      </c>
    </row>
    <row r="6" spans="1:11" hidden="1">
      <c r="H6" s="261" t="s">
        <v>261</v>
      </c>
      <c r="I6" s="262"/>
      <c r="J6" s="263"/>
      <c r="K6" s="2">
        <v>1</v>
      </c>
    </row>
    <row r="7" spans="1:11" hidden="1">
      <c r="H7" s="261" t="s">
        <v>7</v>
      </c>
      <c r="I7" s="262"/>
      <c r="J7" s="263"/>
      <c r="K7" s="2">
        <v>1</v>
      </c>
    </row>
    <row r="8" spans="1:11" hidden="1">
      <c r="H8" s="261" t="s">
        <v>262</v>
      </c>
      <c r="I8" s="262"/>
      <c r="J8" s="263"/>
      <c r="K8" s="2">
        <v>1</v>
      </c>
    </row>
    <row r="9" spans="1:11" hidden="1">
      <c r="H9" s="261" t="s">
        <v>263</v>
      </c>
      <c r="I9" s="262"/>
      <c r="J9" s="263"/>
      <c r="K9" s="2">
        <v>1</v>
      </c>
    </row>
    <row r="10" spans="1:11" hidden="1">
      <c r="H10" s="261" t="s">
        <v>264</v>
      </c>
      <c r="I10" s="262"/>
      <c r="J10" s="263"/>
      <c r="K10" s="2">
        <v>1</v>
      </c>
    </row>
    <row r="11" spans="1:11">
      <c r="H11" s="261" t="s">
        <v>265</v>
      </c>
      <c r="I11" s="262"/>
      <c r="J11" s="263"/>
      <c r="K11" s="2"/>
    </row>
    <row r="12" spans="1:11" ht="17.5" thickBot="1"/>
    <row r="13" spans="1:11" ht="17.5" thickBot="1">
      <c r="A13" s="62" t="s">
        <v>80</v>
      </c>
      <c r="B13" s="63" t="s">
        <v>0</v>
      </c>
      <c r="C13" s="63" t="s">
        <v>142</v>
      </c>
      <c r="D13" s="63" t="s">
        <v>103</v>
      </c>
      <c r="E13" s="63" t="s">
        <v>104</v>
      </c>
      <c r="F13" s="63" t="s">
        <v>83</v>
      </c>
      <c r="G13" s="63" t="s">
        <v>84</v>
      </c>
      <c r="H13" s="63" t="s">
        <v>255</v>
      </c>
      <c r="I13" s="63" t="s">
        <v>85</v>
      </c>
      <c r="J13" s="63" t="s">
        <v>256</v>
      </c>
      <c r="K13" s="64" t="s">
        <v>79</v>
      </c>
    </row>
    <row r="14" spans="1:11">
      <c r="A14" s="257">
        <v>1</v>
      </c>
      <c r="B14" s="11" t="s">
        <v>8</v>
      </c>
      <c r="C14" s="11" t="s">
        <v>1</v>
      </c>
      <c r="D14" s="11" t="s">
        <v>480</v>
      </c>
      <c r="E14" s="11" t="s">
        <v>237</v>
      </c>
      <c r="F14" s="11">
        <v>1</v>
      </c>
      <c r="G14" s="11" t="s">
        <v>366</v>
      </c>
      <c r="H14" s="54">
        <f>$K$4*F14</f>
        <v>1</v>
      </c>
      <c r="I14" s="54">
        <v>3650</v>
      </c>
      <c r="J14" s="54">
        <f>H14*I14</f>
        <v>3650</v>
      </c>
      <c r="K14" s="12"/>
    </row>
    <row r="15" spans="1:11">
      <c r="A15" s="258"/>
      <c r="B15" s="13" t="s">
        <v>8</v>
      </c>
      <c r="C15" s="13" t="s">
        <v>1</v>
      </c>
      <c r="D15" s="13" t="s">
        <v>655</v>
      </c>
      <c r="E15" s="61" t="s">
        <v>534</v>
      </c>
      <c r="F15" s="13">
        <v>1</v>
      </c>
      <c r="G15" s="13" t="s">
        <v>563</v>
      </c>
      <c r="H15" s="60">
        <f t="shared" ref="H15:H42" si="0">$K$4*F15</f>
        <v>1</v>
      </c>
      <c r="I15" s="60">
        <v>34000</v>
      </c>
      <c r="J15" s="60">
        <f t="shared" ref="J15:J42" si="1">H15*I15</f>
        <v>34000</v>
      </c>
      <c r="K15" s="16"/>
    </row>
    <row r="16" spans="1:11">
      <c r="A16" s="258"/>
      <c r="B16" s="13" t="s">
        <v>8</v>
      </c>
      <c r="C16" s="13" t="s">
        <v>1</v>
      </c>
      <c r="D16" s="13" t="s">
        <v>515</v>
      </c>
      <c r="E16" s="13" t="s">
        <v>520</v>
      </c>
      <c r="F16" s="13">
        <v>1</v>
      </c>
      <c r="G16" s="13" t="s">
        <v>1635</v>
      </c>
      <c r="H16" s="60">
        <f t="shared" si="0"/>
        <v>1</v>
      </c>
      <c r="I16" s="60">
        <v>45000</v>
      </c>
      <c r="J16" s="60">
        <f t="shared" si="1"/>
        <v>45000</v>
      </c>
      <c r="K16" s="16" t="s">
        <v>657</v>
      </c>
    </row>
    <row r="17" spans="1:12" ht="17.5" thickBot="1">
      <c r="A17" s="258"/>
      <c r="B17" s="13" t="s">
        <v>8</v>
      </c>
      <c r="C17" s="13" t="s">
        <v>1</v>
      </c>
      <c r="D17" s="13" t="s">
        <v>606</v>
      </c>
      <c r="E17" s="13" t="s">
        <v>604</v>
      </c>
      <c r="F17" s="13">
        <v>1</v>
      </c>
      <c r="G17" s="13" t="s">
        <v>677</v>
      </c>
      <c r="H17" s="60">
        <f t="shared" si="0"/>
        <v>1</v>
      </c>
      <c r="I17" s="60">
        <v>1500</v>
      </c>
      <c r="J17" s="60">
        <f t="shared" si="1"/>
        <v>1500</v>
      </c>
      <c r="K17" s="16"/>
    </row>
    <row r="18" spans="1:12" ht="18" thickBot="1">
      <c r="A18" s="264"/>
      <c r="B18" s="15" t="s">
        <v>8</v>
      </c>
      <c r="C18" s="15" t="s">
        <v>1</v>
      </c>
      <c r="D18" s="15" t="s">
        <v>527</v>
      </c>
      <c r="E18" s="15" t="s">
        <v>82</v>
      </c>
      <c r="F18" s="15">
        <v>3</v>
      </c>
      <c r="G18" s="15" t="s">
        <v>368</v>
      </c>
      <c r="H18" s="55">
        <f t="shared" si="0"/>
        <v>3</v>
      </c>
      <c r="I18" s="55">
        <v>15500</v>
      </c>
      <c r="J18" s="55">
        <f t="shared" si="1"/>
        <v>46500</v>
      </c>
      <c r="K18" s="22" t="s">
        <v>485</v>
      </c>
      <c r="L18" s="107">
        <f>SUM(J14:J18)</f>
        <v>130650</v>
      </c>
    </row>
    <row r="19" spans="1:12">
      <c r="A19" s="257">
        <v>2</v>
      </c>
      <c r="B19" s="11" t="s">
        <v>9</v>
      </c>
      <c r="C19" s="11" t="s">
        <v>2</v>
      </c>
      <c r="D19" s="11" t="s">
        <v>481</v>
      </c>
      <c r="E19" s="11" t="s">
        <v>88</v>
      </c>
      <c r="F19" s="11">
        <v>1</v>
      </c>
      <c r="G19" s="11" t="s">
        <v>367</v>
      </c>
      <c r="H19" s="54">
        <f t="shared" si="0"/>
        <v>1</v>
      </c>
      <c r="I19" s="54">
        <v>4200</v>
      </c>
      <c r="J19" s="54">
        <f t="shared" si="1"/>
        <v>4200</v>
      </c>
      <c r="K19" s="12"/>
    </row>
    <row r="20" spans="1:12">
      <c r="A20" s="258"/>
      <c r="B20" s="13" t="s">
        <v>9</v>
      </c>
      <c r="C20" s="13" t="s">
        <v>2</v>
      </c>
      <c r="D20" s="13" t="s">
        <v>371</v>
      </c>
      <c r="E20" s="61" t="s">
        <v>534</v>
      </c>
      <c r="F20" s="13">
        <v>1</v>
      </c>
      <c r="G20" s="13" t="s">
        <v>563</v>
      </c>
      <c r="H20" s="60">
        <f t="shared" si="0"/>
        <v>1</v>
      </c>
      <c r="I20" s="60">
        <v>38200</v>
      </c>
      <c r="J20" s="60">
        <f t="shared" si="1"/>
        <v>38200</v>
      </c>
      <c r="K20" s="16"/>
    </row>
    <row r="21" spans="1:12" ht="17.5" thickBot="1">
      <c r="A21" s="258"/>
      <c r="B21" s="13" t="s">
        <v>9</v>
      </c>
      <c r="C21" s="13" t="s">
        <v>2</v>
      </c>
      <c r="D21" s="13" t="s">
        <v>517</v>
      </c>
      <c r="E21" s="13" t="s">
        <v>521</v>
      </c>
      <c r="F21" s="13">
        <v>1</v>
      </c>
      <c r="G21" s="13" t="s">
        <v>1634</v>
      </c>
      <c r="H21" s="60">
        <f t="shared" si="0"/>
        <v>1</v>
      </c>
      <c r="I21" s="60">
        <v>62500</v>
      </c>
      <c r="J21" s="60">
        <f t="shared" si="1"/>
        <v>62500</v>
      </c>
      <c r="K21" s="16" t="s">
        <v>1716</v>
      </c>
    </row>
    <row r="22" spans="1:12" ht="18" thickBot="1">
      <c r="A22" s="259"/>
      <c r="B22" s="53" t="s">
        <v>9</v>
      </c>
      <c r="C22" s="53" t="s">
        <v>2</v>
      </c>
      <c r="D22" s="53" t="s">
        <v>527</v>
      </c>
      <c r="E22" s="53" t="s">
        <v>82</v>
      </c>
      <c r="F22" s="53">
        <v>4</v>
      </c>
      <c r="G22" s="53" t="s">
        <v>368</v>
      </c>
      <c r="H22" s="65">
        <f t="shared" si="0"/>
        <v>4</v>
      </c>
      <c r="I22" s="65">
        <v>15500</v>
      </c>
      <c r="J22" s="65">
        <f t="shared" si="1"/>
        <v>62000</v>
      </c>
      <c r="K22" s="14" t="s">
        <v>485</v>
      </c>
      <c r="L22" s="107">
        <f>SUM(J19:J22)</f>
        <v>166900</v>
      </c>
    </row>
    <row r="23" spans="1:12">
      <c r="A23" s="274">
        <v>3</v>
      </c>
      <c r="B23" s="10" t="s">
        <v>10</v>
      </c>
      <c r="C23" s="10" t="s">
        <v>3</v>
      </c>
      <c r="D23" s="10" t="s">
        <v>482</v>
      </c>
      <c r="E23" s="10" t="s">
        <v>91</v>
      </c>
      <c r="F23" s="10">
        <v>1</v>
      </c>
      <c r="G23" s="10" t="s">
        <v>367</v>
      </c>
      <c r="H23" s="56">
        <f t="shared" si="0"/>
        <v>1</v>
      </c>
      <c r="I23" s="56">
        <v>4700</v>
      </c>
      <c r="J23" s="56">
        <f t="shared" si="1"/>
        <v>4700</v>
      </c>
      <c r="K23" s="17"/>
    </row>
    <row r="24" spans="1:12">
      <c r="A24" s="258"/>
      <c r="B24" s="13" t="s">
        <v>10</v>
      </c>
      <c r="C24" s="13" t="s">
        <v>3</v>
      </c>
      <c r="D24" s="13" t="s">
        <v>371</v>
      </c>
      <c r="E24" s="61" t="s">
        <v>534</v>
      </c>
      <c r="F24" s="13">
        <v>1</v>
      </c>
      <c r="G24" s="13" t="s">
        <v>563</v>
      </c>
      <c r="H24" s="60">
        <f t="shared" si="0"/>
        <v>1</v>
      </c>
      <c r="I24" s="60">
        <v>38200</v>
      </c>
      <c r="J24" s="60">
        <f t="shared" si="1"/>
        <v>38200</v>
      </c>
      <c r="K24" s="16"/>
    </row>
    <row r="25" spans="1:12" ht="17.5" thickBot="1">
      <c r="A25" s="258"/>
      <c r="B25" s="13" t="s">
        <v>10</v>
      </c>
      <c r="C25" s="13" t="s">
        <v>3</v>
      </c>
      <c r="D25" s="13" t="s">
        <v>517</v>
      </c>
      <c r="E25" s="13" t="s">
        <v>521</v>
      </c>
      <c r="F25" s="13">
        <v>1</v>
      </c>
      <c r="G25" s="13" t="s">
        <v>1634</v>
      </c>
      <c r="H25" s="60">
        <f t="shared" si="0"/>
        <v>1</v>
      </c>
      <c r="I25" s="60">
        <v>62500</v>
      </c>
      <c r="J25" s="60">
        <f t="shared" si="1"/>
        <v>62500</v>
      </c>
      <c r="K25" s="16" t="s">
        <v>1716</v>
      </c>
    </row>
    <row r="26" spans="1:12" ht="18" thickBot="1">
      <c r="A26" s="264"/>
      <c r="B26" s="15" t="s">
        <v>10</v>
      </c>
      <c r="C26" s="15" t="s">
        <v>3</v>
      </c>
      <c r="D26" s="15" t="s">
        <v>527</v>
      </c>
      <c r="E26" s="15" t="s">
        <v>82</v>
      </c>
      <c r="F26" s="15">
        <v>5</v>
      </c>
      <c r="G26" s="15" t="s">
        <v>368</v>
      </c>
      <c r="H26" s="55">
        <f t="shared" si="0"/>
        <v>5</v>
      </c>
      <c r="I26" s="55">
        <v>15500</v>
      </c>
      <c r="J26" s="55">
        <f t="shared" si="1"/>
        <v>77500</v>
      </c>
      <c r="K26" s="22" t="s">
        <v>485</v>
      </c>
      <c r="L26" s="107">
        <f>SUM(J23:J26)</f>
        <v>182900</v>
      </c>
    </row>
    <row r="27" spans="1:12">
      <c r="A27" s="257">
        <v>4</v>
      </c>
      <c r="B27" s="11" t="s">
        <v>11</v>
      </c>
      <c r="C27" s="11" t="s">
        <v>7</v>
      </c>
      <c r="D27" s="11" t="s">
        <v>483</v>
      </c>
      <c r="E27" s="11" t="s">
        <v>92</v>
      </c>
      <c r="F27" s="11">
        <v>1</v>
      </c>
      <c r="G27" s="11" t="s">
        <v>367</v>
      </c>
      <c r="H27" s="54">
        <f t="shared" si="0"/>
        <v>1</v>
      </c>
      <c r="I27" s="54">
        <v>5250</v>
      </c>
      <c r="J27" s="54">
        <f t="shared" si="1"/>
        <v>5250</v>
      </c>
      <c r="K27" s="12"/>
    </row>
    <row r="28" spans="1:12">
      <c r="A28" s="258"/>
      <c r="B28" s="13" t="s">
        <v>11</v>
      </c>
      <c r="C28" s="13" t="s">
        <v>7</v>
      </c>
      <c r="D28" s="13" t="s">
        <v>372</v>
      </c>
      <c r="E28" s="61" t="s">
        <v>534</v>
      </c>
      <c r="F28" s="13">
        <v>1</v>
      </c>
      <c r="G28" s="13" t="s">
        <v>563</v>
      </c>
      <c r="H28" s="60">
        <f t="shared" si="0"/>
        <v>1</v>
      </c>
      <c r="I28" s="60">
        <v>44300</v>
      </c>
      <c r="J28" s="60">
        <f t="shared" si="1"/>
        <v>44300</v>
      </c>
      <c r="K28" s="16"/>
    </row>
    <row r="29" spans="1:12" ht="17.5" thickBot="1">
      <c r="A29" s="258"/>
      <c r="B29" s="13" t="s">
        <v>11</v>
      </c>
      <c r="C29" s="13" t="s">
        <v>7</v>
      </c>
      <c r="D29" s="13" t="s">
        <v>517</v>
      </c>
      <c r="E29" s="13" t="s">
        <v>521</v>
      </c>
      <c r="F29" s="13">
        <v>1</v>
      </c>
      <c r="G29" s="13" t="s">
        <v>1634</v>
      </c>
      <c r="H29" s="60">
        <f t="shared" si="0"/>
        <v>1</v>
      </c>
      <c r="I29" s="60">
        <v>62500</v>
      </c>
      <c r="J29" s="60">
        <f t="shared" si="1"/>
        <v>62500</v>
      </c>
      <c r="K29" s="16" t="s">
        <v>1716</v>
      </c>
    </row>
    <row r="30" spans="1:12" ht="18" thickBot="1">
      <c r="A30" s="259"/>
      <c r="B30" s="53" t="s">
        <v>11</v>
      </c>
      <c r="C30" s="53" t="s">
        <v>7</v>
      </c>
      <c r="D30" s="53" t="s">
        <v>527</v>
      </c>
      <c r="E30" s="53" t="s">
        <v>82</v>
      </c>
      <c r="F30" s="53">
        <v>6</v>
      </c>
      <c r="G30" s="53" t="s">
        <v>368</v>
      </c>
      <c r="H30" s="65">
        <f t="shared" si="0"/>
        <v>6</v>
      </c>
      <c r="I30" s="65">
        <v>15500</v>
      </c>
      <c r="J30" s="65">
        <f t="shared" si="1"/>
        <v>93000</v>
      </c>
      <c r="K30" s="14" t="s">
        <v>485</v>
      </c>
      <c r="L30" s="107">
        <f>SUM(J27:J30)</f>
        <v>205050</v>
      </c>
    </row>
    <row r="31" spans="1:12" hidden="1">
      <c r="A31" s="274">
        <v>5</v>
      </c>
      <c r="B31" s="10" t="s">
        <v>12</v>
      </c>
      <c r="C31" s="10" t="s">
        <v>4</v>
      </c>
      <c r="D31" s="10" t="s">
        <v>481</v>
      </c>
      <c r="E31" s="10" t="s">
        <v>88</v>
      </c>
      <c r="F31" s="10">
        <v>1</v>
      </c>
      <c r="G31" s="10" t="s">
        <v>367</v>
      </c>
      <c r="H31" s="56">
        <f t="shared" si="0"/>
        <v>1</v>
      </c>
      <c r="I31" s="56">
        <v>4200</v>
      </c>
      <c r="J31" s="56">
        <f t="shared" si="1"/>
        <v>4200</v>
      </c>
      <c r="K31" s="17"/>
    </row>
    <row r="32" spans="1:12" hidden="1">
      <c r="A32" s="258"/>
      <c r="B32" s="13" t="s">
        <v>12</v>
      </c>
      <c r="C32" s="13" t="s">
        <v>4</v>
      </c>
      <c r="D32" s="13" t="s">
        <v>371</v>
      </c>
      <c r="E32" s="61" t="s">
        <v>534</v>
      </c>
      <c r="F32" s="13">
        <v>1</v>
      </c>
      <c r="G32" s="13" t="s">
        <v>563</v>
      </c>
      <c r="H32" s="60">
        <f t="shared" si="0"/>
        <v>1</v>
      </c>
      <c r="I32" s="60">
        <v>38200</v>
      </c>
      <c r="J32" s="60">
        <f t="shared" si="1"/>
        <v>38200</v>
      </c>
      <c r="K32" s="16"/>
    </row>
    <row r="33" spans="1:12" hidden="1">
      <c r="A33" s="258"/>
      <c r="B33" s="13" t="s">
        <v>12</v>
      </c>
      <c r="C33" s="13" t="s">
        <v>4</v>
      </c>
      <c r="D33" s="13" t="s">
        <v>518</v>
      </c>
      <c r="E33" s="13" t="s">
        <v>90</v>
      </c>
      <c r="F33" s="13">
        <v>1</v>
      </c>
      <c r="G33" s="13" t="s">
        <v>1634</v>
      </c>
      <c r="H33" s="60">
        <f t="shared" si="0"/>
        <v>1</v>
      </c>
      <c r="I33" s="60">
        <v>62500</v>
      </c>
      <c r="J33" s="60">
        <f t="shared" si="1"/>
        <v>62500</v>
      </c>
      <c r="K33" s="16" t="s">
        <v>658</v>
      </c>
    </row>
    <row r="34" spans="1:12" ht="18" hidden="1" thickBot="1">
      <c r="A34" s="264"/>
      <c r="B34" s="15" t="s">
        <v>12</v>
      </c>
      <c r="C34" s="15" t="s">
        <v>4</v>
      </c>
      <c r="D34" s="15" t="s">
        <v>527</v>
      </c>
      <c r="E34" s="15" t="s">
        <v>82</v>
      </c>
      <c r="F34" s="15">
        <v>4</v>
      </c>
      <c r="G34" s="15" t="s">
        <v>368</v>
      </c>
      <c r="H34" s="55">
        <f t="shared" si="0"/>
        <v>4</v>
      </c>
      <c r="I34" s="55">
        <v>15500</v>
      </c>
      <c r="J34" s="55">
        <f t="shared" si="1"/>
        <v>62000</v>
      </c>
      <c r="K34" s="22" t="s">
        <v>485</v>
      </c>
      <c r="L34" s="107">
        <f>SUM(J31:J34)</f>
        <v>166900</v>
      </c>
    </row>
    <row r="35" spans="1:12" hidden="1">
      <c r="A35" s="257">
        <v>6</v>
      </c>
      <c r="B35" s="11" t="s">
        <v>13</v>
      </c>
      <c r="C35" s="11" t="s">
        <v>5</v>
      </c>
      <c r="D35" s="11" t="s">
        <v>482</v>
      </c>
      <c r="E35" s="11" t="s">
        <v>91</v>
      </c>
      <c r="F35" s="11">
        <v>1</v>
      </c>
      <c r="G35" s="11" t="s">
        <v>367</v>
      </c>
      <c r="H35" s="54">
        <f t="shared" si="0"/>
        <v>1</v>
      </c>
      <c r="I35" s="54">
        <v>4700</v>
      </c>
      <c r="J35" s="54">
        <f t="shared" si="1"/>
        <v>4700</v>
      </c>
      <c r="K35" s="12"/>
    </row>
    <row r="36" spans="1:12" hidden="1">
      <c r="A36" s="258"/>
      <c r="B36" s="13" t="s">
        <v>13</v>
      </c>
      <c r="C36" s="13" t="s">
        <v>5</v>
      </c>
      <c r="D36" s="13" t="s">
        <v>371</v>
      </c>
      <c r="E36" s="61" t="s">
        <v>534</v>
      </c>
      <c r="F36" s="13">
        <v>1</v>
      </c>
      <c r="G36" s="13" t="s">
        <v>563</v>
      </c>
      <c r="H36" s="60">
        <f t="shared" si="0"/>
        <v>1</v>
      </c>
      <c r="I36" s="60">
        <v>38200</v>
      </c>
      <c r="J36" s="60">
        <f t="shared" si="1"/>
        <v>38200</v>
      </c>
      <c r="K36" s="16"/>
    </row>
    <row r="37" spans="1:12" hidden="1">
      <c r="A37" s="258"/>
      <c r="B37" s="13" t="s">
        <v>13</v>
      </c>
      <c r="C37" s="13" t="s">
        <v>5</v>
      </c>
      <c r="D37" s="13" t="s">
        <v>518</v>
      </c>
      <c r="E37" s="13" t="s">
        <v>580</v>
      </c>
      <c r="F37" s="13">
        <v>1</v>
      </c>
      <c r="G37" s="13" t="s">
        <v>1634</v>
      </c>
      <c r="H37" s="60">
        <f t="shared" si="0"/>
        <v>1</v>
      </c>
      <c r="I37" s="60">
        <v>62500</v>
      </c>
      <c r="J37" s="60">
        <f t="shared" si="1"/>
        <v>62500</v>
      </c>
      <c r="K37" s="16" t="s">
        <v>658</v>
      </c>
    </row>
    <row r="38" spans="1:12" ht="18" hidden="1" thickBot="1">
      <c r="A38" s="259"/>
      <c r="B38" s="53" t="s">
        <v>13</v>
      </c>
      <c r="C38" s="53" t="s">
        <v>5</v>
      </c>
      <c r="D38" s="53" t="s">
        <v>527</v>
      </c>
      <c r="E38" s="53" t="s">
        <v>82</v>
      </c>
      <c r="F38" s="53">
        <v>5</v>
      </c>
      <c r="G38" s="53" t="s">
        <v>368</v>
      </c>
      <c r="H38" s="65">
        <f t="shared" si="0"/>
        <v>5</v>
      </c>
      <c r="I38" s="65">
        <v>15500</v>
      </c>
      <c r="J38" s="65">
        <f t="shared" si="1"/>
        <v>77500</v>
      </c>
      <c r="K38" s="14" t="s">
        <v>485</v>
      </c>
      <c r="L38" s="107">
        <f>SUM(J35:J38)</f>
        <v>182900</v>
      </c>
    </row>
    <row r="39" spans="1:12" hidden="1">
      <c r="A39" s="274">
        <v>7</v>
      </c>
      <c r="B39" s="10" t="s">
        <v>14</v>
      </c>
      <c r="C39" s="10" t="s">
        <v>6</v>
      </c>
      <c r="D39" s="10" t="s">
        <v>483</v>
      </c>
      <c r="E39" s="10" t="s">
        <v>92</v>
      </c>
      <c r="F39" s="10">
        <v>1</v>
      </c>
      <c r="G39" s="10" t="s">
        <v>367</v>
      </c>
      <c r="H39" s="56">
        <f t="shared" si="0"/>
        <v>1</v>
      </c>
      <c r="I39" s="56">
        <v>5250</v>
      </c>
      <c r="J39" s="56">
        <f t="shared" si="1"/>
        <v>5250</v>
      </c>
      <c r="K39" s="17"/>
    </row>
    <row r="40" spans="1:12" hidden="1">
      <c r="A40" s="258"/>
      <c r="B40" s="13" t="s">
        <v>14</v>
      </c>
      <c r="C40" s="13" t="s">
        <v>6</v>
      </c>
      <c r="D40" s="13" t="s">
        <v>371</v>
      </c>
      <c r="E40" s="61" t="s">
        <v>534</v>
      </c>
      <c r="F40" s="13">
        <v>1</v>
      </c>
      <c r="G40" s="13" t="s">
        <v>563</v>
      </c>
      <c r="H40" s="60">
        <f t="shared" si="0"/>
        <v>1</v>
      </c>
      <c r="I40" s="60">
        <v>38200</v>
      </c>
      <c r="J40" s="60">
        <f t="shared" si="1"/>
        <v>38200</v>
      </c>
      <c r="K40" s="16"/>
    </row>
    <row r="41" spans="1:12" hidden="1">
      <c r="A41" s="258"/>
      <c r="B41" s="13" t="s">
        <v>14</v>
      </c>
      <c r="C41" s="13" t="s">
        <v>6</v>
      </c>
      <c r="D41" s="13" t="s">
        <v>518</v>
      </c>
      <c r="E41" s="13" t="s">
        <v>90</v>
      </c>
      <c r="F41" s="13">
        <v>1</v>
      </c>
      <c r="G41" s="13" t="s">
        <v>1634</v>
      </c>
      <c r="H41" s="60">
        <f t="shared" si="0"/>
        <v>1</v>
      </c>
      <c r="I41" s="60">
        <v>62500</v>
      </c>
      <c r="J41" s="60">
        <f t="shared" si="1"/>
        <v>62500</v>
      </c>
      <c r="K41" s="16" t="s">
        <v>658</v>
      </c>
    </row>
    <row r="42" spans="1:12" ht="18" hidden="1" thickBot="1">
      <c r="A42" s="259"/>
      <c r="B42" s="53" t="s">
        <v>14</v>
      </c>
      <c r="C42" s="53" t="s">
        <v>6</v>
      </c>
      <c r="D42" s="53" t="s">
        <v>527</v>
      </c>
      <c r="E42" s="53" t="s">
        <v>82</v>
      </c>
      <c r="F42" s="53">
        <v>6</v>
      </c>
      <c r="G42" s="53" t="s">
        <v>368</v>
      </c>
      <c r="H42" s="65">
        <f t="shared" si="0"/>
        <v>6</v>
      </c>
      <c r="I42" s="65">
        <v>15500</v>
      </c>
      <c r="J42" s="65">
        <f t="shared" si="1"/>
        <v>93000</v>
      </c>
      <c r="K42" s="14" t="s">
        <v>485</v>
      </c>
      <c r="L42" s="107">
        <f>SUM(J39:J42)</f>
        <v>198950</v>
      </c>
    </row>
    <row r="43" spans="1:12" hidden="1">
      <c r="A43" s="274">
        <v>8</v>
      </c>
      <c r="B43" s="10" t="s">
        <v>14</v>
      </c>
      <c r="C43" s="10" t="s">
        <v>1629</v>
      </c>
      <c r="D43" s="10" t="s">
        <v>483</v>
      </c>
      <c r="E43" s="10" t="s">
        <v>1632</v>
      </c>
      <c r="F43" s="10">
        <v>1</v>
      </c>
      <c r="G43" s="10" t="s">
        <v>367</v>
      </c>
      <c r="H43" s="56">
        <f t="shared" ref="H43:H49" si="2">$K$4*F43</f>
        <v>1</v>
      </c>
      <c r="I43" s="56">
        <v>6300</v>
      </c>
      <c r="J43" s="56">
        <f t="shared" ref="J43:J58" si="3">H43*I43</f>
        <v>6300</v>
      </c>
      <c r="K43" s="17"/>
    </row>
    <row r="44" spans="1:12" hidden="1">
      <c r="A44" s="258"/>
      <c r="B44" s="13" t="s">
        <v>14</v>
      </c>
      <c r="C44" s="13" t="s">
        <v>1628</v>
      </c>
      <c r="D44" s="13" t="s">
        <v>1636</v>
      </c>
      <c r="E44" s="61" t="s">
        <v>534</v>
      </c>
      <c r="F44" s="13">
        <v>1</v>
      </c>
      <c r="G44" s="13" t="s">
        <v>563</v>
      </c>
      <c r="H44" s="60">
        <f t="shared" si="2"/>
        <v>1</v>
      </c>
      <c r="I44" s="60">
        <v>39600</v>
      </c>
      <c r="J44" s="60">
        <f t="shared" si="3"/>
        <v>39600</v>
      </c>
      <c r="K44" s="16"/>
    </row>
    <row r="45" spans="1:12" hidden="1">
      <c r="A45" s="258"/>
      <c r="B45" s="13" t="s">
        <v>14</v>
      </c>
      <c r="C45" s="13" t="s">
        <v>1628</v>
      </c>
      <c r="D45" s="13" t="s">
        <v>518</v>
      </c>
      <c r="E45" s="13" t="s">
        <v>90</v>
      </c>
      <c r="F45" s="13">
        <v>1</v>
      </c>
      <c r="G45" s="13" t="s">
        <v>1634</v>
      </c>
      <c r="H45" s="60">
        <f t="shared" si="2"/>
        <v>1</v>
      </c>
      <c r="I45" s="60">
        <v>62500</v>
      </c>
      <c r="J45" s="60">
        <f t="shared" si="3"/>
        <v>62500</v>
      </c>
      <c r="K45" s="16" t="s">
        <v>658</v>
      </c>
    </row>
    <row r="46" spans="1:12" ht="18" hidden="1" thickBot="1">
      <c r="A46" s="259"/>
      <c r="B46" s="53" t="s">
        <v>14</v>
      </c>
      <c r="C46" s="53" t="s">
        <v>1628</v>
      </c>
      <c r="D46" s="53" t="s">
        <v>527</v>
      </c>
      <c r="E46" s="53" t="s">
        <v>82</v>
      </c>
      <c r="F46" s="53">
        <v>6</v>
      </c>
      <c r="G46" s="53" t="s">
        <v>368</v>
      </c>
      <c r="H46" s="65">
        <v>8</v>
      </c>
      <c r="I46" s="65">
        <v>15500</v>
      </c>
      <c r="J46" s="65">
        <f t="shared" si="3"/>
        <v>124000</v>
      </c>
      <c r="K46" s="14" t="s">
        <v>485</v>
      </c>
      <c r="L46" s="107">
        <f>SUM(J43:J46)</f>
        <v>232400</v>
      </c>
    </row>
    <row r="47" spans="1:12" hidden="1">
      <c r="A47" s="274">
        <v>9</v>
      </c>
      <c r="B47" s="10" t="s">
        <v>14</v>
      </c>
      <c r="C47" s="10" t="s">
        <v>1631</v>
      </c>
      <c r="D47" s="10" t="s">
        <v>483</v>
      </c>
      <c r="E47" s="10" t="s">
        <v>1633</v>
      </c>
      <c r="F47" s="10">
        <v>1</v>
      </c>
      <c r="G47" s="10" t="s">
        <v>367</v>
      </c>
      <c r="H47" s="56">
        <f t="shared" si="2"/>
        <v>1</v>
      </c>
      <c r="I47" s="56">
        <v>8000</v>
      </c>
      <c r="J47" s="56">
        <f t="shared" si="3"/>
        <v>8000</v>
      </c>
      <c r="K47" s="17"/>
    </row>
    <row r="48" spans="1:12" hidden="1">
      <c r="A48" s="258"/>
      <c r="B48" s="13" t="s">
        <v>14</v>
      </c>
      <c r="C48" s="13" t="s">
        <v>1630</v>
      </c>
      <c r="D48" s="13" t="s">
        <v>1637</v>
      </c>
      <c r="E48" s="61" t="s">
        <v>534</v>
      </c>
      <c r="F48" s="13">
        <v>1</v>
      </c>
      <c r="G48" s="13" t="s">
        <v>563</v>
      </c>
      <c r="H48" s="60">
        <f t="shared" si="2"/>
        <v>1</v>
      </c>
      <c r="I48" s="60">
        <v>48500</v>
      </c>
      <c r="J48" s="60">
        <f t="shared" si="3"/>
        <v>48500</v>
      </c>
      <c r="K48" s="16"/>
    </row>
    <row r="49" spans="1:14" hidden="1">
      <c r="A49" s="258"/>
      <c r="B49" s="13" t="s">
        <v>14</v>
      </c>
      <c r="C49" s="13" t="s">
        <v>1630</v>
      </c>
      <c r="D49" s="13" t="s">
        <v>518</v>
      </c>
      <c r="E49" s="13" t="s">
        <v>90</v>
      </c>
      <c r="F49" s="13">
        <v>1</v>
      </c>
      <c r="G49" s="13" t="s">
        <v>1634</v>
      </c>
      <c r="H49" s="60">
        <f t="shared" si="2"/>
        <v>1</v>
      </c>
      <c r="I49" s="60">
        <v>62500</v>
      </c>
      <c r="J49" s="60">
        <f t="shared" si="3"/>
        <v>62500</v>
      </c>
      <c r="K49" s="16" t="s">
        <v>658</v>
      </c>
    </row>
    <row r="50" spans="1:14" ht="18" hidden="1" thickBot="1">
      <c r="A50" s="259"/>
      <c r="B50" s="53" t="s">
        <v>14</v>
      </c>
      <c r="C50" s="53" t="s">
        <v>1630</v>
      </c>
      <c r="D50" s="53" t="s">
        <v>527</v>
      </c>
      <c r="E50" s="53" t="s">
        <v>82</v>
      </c>
      <c r="F50" s="53">
        <v>6</v>
      </c>
      <c r="G50" s="53" t="s">
        <v>368</v>
      </c>
      <c r="H50" s="65">
        <v>10</v>
      </c>
      <c r="I50" s="65">
        <v>15500</v>
      </c>
      <c r="J50" s="65">
        <f t="shared" si="3"/>
        <v>155000</v>
      </c>
      <c r="K50" s="14" t="s">
        <v>485</v>
      </c>
      <c r="L50" s="107">
        <f>SUM(J47:J50)</f>
        <v>274000</v>
      </c>
    </row>
    <row r="51" spans="1:14">
      <c r="A51" s="257">
        <v>5</v>
      </c>
      <c r="B51" s="11" t="s">
        <v>1709</v>
      </c>
      <c r="C51" s="11" t="s">
        <v>1713</v>
      </c>
      <c r="D51" s="11" t="s">
        <v>483</v>
      </c>
      <c r="E51" s="11" t="s">
        <v>1718</v>
      </c>
      <c r="F51" s="11">
        <v>1</v>
      </c>
      <c r="G51" s="11" t="s">
        <v>367</v>
      </c>
      <c r="H51" s="54">
        <f t="shared" ref="H51:H58" si="4">$K$4*F51</f>
        <v>1</v>
      </c>
      <c r="I51" s="54">
        <v>6300</v>
      </c>
      <c r="J51" s="54">
        <f t="shared" si="3"/>
        <v>6300</v>
      </c>
      <c r="K51" s="12"/>
    </row>
    <row r="52" spans="1:14">
      <c r="A52" s="258"/>
      <c r="B52" s="13" t="s">
        <v>1708</v>
      </c>
      <c r="C52" s="13" t="s">
        <v>1712</v>
      </c>
      <c r="D52" s="13" t="s">
        <v>372</v>
      </c>
      <c r="E52" s="61" t="s">
        <v>534</v>
      </c>
      <c r="F52" s="13">
        <v>1</v>
      </c>
      <c r="G52" s="13" t="s">
        <v>563</v>
      </c>
      <c r="H52" s="60">
        <f t="shared" si="4"/>
        <v>1</v>
      </c>
      <c r="I52" s="60">
        <v>44300</v>
      </c>
      <c r="J52" s="60">
        <f t="shared" si="3"/>
        <v>44300</v>
      </c>
      <c r="K52" s="16"/>
    </row>
    <row r="53" spans="1:14" ht="17.5" thickBot="1">
      <c r="A53" s="258"/>
      <c r="B53" s="13" t="s">
        <v>1708</v>
      </c>
      <c r="C53" s="13" t="s">
        <v>1712</v>
      </c>
      <c r="D53" s="13" t="s">
        <v>517</v>
      </c>
      <c r="E53" s="13" t="s">
        <v>521</v>
      </c>
      <c r="F53" s="13">
        <v>1</v>
      </c>
      <c r="G53" s="13" t="s">
        <v>1634</v>
      </c>
      <c r="H53" s="60">
        <f t="shared" si="4"/>
        <v>1</v>
      </c>
      <c r="I53" s="60">
        <v>95000</v>
      </c>
      <c r="J53" s="60">
        <f t="shared" si="3"/>
        <v>95000</v>
      </c>
      <c r="K53" s="16" t="s">
        <v>1717</v>
      </c>
      <c r="M53" s="1" t="s">
        <v>1732</v>
      </c>
    </row>
    <row r="54" spans="1:14" ht="18" thickBot="1">
      <c r="A54" s="259"/>
      <c r="B54" s="53" t="s">
        <v>1708</v>
      </c>
      <c r="C54" s="53" t="s">
        <v>1712</v>
      </c>
      <c r="D54" s="53" t="s">
        <v>527</v>
      </c>
      <c r="E54" s="53" t="s">
        <v>82</v>
      </c>
      <c r="F54" s="53">
        <v>8</v>
      </c>
      <c r="G54" s="53" t="s">
        <v>368</v>
      </c>
      <c r="H54" s="65">
        <f t="shared" si="4"/>
        <v>8</v>
      </c>
      <c r="I54" s="65">
        <v>15500</v>
      </c>
      <c r="J54" s="65">
        <f t="shared" si="3"/>
        <v>124000</v>
      </c>
      <c r="K54" s="14" t="s">
        <v>485</v>
      </c>
      <c r="L54" s="107">
        <f>SUM(J51:J54)</f>
        <v>269600</v>
      </c>
      <c r="M54" s="253">
        <f>640000/1.1</f>
        <v>581818.18181818177</v>
      </c>
      <c r="N54" s="246" t="s">
        <v>1729</v>
      </c>
    </row>
    <row r="55" spans="1:14">
      <c r="A55" s="257">
        <v>6</v>
      </c>
      <c r="B55" s="11" t="s">
        <v>1711</v>
      </c>
      <c r="C55" s="11" t="s">
        <v>1715</v>
      </c>
      <c r="D55" s="11" t="s">
        <v>483</v>
      </c>
      <c r="E55" s="11" t="s">
        <v>1719</v>
      </c>
      <c r="F55" s="11">
        <v>1</v>
      </c>
      <c r="G55" s="11" t="s">
        <v>367</v>
      </c>
      <c r="H55" s="54">
        <f t="shared" si="4"/>
        <v>1</v>
      </c>
      <c r="I55" s="54">
        <v>8000</v>
      </c>
      <c r="J55" s="54">
        <f t="shared" si="3"/>
        <v>8000</v>
      </c>
      <c r="K55" s="12"/>
    </row>
    <row r="56" spans="1:14">
      <c r="A56" s="258"/>
      <c r="B56" s="13" t="s">
        <v>1710</v>
      </c>
      <c r="C56" s="13" t="s">
        <v>1714</v>
      </c>
      <c r="D56" s="13" t="s">
        <v>1637</v>
      </c>
      <c r="E56" s="61" t="s">
        <v>534</v>
      </c>
      <c r="F56" s="13">
        <v>1</v>
      </c>
      <c r="G56" s="13" t="s">
        <v>563</v>
      </c>
      <c r="H56" s="60">
        <f t="shared" si="4"/>
        <v>1</v>
      </c>
      <c r="I56" s="60">
        <v>48500</v>
      </c>
      <c r="J56" s="60">
        <f t="shared" si="3"/>
        <v>48500</v>
      </c>
      <c r="K56" s="16"/>
    </row>
    <row r="57" spans="1:14" ht="17.5" thickBot="1">
      <c r="A57" s="258"/>
      <c r="B57" s="13" t="s">
        <v>1710</v>
      </c>
      <c r="C57" s="13" t="s">
        <v>1714</v>
      </c>
      <c r="D57" s="13" t="s">
        <v>517</v>
      </c>
      <c r="E57" s="13" t="s">
        <v>521</v>
      </c>
      <c r="F57" s="13">
        <v>1</v>
      </c>
      <c r="G57" s="13" t="s">
        <v>1634</v>
      </c>
      <c r="H57" s="60">
        <f t="shared" si="4"/>
        <v>1</v>
      </c>
      <c r="I57" s="60">
        <v>95000</v>
      </c>
      <c r="J57" s="60">
        <f t="shared" si="3"/>
        <v>95000</v>
      </c>
      <c r="K57" s="16" t="s">
        <v>1717</v>
      </c>
      <c r="M57" s="1" t="s">
        <v>1732</v>
      </c>
    </row>
    <row r="58" spans="1:14" ht="18" thickBot="1">
      <c r="A58" s="259"/>
      <c r="B58" s="53" t="s">
        <v>1710</v>
      </c>
      <c r="C58" s="53" t="s">
        <v>1714</v>
      </c>
      <c r="D58" s="53" t="s">
        <v>527</v>
      </c>
      <c r="E58" s="53" t="s">
        <v>82</v>
      </c>
      <c r="F58" s="53">
        <v>10</v>
      </c>
      <c r="G58" s="53" t="s">
        <v>368</v>
      </c>
      <c r="H58" s="65">
        <f t="shared" si="4"/>
        <v>10</v>
      </c>
      <c r="I58" s="65">
        <v>15500</v>
      </c>
      <c r="J58" s="65">
        <f t="shared" si="3"/>
        <v>155000</v>
      </c>
      <c r="K58" s="14" t="s">
        <v>485</v>
      </c>
      <c r="L58" s="107">
        <f>SUM(J55:J58)</f>
        <v>306500</v>
      </c>
      <c r="M58" s="253">
        <f>659000/1.1</f>
        <v>599090.90909090906</v>
      </c>
      <c r="N58" s="246" t="s">
        <v>1729</v>
      </c>
    </row>
    <row r="60" spans="1:14" ht="17.5" thickBot="1"/>
    <row r="61" spans="1:14" ht="27" customHeight="1" thickBot="1">
      <c r="C61" s="119"/>
      <c r="D61" s="120"/>
      <c r="E61" s="275"/>
      <c r="F61" s="270"/>
      <c r="G61" s="120" t="s">
        <v>763</v>
      </c>
      <c r="H61" s="276" t="s">
        <v>764</v>
      </c>
      <c r="I61" s="276"/>
      <c r="J61" s="277"/>
    </row>
    <row r="62" spans="1:14" ht="27" customHeight="1">
      <c r="C62" s="117" t="s">
        <v>760</v>
      </c>
      <c r="D62" s="121">
        <v>3000000</v>
      </c>
      <c r="E62" s="278" t="s">
        <v>762</v>
      </c>
      <c r="F62" s="279"/>
      <c r="G62" s="122">
        <f>D62/22</f>
        <v>136363.63636363635</v>
      </c>
      <c r="H62" s="280" t="s">
        <v>765</v>
      </c>
      <c r="I62" s="280"/>
      <c r="J62" s="281"/>
    </row>
    <row r="63" spans="1:14" ht="27" customHeight="1" thickBot="1">
      <c r="C63" s="118" t="s">
        <v>761</v>
      </c>
      <c r="D63" s="123">
        <v>3500000</v>
      </c>
      <c r="E63" s="282" t="s">
        <v>762</v>
      </c>
      <c r="F63" s="283"/>
      <c r="G63" s="124">
        <f>D63/22</f>
        <v>159090.90909090909</v>
      </c>
      <c r="H63" s="284" t="s">
        <v>766</v>
      </c>
      <c r="I63" s="284"/>
      <c r="J63" s="285"/>
    </row>
    <row r="64" spans="1:14" ht="27" customHeight="1" thickBot="1">
      <c r="C64" s="268" t="s">
        <v>265</v>
      </c>
      <c r="D64" s="269"/>
      <c r="E64" s="269"/>
      <c r="F64" s="270"/>
      <c r="G64" s="125">
        <f>SUM(G62:G63)</f>
        <v>295454.54545454541</v>
      </c>
      <c r="H64" s="271">
        <f>83333+97222</f>
        <v>180555</v>
      </c>
      <c r="I64" s="272"/>
      <c r="J64" s="273"/>
    </row>
    <row r="69" spans="4:4">
      <c r="D69" s="1" t="s">
        <v>536</v>
      </c>
    </row>
  </sheetData>
  <autoFilter ref="A13:K50">
    <filterColumn colId="2">
      <filters>
        <filter val="MT-SLC-075"/>
        <filter val="MT-SLC-100"/>
        <filter val="MT-SLC-125"/>
        <filter val="MT-SLC-150"/>
      </filters>
    </filterColumn>
  </autoFilter>
  <mergeCells count="29">
    <mergeCell ref="E61:F61"/>
    <mergeCell ref="E62:F62"/>
    <mergeCell ref="E63:F63"/>
    <mergeCell ref="C64:F64"/>
    <mergeCell ref="H61:J61"/>
    <mergeCell ref="H62:J62"/>
    <mergeCell ref="H63:J63"/>
    <mergeCell ref="H64:J64"/>
    <mergeCell ref="F1:G1"/>
    <mergeCell ref="A19:A22"/>
    <mergeCell ref="A39:A42"/>
    <mergeCell ref="A31:A34"/>
    <mergeCell ref="A35:A38"/>
    <mergeCell ref="A23:A26"/>
    <mergeCell ref="A27:A30"/>
    <mergeCell ref="A51:A54"/>
    <mergeCell ref="A55:A58"/>
    <mergeCell ref="A43:A46"/>
    <mergeCell ref="A47:A50"/>
    <mergeCell ref="H3:J3"/>
    <mergeCell ref="H4:J4"/>
    <mergeCell ref="H5:J5"/>
    <mergeCell ref="H6:J6"/>
    <mergeCell ref="H7:J7"/>
    <mergeCell ref="H8:J8"/>
    <mergeCell ref="H9:J9"/>
    <mergeCell ref="H10:J10"/>
    <mergeCell ref="H11:J11"/>
    <mergeCell ref="A14:A18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5" orientation="landscape" horizontalDpi="1200" verticalDpi="1200" r:id="rId1"/>
  <headerFooter>
    <oddFooter>&amp;C(주)매그나텍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51"/>
  <sheetViews>
    <sheetView zoomScale="85" zoomScaleNormal="85" workbookViewId="0">
      <pane xSplit="1" ySplit="14" topLeftCell="C31" activePane="bottomRight" state="frozen"/>
      <selection pane="topRight" activeCell="B1" sqref="B1"/>
      <selection pane="bottomLeft" activeCell="A16" sqref="A16"/>
      <selection pane="bottomRight" activeCell="K57" sqref="K57"/>
    </sheetView>
  </sheetViews>
  <sheetFormatPr defaultColWidth="9" defaultRowHeight="17"/>
  <cols>
    <col min="1" max="1" width="3.5" style="1" customWidth="1"/>
    <col min="2" max="2" width="12.83203125" style="1" customWidth="1"/>
    <col min="3" max="3" width="14.75" style="1" customWidth="1"/>
    <col min="4" max="4" width="20.75" style="1" customWidth="1"/>
    <col min="5" max="5" width="19.5" style="1" customWidth="1"/>
    <col min="6" max="6" width="6.33203125" style="1" customWidth="1"/>
    <col min="7" max="7" width="36.5" style="1" customWidth="1"/>
    <col min="8" max="8" width="6.5" style="1" customWidth="1"/>
    <col min="9" max="9" width="9.83203125" style="1" customWidth="1"/>
    <col min="10" max="10" width="20.25" style="1" customWidth="1"/>
    <col min="11" max="11" width="45.08203125" style="1" customWidth="1"/>
    <col min="12" max="12" width="12.08203125" style="1" customWidth="1"/>
    <col min="13" max="16384" width="9" style="1"/>
  </cols>
  <sheetData>
    <row r="1" spans="1:11" ht="44">
      <c r="F1" s="260" t="s">
        <v>474</v>
      </c>
      <c r="G1" s="260"/>
      <c r="H1" s="3"/>
      <c r="I1" s="3"/>
    </row>
    <row r="3" spans="1:11">
      <c r="H3" s="261" t="s">
        <v>257</v>
      </c>
      <c r="I3" s="262"/>
      <c r="J3" s="263"/>
      <c r="K3" s="2" t="s">
        <v>258</v>
      </c>
    </row>
    <row r="4" spans="1:11" hidden="1">
      <c r="H4" s="261" t="s">
        <v>268</v>
      </c>
      <c r="I4" s="262"/>
      <c r="J4" s="263"/>
      <c r="K4" s="2">
        <v>1</v>
      </c>
    </row>
    <row r="5" spans="1:11" hidden="1">
      <c r="H5" s="261" t="s">
        <v>269</v>
      </c>
      <c r="I5" s="262"/>
      <c r="J5" s="263"/>
      <c r="K5" s="2">
        <v>1</v>
      </c>
    </row>
    <row r="6" spans="1:11" hidden="1">
      <c r="H6" s="261" t="s">
        <v>270</v>
      </c>
      <c r="I6" s="262"/>
      <c r="J6" s="263"/>
      <c r="K6" s="2">
        <v>1</v>
      </c>
    </row>
    <row r="7" spans="1:11" hidden="1">
      <c r="H7" s="261" t="s">
        <v>271</v>
      </c>
      <c r="I7" s="262"/>
      <c r="J7" s="263"/>
      <c r="K7" s="2">
        <v>1</v>
      </c>
    </row>
    <row r="8" spans="1:11" hidden="1">
      <c r="H8" s="261" t="s">
        <v>272</v>
      </c>
      <c r="I8" s="262"/>
      <c r="J8" s="263"/>
      <c r="K8" s="2">
        <v>1</v>
      </c>
    </row>
    <row r="9" spans="1:11" hidden="1">
      <c r="H9" s="261" t="s">
        <v>273</v>
      </c>
      <c r="I9" s="262"/>
      <c r="J9" s="263"/>
      <c r="K9" s="2">
        <v>1</v>
      </c>
    </row>
    <row r="10" spans="1:11" hidden="1">
      <c r="H10" s="261" t="s">
        <v>274</v>
      </c>
      <c r="I10" s="262"/>
      <c r="J10" s="263"/>
      <c r="K10" s="2">
        <v>1</v>
      </c>
    </row>
    <row r="11" spans="1:11" hidden="1">
      <c r="H11" s="261" t="s">
        <v>275</v>
      </c>
      <c r="I11" s="262"/>
      <c r="J11" s="263"/>
      <c r="K11" s="2">
        <v>1</v>
      </c>
    </row>
    <row r="12" spans="1:11">
      <c r="H12" s="261" t="s">
        <v>265</v>
      </c>
      <c r="I12" s="262"/>
      <c r="J12" s="263"/>
      <c r="K12" s="2"/>
    </row>
    <row r="13" spans="1:11" ht="17.5" thickBot="1"/>
    <row r="14" spans="1:11" ht="17.5" thickBot="1">
      <c r="A14" s="62" t="s">
        <v>80</v>
      </c>
      <c r="B14" s="63" t="s">
        <v>0</v>
      </c>
      <c r="C14" s="63" t="s">
        <v>142</v>
      </c>
      <c r="D14" s="63" t="s">
        <v>103</v>
      </c>
      <c r="E14" s="63" t="s">
        <v>104</v>
      </c>
      <c r="F14" s="63" t="s">
        <v>83</v>
      </c>
      <c r="G14" s="63" t="s">
        <v>84</v>
      </c>
      <c r="H14" s="63" t="s">
        <v>254</v>
      </c>
      <c r="I14" s="63" t="s">
        <v>267</v>
      </c>
      <c r="J14" s="63" t="s">
        <v>266</v>
      </c>
      <c r="K14" s="64" t="s">
        <v>79</v>
      </c>
    </row>
    <row r="15" spans="1:11" hidden="1">
      <c r="A15" s="257">
        <v>1</v>
      </c>
      <c r="B15" s="11" t="s">
        <v>27</v>
      </c>
      <c r="C15" s="11" t="s">
        <v>23</v>
      </c>
      <c r="D15" s="11" t="s">
        <v>484</v>
      </c>
      <c r="E15" s="11" t="s">
        <v>86</v>
      </c>
      <c r="F15" s="11">
        <v>1</v>
      </c>
      <c r="G15" s="11" t="s">
        <v>367</v>
      </c>
      <c r="H15" s="54">
        <f t="shared" ref="H15:H46" si="0">$K$4*F15</f>
        <v>1</v>
      </c>
      <c r="I15" s="54">
        <v>3150</v>
      </c>
      <c r="J15" s="54">
        <f>H15*I15</f>
        <v>3150</v>
      </c>
      <c r="K15" s="12"/>
    </row>
    <row r="16" spans="1:11" hidden="1">
      <c r="A16" s="258"/>
      <c r="B16" s="13" t="s">
        <v>27</v>
      </c>
      <c r="C16" s="13" t="s">
        <v>23</v>
      </c>
      <c r="D16" s="13" t="s">
        <v>374</v>
      </c>
      <c r="E16" s="13" t="s">
        <v>522</v>
      </c>
      <c r="F16" s="13">
        <v>1</v>
      </c>
      <c r="G16" s="13" t="s">
        <v>563</v>
      </c>
      <c r="H16" s="60">
        <f t="shared" si="0"/>
        <v>1</v>
      </c>
      <c r="I16" s="60">
        <v>22700</v>
      </c>
      <c r="J16" s="60">
        <f t="shared" ref="J16:J46" si="1">H16*I16</f>
        <v>22700</v>
      </c>
      <c r="K16" s="16"/>
    </row>
    <row r="17" spans="1:12" hidden="1">
      <c r="A17" s="258"/>
      <c r="B17" s="13" t="s">
        <v>27</v>
      </c>
      <c r="C17" s="13" t="s">
        <v>23</v>
      </c>
      <c r="D17" s="13" t="s">
        <v>516</v>
      </c>
      <c r="E17" s="13" t="s">
        <v>81</v>
      </c>
      <c r="F17" s="13">
        <v>1</v>
      </c>
      <c r="G17" s="13" t="s">
        <v>239</v>
      </c>
      <c r="H17" s="60">
        <f t="shared" si="0"/>
        <v>1</v>
      </c>
      <c r="I17" s="60">
        <v>47000</v>
      </c>
      <c r="J17" s="60">
        <f t="shared" si="1"/>
        <v>47000</v>
      </c>
      <c r="K17" s="16" t="s">
        <v>656</v>
      </c>
    </row>
    <row r="18" spans="1:12" ht="18" hidden="1" thickBot="1">
      <c r="A18" s="264"/>
      <c r="B18" s="15" t="s">
        <v>27</v>
      </c>
      <c r="C18" s="15" t="s">
        <v>23</v>
      </c>
      <c r="D18" s="15" t="s">
        <v>527</v>
      </c>
      <c r="E18" s="15" t="s">
        <v>82</v>
      </c>
      <c r="F18" s="15">
        <v>1</v>
      </c>
      <c r="G18" s="15" t="s">
        <v>368</v>
      </c>
      <c r="H18" s="55">
        <f t="shared" si="0"/>
        <v>1</v>
      </c>
      <c r="I18" s="55">
        <v>15500</v>
      </c>
      <c r="J18" s="55">
        <f t="shared" si="1"/>
        <v>15500</v>
      </c>
      <c r="K18" s="22" t="s">
        <v>485</v>
      </c>
      <c r="L18" s="108">
        <f>SUM(J15:J18)</f>
        <v>88350</v>
      </c>
    </row>
    <row r="19" spans="1:12" hidden="1">
      <c r="A19" s="257">
        <v>2</v>
      </c>
      <c r="B19" s="11" t="s">
        <v>28</v>
      </c>
      <c r="C19" s="11" t="s">
        <v>24</v>
      </c>
      <c r="D19" s="11" t="s">
        <v>484</v>
      </c>
      <c r="E19" s="11" t="s">
        <v>86</v>
      </c>
      <c r="F19" s="11">
        <v>1</v>
      </c>
      <c r="G19" s="11" t="s">
        <v>367</v>
      </c>
      <c r="H19" s="54">
        <f t="shared" si="0"/>
        <v>1</v>
      </c>
      <c r="I19" s="54">
        <v>3150</v>
      </c>
      <c r="J19" s="54">
        <f t="shared" si="1"/>
        <v>3150</v>
      </c>
      <c r="K19" s="12"/>
    </row>
    <row r="20" spans="1:12" hidden="1">
      <c r="A20" s="258"/>
      <c r="B20" s="13" t="s">
        <v>28</v>
      </c>
      <c r="C20" s="13" t="s">
        <v>24</v>
      </c>
      <c r="D20" s="13" t="s">
        <v>373</v>
      </c>
      <c r="E20" s="13" t="s">
        <v>522</v>
      </c>
      <c r="F20" s="13">
        <v>1</v>
      </c>
      <c r="G20" s="13" t="s">
        <v>563</v>
      </c>
      <c r="H20" s="60">
        <f t="shared" si="0"/>
        <v>1</v>
      </c>
      <c r="I20" s="60">
        <v>27900</v>
      </c>
      <c r="J20" s="60">
        <f t="shared" si="1"/>
        <v>27900</v>
      </c>
      <c r="K20" s="16"/>
    </row>
    <row r="21" spans="1:12" hidden="1">
      <c r="A21" s="258"/>
      <c r="B21" s="13" t="s">
        <v>28</v>
      </c>
      <c r="C21" s="13" t="s">
        <v>24</v>
      </c>
      <c r="D21" s="13" t="s">
        <v>516</v>
      </c>
      <c r="E21" s="13" t="s">
        <v>579</v>
      </c>
      <c r="F21" s="13">
        <v>1</v>
      </c>
      <c r="G21" s="13" t="s">
        <v>239</v>
      </c>
      <c r="H21" s="60">
        <f t="shared" si="0"/>
        <v>1</v>
      </c>
      <c r="I21" s="60">
        <v>47000</v>
      </c>
      <c r="J21" s="60">
        <f t="shared" si="1"/>
        <v>47000</v>
      </c>
      <c r="K21" s="16" t="s">
        <v>656</v>
      </c>
    </row>
    <row r="22" spans="1:12" ht="18" hidden="1" thickBot="1">
      <c r="A22" s="259"/>
      <c r="B22" s="53" t="s">
        <v>28</v>
      </c>
      <c r="C22" s="53" t="s">
        <v>24</v>
      </c>
      <c r="D22" s="53" t="s">
        <v>527</v>
      </c>
      <c r="E22" s="53" t="s">
        <v>82</v>
      </c>
      <c r="F22" s="53">
        <v>2</v>
      </c>
      <c r="G22" s="53" t="s">
        <v>368</v>
      </c>
      <c r="H22" s="65">
        <f t="shared" si="0"/>
        <v>2</v>
      </c>
      <c r="I22" s="65">
        <v>15500</v>
      </c>
      <c r="J22" s="65">
        <f t="shared" si="1"/>
        <v>31000</v>
      </c>
      <c r="K22" s="14" t="s">
        <v>485</v>
      </c>
      <c r="L22" s="108">
        <f>SUM(J19:J22)</f>
        <v>109050</v>
      </c>
    </row>
    <row r="23" spans="1:12" hidden="1">
      <c r="A23" s="274">
        <v>3</v>
      </c>
      <c r="B23" s="10" t="s">
        <v>29</v>
      </c>
      <c r="C23" s="10" t="s">
        <v>25</v>
      </c>
      <c r="D23" s="10" t="s">
        <v>484</v>
      </c>
      <c r="E23" s="10" t="s">
        <v>86</v>
      </c>
      <c r="F23" s="10">
        <v>1</v>
      </c>
      <c r="G23" s="10" t="s">
        <v>367</v>
      </c>
      <c r="H23" s="56">
        <f t="shared" si="0"/>
        <v>1</v>
      </c>
      <c r="I23" s="56">
        <v>3150</v>
      </c>
      <c r="J23" s="56">
        <f t="shared" si="1"/>
        <v>3150</v>
      </c>
      <c r="K23" s="17"/>
    </row>
    <row r="24" spans="1:12" hidden="1">
      <c r="A24" s="258"/>
      <c r="B24" s="13" t="s">
        <v>29</v>
      </c>
      <c r="C24" s="13" t="s">
        <v>25</v>
      </c>
      <c r="D24" s="13" t="s">
        <v>370</v>
      </c>
      <c r="E24" s="13" t="s">
        <v>522</v>
      </c>
      <c r="F24" s="13">
        <v>1</v>
      </c>
      <c r="G24" s="13" t="s">
        <v>563</v>
      </c>
      <c r="H24" s="60">
        <f t="shared" si="0"/>
        <v>1</v>
      </c>
      <c r="I24" s="60">
        <v>23700</v>
      </c>
      <c r="J24" s="60">
        <f t="shared" si="1"/>
        <v>23700</v>
      </c>
      <c r="K24" s="16"/>
    </row>
    <row r="25" spans="1:12" hidden="1">
      <c r="A25" s="258"/>
      <c r="B25" s="13" t="s">
        <v>29</v>
      </c>
      <c r="C25" s="13" t="s">
        <v>25</v>
      </c>
      <c r="D25" s="13" t="s">
        <v>516</v>
      </c>
      <c r="E25" s="13" t="s">
        <v>81</v>
      </c>
      <c r="F25" s="13">
        <v>1</v>
      </c>
      <c r="G25" s="13" t="s">
        <v>239</v>
      </c>
      <c r="H25" s="60">
        <f t="shared" si="0"/>
        <v>1</v>
      </c>
      <c r="I25" s="60">
        <v>47000</v>
      </c>
      <c r="J25" s="60">
        <f t="shared" si="1"/>
        <v>47000</v>
      </c>
      <c r="K25" s="16" t="s">
        <v>656</v>
      </c>
    </row>
    <row r="26" spans="1:12" ht="18" hidden="1" thickBot="1">
      <c r="A26" s="264"/>
      <c r="B26" s="15" t="s">
        <v>29</v>
      </c>
      <c r="C26" s="15" t="s">
        <v>25</v>
      </c>
      <c r="D26" s="15" t="s">
        <v>527</v>
      </c>
      <c r="E26" s="15" t="s">
        <v>82</v>
      </c>
      <c r="F26" s="15">
        <v>2</v>
      </c>
      <c r="G26" s="15" t="s">
        <v>368</v>
      </c>
      <c r="H26" s="55">
        <f t="shared" si="0"/>
        <v>2</v>
      </c>
      <c r="I26" s="55">
        <v>15500</v>
      </c>
      <c r="J26" s="55">
        <f t="shared" si="1"/>
        <v>31000</v>
      </c>
      <c r="K26" s="22" t="s">
        <v>485</v>
      </c>
      <c r="L26" s="108">
        <f>SUM(J23:J26)</f>
        <v>104850</v>
      </c>
    </row>
    <row r="27" spans="1:12" hidden="1">
      <c r="A27" s="257">
        <v>4</v>
      </c>
      <c r="B27" s="11" t="s">
        <v>30</v>
      </c>
      <c r="C27" s="11" t="s">
        <v>26</v>
      </c>
      <c r="D27" s="11" t="s">
        <v>484</v>
      </c>
      <c r="E27" s="11" t="s">
        <v>86</v>
      </c>
      <c r="F27" s="11">
        <v>1</v>
      </c>
      <c r="G27" s="11" t="s">
        <v>367</v>
      </c>
      <c r="H27" s="54">
        <f t="shared" si="0"/>
        <v>1</v>
      </c>
      <c r="I27" s="54">
        <v>3150</v>
      </c>
      <c r="J27" s="54">
        <f t="shared" si="1"/>
        <v>3150</v>
      </c>
      <c r="K27" s="12"/>
    </row>
    <row r="28" spans="1:12" hidden="1">
      <c r="A28" s="258"/>
      <c r="B28" s="13" t="s">
        <v>30</v>
      </c>
      <c r="C28" s="13" t="s">
        <v>26</v>
      </c>
      <c r="D28" s="13" t="s">
        <v>373</v>
      </c>
      <c r="E28" s="13" t="s">
        <v>522</v>
      </c>
      <c r="F28" s="13">
        <v>1</v>
      </c>
      <c r="G28" s="13" t="s">
        <v>563</v>
      </c>
      <c r="H28" s="60">
        <f t="shared" si="0"/>
        <v>1</v>
      </c>
      <c r="I28" s="60">
        <v>27900</v>
      </c>
      <c r="J28" s="60">
        <f t="shared" si="1"/>
        <v>27900</v>
      </c>
      <c r="K28" s="16"/>
    </row>
    <row r="29" spans="1:12" hidden="1">
      <c r="A29" s="258"/>
      <c r="B29" s="13" t="s">
        <v>30</v>
      </c>
      <c r="C29" s="13" t="s">
        <v>26</v>
      </c>
      <c r="D29" s="13" t="s">
        <v>516</v>
      </c>
      <c r="E29" s="13" t="s">
        <v>81</v>
      </c>
      <c r="F29" s="13">
        <v>1</v>
      </c>
      <c r="G29" s="13" t="s">
        <v>239</v>
      </c>
      <c r="H29" s="60">
        <f t="shared" si="0"/>
        <v>1</v>
      </c>
      <c r="I29" s="60">
        <v>47000</v>
      </c>
      <c r="J29" s="60">
        <f t="shared" si="1"/>
        <v>47000</v>
      </c>
      <c r="K29" s="16" t="s">
        <v>656</v>
      </c>
    </row>
    <row r="30" spans="1:12" ht="18" hidden="1" thickBot="1">
      <c r="A30" s="259"/>
      <c r="B30" s="53" t="s">
        <v>30</v>
      </c>
      <c r="C30" s="53" t="s">
        <v>26</v>
      </c>
      <c r="D30" s="53" t="s">
        <v>527</v>
      </c>
      <c r="E30" s="53" t="s">
        <v>82</v>
      </c>
      <c r="F30" s="53">
        <v>2</v>
      </c>
      <c r="G30" s="53" t="s">
        <v>368</v>
      </c>
      <c r="H30" s="65">
        <f t="shared" si="0"/>
        <v>2</v>
      </c>
      <c r="I30" s="65">
        <v>15500</v>
      </c>
      <c r="J30" s="65">
        <f t="shared" si="1"/>
        <v>31000</v>
      </c>
      <c r="K30" s="14" t="s">
        <v>485</v>
      </c>
      <c r="L30" s="108">
        <f>SUM(J27:J30)</f>
        <v>109050</v>
      </c>
    </row>
    <row r="31" spans="1:12">
      <c r="A31" s="274">
        <v>5</v>
      </c>
      <c r="B31" s="10" t="s">
        <v>19</v>
      </c>
      <c r="C31" s="10" t="s">
        <v>15</v>
      </c>
      <c r="D31" s="10" t="s">
        <v>484</v>
      </c>
      <c r="E31" s="10" t="s">
        <v>86</v>
      </c>
      <c r="F31" s="10">
        <v>1</v>
      </c>
      <c r="G31" s="10" t="s">
        <v>367</v>
      </c>
      <c r="H31" s="56">
        <f t="shared" si="0"/>
        <v>1</v>
      </c>
      <c r="I31" s="56">
        <v>3150</v>
      </c>
      <c r="J31" s="56">
        <f t="shared" si="1"/>
        <v>3150</v>
      </c>
      <c r="K31" s="17"/>
    </row>
    <row r="32" spans="1:12">
      <c r="A32" s="258"/>
      <c r="B32" s="13" t="s">
        <v>19</v>
      </c>
      <c r="C32" s="13" t="s">
        <v>15</v>
      </c>
      <c r="D32" s="13" t="s">
        <v>374</v>
      </c>
      <c r="E32" s="61" t="s">
        <v>534</v>
      </c>
      <c r="F32" s="13">
        <v>1</v>
      </c>
      <c r="G32" s="13" t="s">
        <v>563</v>
      </c>
      <c r="H32" s="60">
        <f t="shared" si="0"/>
        <v>1</v>
      </c>
      <c r="I32" s="60">
        <v>22700</v>
      </c>
      <c r="J32" s="60">
        <f t="shared" si="1"/>
        <v>22700</v>
      </c>
      <c r="K32" s="16"/>
    </row>
    <row r="33" spans="1:12" ht="17.5" thickBot="1">
      <c r="A33" s="258"/>
      <c r="B33" s="13" t="s">
        <v>19</v>
      </c>
      <c r="C33" s="13" t="s">
        <v>15</v>
      </c>
      <c r="D33" s="13" t="s">
        <v>515</v>
      </c>
      <c r="E33" s="13" t="s">
        <v>519</v>
      </c>
      <c r="F33" s="13">
        <v>1</v>
      </c>
      <c r="G33" s="13" t="s">
        <v>369</v>
      </c>
      <c r="H33" s="60">
        <f t="shared" si="0"/>
        <v>1</v>
      </c>
      <c r="I33" s="60">
        <v>45000</v>
      </c>
      <c r="J33" s="60">
        <f t="shared" si="1"/>
        <v>45000</v>
      </c>
      <c r="K33" s="16" t="s">
        <v>657</v>
      </c>
    </row>
    <row r="34" spans="1:12" ht="18" thickBot="1">
      <c r="A34" s="264"/>
      <c r="B34" s="15" t="s">
        <v>19</v>
      </c>
      <c r="C34" s="15" t="s">
        <v>15</v>
      </c>
      <c r="D34" s="15" t="s">
        <v>527</v>
      </c>
      <c r="E34" s="15" t="s">
        <v>82</v>
      </c>
      <c r="F34" s="15">
        <v>1</v>
      </c>
      <c r="G34" s="15" t="s">
        <v>368</v>
      </c>
      <c r="H34" s="55">
        <f t="shared" si="0"/>
        <v>1</v>
      </c>
      <c r="I34" s="55">
        <v>15500</v>
      </c>
      <c r="J34" s="55">
        <f t="shared" si="1"/>
        <v>15500</v>
      </c>
      <c r="K34" s="22" t="s">
        <v>485</v>
      </c>
      <c r="L34" s="108">
        <f>SUM(J31:J34)</f>
        <v>86350</v>
      </c>
    </row>
    <row r="35" spans="1:12">
      <c r="A35" s="257">
        <v>6</v>
      </c>
      <c r="B35" s="11" t="s">
        <v>20</v>
      </c>
      <c r="C35" s="11" t="s">
        <v>16</v>
      </c>
      <c r="D35" s="11" t="s">
        <v>484</v>
      </c>
      <c r="E35" s="11" t="s">
        <v>86</v>
      </c>
      <c r="F35" s="11">
        <v>1</v>
      </c>
      <c r="G35" s="11" t="s">
        <v>367</v>
      </c>
      <c r="H35" s="54">
        <f t="shared" si="0"/>
        <v>1</v>
      </c>
      <c r="I35" s="54">
        <v>3150</v>
      </c>
      <c r="J35" s="54">
        <f t="shared" si="1"/>
        <v>3150</v>
      </c>
      <c r="K35" s="12"/>
    </row>
    <row r="36" spans="1:12">
      <c r="A36" s="258"/>
      <c r="B36" s="13" t="s">
        <v>20</v>
      </c>
      <c r="C36" s="13" t="s">
        <v>16</v>
      </c>
      <c r="D36" s="13" t="s">
        <v>370</v>
      </c>
      <c r="E36" s="61" t="s">
        <v>534</v>
      </c>
      <c r="F36" s="13">
        <v>1</v>
      </c>
      <c r="G36" s="13" t="s">
        <v>563</v>
      </c>
      <c r="H36" s="60">
        <f t="shared" si="0"/>
        <v>1</v>
      </c>
      <c r="I36" s="60">
        <v>23700</v>
      </c>
      <c r="J36" s="60">
        <f t="shared" si="1"/>
        <v>23700</v>
      </c>
      <c r="K36" s="16"/>
    </row>
    <row r="37" spans="1:12" ht="17.5" thickBot="1">
      <c r="A37" s="258"/>
      <c r="B37" s="13" t="s">
        <v>20</v>
      </c>
      <c r="C37" s="13" t="s">
        <v>16</v>
      </c>
      <c r="D37" s="13" t="s">
        <v>515</v>
      </c>
      <c r="E37" s="13" t="s">
        <v>519</v>
      </c>
      <c r="F37" s="13">
        <v>1</v>
      </c>
      <c r="G37" s="13" t="s">
        <v>369</v>
      </c>
      <c r="H37" s="60">
        <f t="shared" si="0"/>
        <v>1</v>
      </c>
      <c r="I37" s="60">
        <v>45000</v>
      </c>
      <c r="J37" s="60">
        <f t="shared" si="1"/>
        <v>45000</v>
      </c>
      <c r="K37" s="16" t="s">
        <v>657</v>
      </c>
    </row>
    <row r="38" spans="1:12" ht="18" thickBot="1">
      <c r="A38" s="259"/>
      <c r="B38" s="53" t="s">
        <v>20</v>
      </c>
      <c r="C38" s="53" t="s">
        <v>16</v>
      </c>
      <c r="D38" s="53" t="s">
        <v>527</v>
      </c>
      <c r="E38" s="53" t="s">
        <v>82</v>
      </c>
      <c r="F38" s="53">
        <v>2</v>
      </c>
      <c r="G38" s="53" t="s">
        <v>368</v>
      </c>
      <c r="H38" s="65">
        <f t="shared" si="0"/>
        <v>2</v>
      </c>
      <c r="I38" s="65">
        <v>15500</v>
      </c>
      <c r="J38" s="65">
        <f t="shared" si="1"/>
        <v>31000</v>
      </c>
      <c r="K38" s="14" t="s">
        <v>485</v>
      </c>
      <c r="L38" s="108">
        <f>SUM(J35:J38)</f>
        <v>102850</v>
      </c>
    </row>
    <row r="39" spans="1:12">
      <c r="A39" s="274">
        <v>7</v>
      </c>
      <c r="B39" s="10" t="s">
        <v>21</v>
      </c>
      <c r="C39" s="10" t="s">
        <v>17</v>
      </c>
      <c r="D39" s="10" t="s">
        <v>484</v>
      </c>
      <c r="E39" s="10" t="s">
        <v>86</v>
      </c>
      <c r="F39" s="10">
        <v>1</v>
      </c>
      <c r="G39" s="10" t="s">
        <v>367</v>
      </c>
      <c r="H39" s="56">
        <f t="shared" si="0"/>
        <v>1</v>
      </c>
      <c r="I39" s="56">
        <v>3150</v>
      </c>
      <c r="J39" s="56">
        <f t="shared" si="1"/>
        <v>3150</v>
      </c>
      <c r="K39" s="17"/>
    </row>
    <row r="40" spans="1:12">
      <c r="A40" s="258"/>
      <c r="B40" s="13" t="s">
        <v>21</v>
      </c>
      <c r="C40" s="13" t="s">
        <v>17</v>
      </c>
      <c r="D40" s="13" t="s">
        <v>370</v>
      </c>
      <c r="E40" s="61" t="s">
        <v>534</v>
      </c>
      <c r="F40" s="13">
        <v>1</v>
      </c>
      <c r="G40" s="13" t="s">
        <v>563</v>
      </c>
      <c r="H40" s="60">
        <f t="shared" si="0"/>
        <v>1</v>
      </c>
      <c r="I40" s="60">
        <v>23700</v>
      </c>
      <c r="J40" s="60">
        <f t="shared" si="1"/>
        <v>23700</v>
      </c>
      <c r="K40" s="16"/>
    </row>
    <row r="41" spans="1:12" ht="17.5" thickBot="1">
      <c r="A41" s="258"/>
      <c r="B41" s="13" t="s">
        <v>21</v>
      </c>
      <c r="C41" s="13" t="s">
        <v>17</v>
      </c>
      <c r="D41" s="13" t="s">
        <v>515</v>
      </c>
      <c r="E41" s="13" t="s">
        <v>519</v>
      </c>
      <c r="F41" s="13">
        <v>1</v>
      </c>
      <c r="G41" s="13" t="s">
        <v>369</v>
      </c>
      <c r="H41" s="60">
        <f t="shared" si="0"/>
        <v>1</v>
      </c>
      <c r="I41" s="60">
        <v>45000</v>
      </c>
      <c r="J41" s="60">
        <f t="shared" si="1"/>
        <v>45000</v>
      </c>
      <c r="K41" s="16" t="s">
        <v>657</v>
      </c>
    </row>
    <row r="42" spans="1:12" ht="18" thickBot="1">
      <c r="A42" s="264"/>
      <c r="B42" s="15" t="s">
        <v>21</v>
      </c>
      <c r="C42" s="15" t="s">
        <v>17</v>
      </c>
      <c r="D42" s="15" t="s">
        <v>527</v>
      </c>
      <c r="E42" s="15" t="s">
        <v>82</v>
      </c>
      <c r="F42" s="15">
        <v>2</v>
      </c>
      <c r="G42" s="15" t="s">
        <v>368</v>
      </c>
      <c r="H42" s="55">
        <f t="shared" si="0"/>
        <v>2</v>
      </c>
      <c r="I42" s="55">
        <v>15500</v>
      </c>
      <c r="J42" s="55">
        <f t="shared" si="1"/>
        <v>31000</v>
      </c>
      <c r="K42" s="22" t="s">
        <v>485</v>
      </c>
      <c r="L42" s="108">
        <f>SUM(J39:J42)</f>
        <v>102850</v>
      </c>
    </row>
    <row r="43" spans="1:12">
      <c r="A43" s="257">
        <v>8</v>
      </c>
      <c r="B43" s="11" t="s">
        <v>22</v>
      </c>
      <c r="C43" s="11" t="s">
        <v>18</v>
      </c>
      <c r="D43" s="11" t="s">
        <v>484</v>
      </c>
      <c r="E43" s="11" t="s">
        <v>86</v>
      </c>
      <c r="F43" s="11">
        <v>1</v>
      </c>
      <c r="G43" s="11" t="s">
        <v>367</v>
      </c>
      <c r="H43" s="54">
        <f t="shared" si="0"/>
        <v>1</v>
      </c>
      <c r="I43" s="54">
        <v>3150</v>
      </c>
      <c r="J43" s="54">
        <f t="shared" si="1"/>
        <v>3150</v>
      </c>
      <c r="K43" s="12"/>
    </row>
    <row r="44" spans="1:12">
      <c r="A44" s="258"/>
      <c r="B44" s="13" t="s">
        <v>22</v>
      </c>
      <c r="C44" s="13" t="s">
        <v>18</v>
      </c>
      <c r="D44" s="13" t="s">
        <v>373</v>
      </c>
      <c r="E44" s="61" t="s">
        <v>534</v>
      </c>
      <c r="F44" s="13">
        <v>1</v>
      </c>
      <c r="G44" s="13" t="s">
        <v>563</v>
      </c>
      <c r="H44" s="60">
        <f t="shared" si="0"/>
        <v>1</v>
      </c>
      <c r="I44" s="60">
        <v>27900</v>
      </c>
      <c r="J44" s="60">
        <f t="shared" si="1"/>
        <v>27900</v>
      </c>
      <c r="K44" s="16"/>
    </row>
    <row r="45" spans="1:12" ht="17.5" thickBot="1">
      <c r="A45" s="258"/>
      <c r="B45" s="13" t="s">
        <v>22</v>
      </c>
      <c r="C45" s="13" t="s">
        <v>18</v>
      </c>
      <c r="D45" s="13" t="s">
        <v>515</v>
      </c>
      <c r="E45" s="13" t="s">
        <v>519</v>
      </c>
      <c r="F45" s="13">
        <v>1</v>
      </c>
      <c r="G45" s="13" t="s">
        <v>369</v>
      </c>
      <c r="H45" s="60">
        <f t="shared" si="0"/>
        <v>1</v>
      </c>
      <c r="I45" s="60">
        <v>45000</v>
      </c>
      <c r="J45" s="60">
        <f t="shared" si="1"/>
        <v>45000</v>
      </c>
      <c r="K45" s="16" t="s">
        <v>657</v>
      </c>
    </row>
    <row r="46" spans="1:12" ht="18" thickBot="1">
      <c r="A46" s="259"/>
      <c r="B46" s="53" t="s">
        <v>22</v>
      </c>
      <c r="C46" s="53" t="s">
        <v>18</v>
      </c>
      <c r="D46" s="53" t="s">
        <v>527</v>
      </c>
      <c r="E46" s="53" t="s">
        <v>82</v>
      </c>
      <c r="F46" s="53">
        <v>2</v>
      </c>
      <c r="G46" s="53" t="s">
        <v>368</v>
      </c>
      <c r="H46" s="65">
        <f t="shared" si="0"/>
        <v>2</v>
      </c>
      <c r="I46" s="65">
        <v>15500</v>
      </c>
      <c r="J46" s="65">
        <f t="shared" si="1"/>
        <v>31000</v>
      </c>
      <c r="K46" s="14" t="s">
        <v>485</v>
      </c>
      <c r="L46" s="108">
        <f>SUM(J43:J46)</f>
        <v>107050</v>
      </c>
    </row>
    <row r="47" spans="1:12" ht="17.5" thickBot="1"/>
    <row r="48" spans="1:12" ht="27" customHeight="1" thickBot="1">
      <c r="C48" s="119"/>
      <c r="D48" s="120"/>
      <c r="E48" s="275"/>
      <c r="F48" s="270"/>
      <c r="G48" s="120" t="s">
        <v>763</v>
      </c>
      <c r="H48" s="276" t="s">
        <v>764</v>
      </c>
      <c r="I48" s="276"/>
      <c r="J48" s="277"/>
    </row>
    <row r="49" spans="3:10" ht="27" customHeight="1">
      <c r="C49" s="117" t="s">
        <v>760</v>
      </c>
      <c r="D49" s="121">
        <v>3000000</v>
      </c>
      <c r="E49" s="278" t="s">
        <v>762</v>
      </c>
      <c r="F49" s="279"/>
      <c r="G49" s="122">
        <f>D49/22</f>
        <v>136363.63636363635</v>
      </c>
      <c r="H49" s="280" t="s">
        <v>765</v>
      </c>
      <c r="I49" s="280"/>
      <c r="J49" s="281"/>
    </row>
    <row r="50" spans="3:10" ht="27" customHeight="1" thickBot="1">
      <c r="C50" s="118" t="s">
        <v>761</v>
      </c>
      <c r="D50" s="123">
        <v>3500000</v>
      </c>
      <c r="E50" s="282" t="s">
        <v>762</v>
      </c>
      <c r="F50" s="283"/>
      <c r="G50" s="124">
        <f>D50/22</f>
        <v>159090.90909090909</v>
      </c>
      <c r="H50" s="284" t="s">
        <v>766</v>
      </c>
      <c r="I50" s="284"/>
      <c r="J50" s="285"/>
    </row>
    <row r="51" spans="3:10" ht="27" customHeight="1" thickBot="1">
      <c r="C51" s="268" t="s">
        <v>265</v>
      </c>
      <c r="D51" s="269"/>
      <c r="E51" s="269"/>
      <c r="F51" s="270"/>
      <c r="G51" s="125">
        <f>SUM(G49:G50)</f>
        <v>295454.54545454541</v>
      </c>
      <c r="H51" s="271">
        <f>83333+97222</f>
        <v>180555</v>
      </c>
      <c r="I51" s="272"/>
      <c r="J51" s="273"/>
    </row>
  </sheetData>
  <autoFilter ref="A14:K46">
    <filterColumn colId="2">
      <filters>
        <filter val="MT-SLC-030"/>
        <filter val="MT-SLC-040"/>
        <filter val="MT-SLC-050"/>
        <filter val="MT-SLC-060"/>
      </filters>
    </filterColumn>
  </autoFilter>
  <mergeCells count="27">
    <mergeCell ref="A15:A18"/>
    <mergeCell ref="A39:A42"/>
    <mergeCell ref="A43:A46"/>
    <mergeCell ref="A19:A22"/>
    <mergeCell ref="A23:A26"/>
    <mergeCell ref="A27:A30"/>
    <mergeCell ref="A31:A34"/>
    <mergeCell ref="A35:A38"/>
    <mergeCell ref="F1:G1"/>
    <mergeCell ref="H3:J3"/>
    <mergeCell ref="H4:J4"/>
    <mergeCell ref="H5:J5"/>
    <mergeCell ref="H6:J6"/>
    <mergeCell ref="H7:J7"/>
    <mergeCell ref="H8:J8"/>
    <mergeCell ref="H12:J12"/>
    <mergeCell ref="H9:J9"/>
    <mergeCell ref="H10:J10"/>
    <mergeCell ref="H11:J11"/>
    <mergeCell ref="C51:F51"/>
    <mergeCell ref="H51:J51"/>
    <mergeCell ref="E48:F48"/>
    <mergeCell ref="H48:J48"/>
    <mergeCell ref="E49:F49"/>
    <mergeCell ref="H49:J49"/>
    <mergeCell ref="E50:F50"/>
    <mergeCell ref="H50:J50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5" orientation="landscape" horizontalDpi="1200" verticalDpi="1200" r:id="rId1"/>
  <headerFooter>
    <oddFooter>&amp;C(주)매그나텍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2"/>
  <sheetViews>
    <sheetView zoomScale="70" zoomScaleNormal="70" workbookViewId="0">
      <pane ySplit="16" topLeftCell="A17" activePane="bottomLeft" state="frozen"/>
      <selection activeCell="B1" sqref="B1"/>
      <selection pane="bottomLeft" activeCell="N28" sqref="N28"/>
    </sheetView>
  </sheetViews>
  <sheetFormatPr defaultColWidth="9" defaultRowHeight="17"/>
  <cols>
    <col min="1" max="1" width="3.58203125" style="1" customWidth="1"/>
    <col min="2" max="2" width="12.75" style="1" customWidth="1"/>
    <col min="3" max="3" width="14.75" style="1" customWidth="1"/>
    <col min="4" max="4" width="20.75" style="1" customWidth="1"/>
    <col min="5" max="5" width="19.5" style="1" customWidth="1"/>
    <col min="6" max="6" width="6.33203125" style="1" customWidth="1"/>
    <col min="7" max="7" width="36.5" style="1" customWidth="1"/>
    <col min="8" max="8" width="6.5" style="1" customWidth="1"/>
    <col min="9" max="9" width="9.83203125" style="1" customWidth="1"/>
    <col min="10" max="10" width="20.33203125" style="1" customWidth="1"/>
    <col min="11" max="11" width="45.25" style="1" customWidth="1"/>
    <col min="12" max="12" width="9.58203125" style="1" bestFit="1" customWidth="1"/>
    <col min="13" max="16384" width="9" style="1"/>
  </cols>
  <sheetData>
    <row r="1" spans="1:11" ht="44">
      <c r="F1" s="260" t="s">
        <v>475</v>
      </c>
      <c r="G1" s="260"/>
      <c r="H1" s="4"/>
      <c r="I1" s="4"/>
    </row>
    <row r="3" spans="1:11">
      <c r="H3" s="261" t="s">
        <v>257</v>
      </c>
      <c r="I3" s="262"/>
      <c r="J3" s="263"/>
      <c r="K3" s="2" t="s">
        <v>258</v>
      </c>
    </row>
    <row r="4" spans="1:11" hidden="1">
      <c r="H4" s="261" t="s">
        <v>276</v>
      </c>
      <c r="I4" s="262"/>
      <c r="J4" s="263"/>
      <c r="K4" s="2">
        <v>1</v>
      </c>
    </row>
    <row r="5" spans="1:11" hidden="1">
      <c r="H5" s="261" t="s">
        <v>277</v>
      </c>
      <c r="I5" s="262"/>
      <c r="J5" s="263"/>
      <c r="K5" s="2">
        <v>1</v>
      </c>
    </row>
    <row r="6" spans="1:11" hidden="1">
      <c r="H6" s="261" t="s">
        <v>278</v>
      </c>
      <c r="I6" s="262"/>
      <c r="J6" s="263"/>
      <c r="K6" s="2">
        <v>1</v>
      </c>
    </row>
    <row r="7" spans="1:11" hidden="1">
      <c r="H7" s="261" t="s">
        <v>279</v>
      </c>
      <c r="I7" s="262"/>
      <c r="J7" s="263"/>
      <c r="K7" s="2">
        <v>1</v>
      </c>
    </row>
    <row r="8" spans="1:11" hidden="1">
      <c r="H8" s="261" t="s">
        <v>280</v>
      </c>
      <c r="I8" s="262"/>
      <c r="J8" s="263"/>
      <c r="K8" s="2">
        <v>1</v>
      </c>
    </row>
    <row r="9" spans="1:11" hidden="1">
      <c r="H9" s="261" t="s">
        <v>281</v>
      </c>
      <c r="I9" s="262"/>
      <c r="J9" s="263"/>
      <c r="K9" s="2">
        <v>1</v>
      </c>
    </row>
    <row r="10" spans="1:11" hidden="1">
      <c r="H10" s="261" t="s">
        <v>282</v>
      </c>
      <c r="I10" s="262"/>
      <c r="J10" s="263"/>
      <c r="K10" s="2">
        <v>1</v>
      </c>
    </row>
    <row r="11" spans="1:11" hidden="1">
      <c r="H11" s="261" t="s">
        <v>283</v>
      </c>
      <c r="I11" s="262"/>
      <c r="J11" s="263"/>
      <c r="K11" s="2">
        <v>1</v>
      </c>
    </row>
    <row r="12" spans="1:11" hidden="1">
      <c r="H12" s="261" t="s">
        <v>284</v>
      </c>
      <c r="I12" s="262"/>
      <c r="J12" s="263"/>
      <c r="K12" s="2">
        <v>1</v>
      </c>
    </row>
    <row r="13" spans="1:11" hidden="1">
      <c r="H13" s="261" t="s">
        <v>285</v>
      </c>
      <c r="I13" s="262"/>
      <c r="J13" s="263"/>
      <c r="K13" s="2">
        <v>1</v>
      </c>
    </row>
    <row r="14" spans="1:11">
      <c r="H14" s="261" t="s">
        <v>265</v>
      </c>
      <c r="I14" s="262"/>
      <c r="J14" s="263"/>
      <c r="K14" s="2">
        <f>SUM(K4:K13)</f>
        <v>10</v>
      </c>
    </row>
    <row r="15" spans="1:11" ht="17.5" thickBot="1"/>
    <row r="16" spans="1:11" ht="17.5" thickBot="1">
      <c r="A16" s="18" t="s">
        <v>80</v>
      </c>
      <c r="B16" s="19" t="s">
        <v>0</v>
      </c>
      <c r="C16" s="19" t="s">
        <v>142</v>
      </c>
      <c r="D16" s="19" t="s">
        <v>103</v>
      </c>
      <c r="E16" s="19" t="s">
        <v>104</v>
      </c>
      <c r="F16" s="19" t="s">
        <v>83</v>
      </c>
      <c r="G16" s="19" t="s">
        <v>84</v>
      </c>
      <c r="H16" s="19" t="s">
        <v>254</v>
      </c>
      <c r="I16" s="19" t="s">
        <v>267</v>
      </c>
      <c r="J16" s="19" t="s">
        <v>266</v>
      </c>
      <c r="K16" s="20" t="s">
        <v>79</v>
      </c>
    </row>
    <row r="17" spans="1:12">
      <c r="A17" s="257">
        <v>1</v>
      </c>
      <c r="B17" s="11" t="s">
        <v>32</v>
      </c>
      <c r="C17" s="11" t="s">
        <v>31</v>
      </c>
      <c r="D17" s="11" t="s">
        <v>484</v>
      </c>
      <c r="E17" s="11" t="s">
        <v>86</v>
      </c>
      <c r="F17" s="11">
        <v>1</v>
      </c>
      <c r="G17" s="11" t="s">
        <v>367</v>
      </c>
      <c r="H17" s="54">
        <f t="shared" ref="H17:H88" si="0">$K$4*F17</f>
        <v>1</v>
      </c>
      <c r="I17" s="54">
        <v>3150</v>
      </c>
      <c r="J17" s="54">
        <f>H17*I17</f>
        <v>3150</v>
      </c>
      <c r="K17" s="12"/>
    </row>
    <row r="18" spans="1:12">
      <c r="A18" s="258"/>
      <c r="B18" s="13" t="s">
        <v>32</v>
      </c>
      <c r="C18" s="13" t="s">
        <v>31</v>
      </c>
      <c r="D18" s="13" t="s">
        <v>93</v>
      </c>
      <c r="E18" s="13" t="s">
        <v>364</v>
      </c>
      <c r="F18" s="13">
        <v>1</v>
      </c>
      <c r="G18" s="13" t="s">
        <v>365</v>
      </c>
      <c r="H18" s="60">
        <f t="shared" si="0"/>
        <v>1</v>
      </c>
      <c r="I18" s="60">
        <v>9000</v>
      </c>
      <c r="J18" s="60">
        <f t="shared" ref="J18:J106" si="1">H18*I18</f>
        <v>9000</v>
      </c>
      <c r="K18" s="16"/>
    </row>
    <row r="19" spans="1:12">
      <c r="A19" s="258"/>
      <c r="B19" s="13" t="s">
        <v>32</v>
      </c>
      <c r="C19" s="13" t="s">
        <v>31</v>
      </c>
      <c r="D19" s="13" t="s">
        <v>490</v>
      </c>
      <c r="E19" s="13" t="s">
        <v>94</v>
      </c>
      <c r="F19" s="13">
        <v>1</v>
      </c>
      <c r="G19" s="13" t="s">
        <v>757</v>
      </c>
      <c r="H19" s="60">
        <f t="shared" si="0"/>
        <v>1</v>
      </c>
      <c r="I19" s="60">
        <v>7260</v>
      </c>
      <c r="J19" s="60">
        <f t="shared" si="1"/>
        <v>7260</v>
      </c>
      <c r="K19" s="16" t="s">
        <v>363</v>
      </c>
    </row>
    <row r="20" spans="1:12">
      <c r="A20" s="258"/>
      <c r="B20" s="13" t="s">
        <v>32</v>
      </c>
      <c r="C20" s="13" t="s">
        <v>31</v>
      </c>
      <c r="D20" s="13" t="s">
        <v>488</v>
      </c>
      <c r="E20" s="13" t="s">
        <v>95</v>
      </c>
      <c r="F20" s="13">
        <v>1</v>
      </c>
      <c r="G20" s="13" t="s">
        <v>242</v>
      </c>
      <c r="H20" s="60">
        <f t="shared" si="0"/>
        <v>1</v>
      </c>
      <c r="I20" s="60">
        <v>120750</v>
      </c>
      <c r="J20" s="60">
        <f t="shared" si="1"/>
        <v>120750</v>
      </c>
      <c r="K20" s="16" t="s">
        <v>244</v>
      </c>
    </row>
    <row r="21" spans="1:12">
      <c r="A21" s="258"/>
      <c r="B21" s="13" t="s">
        <v>32</v>
      </c>
      <c r="C21" s="13" t="s">
        <v>31</v>
      </c>
      <c r="D21" s="13" t="s">
        <v>575</v>
      </c>
      <c r="E21" s="13" t="s">
        <v>522</v>
      </c>
      <c r="F21" s="13">
        <v>1</v>
      </c>
      <c r="G21" s="13" t="s">
        <v>560</v>
      </c>
      <c r="H21" s="60">
        <f t="shared" si="0"/>
        <v>1</v>
      </c>
      <c r="I21" s="60">
        <v>32000</v>
      </c>
      <c r="J21" s="60">
        <f t="shared" si="1"/>
        <v>32000</v>
      </c>
      <c r="K21" s="16"/>
    </row>
    <row r="22" spans="1:12">
      <c r="A22" s="258"/>
      <c r="B22" s="13" t="s">
        <v>32</v>
      </c>
      <c r="C22" s="13" t="s">
        <v>31</v>
      </c>
      <c r="D22" s="13" t="s">
        <v>605</v>
      </c>
      <c r="E22" s="13" t="s">
        <v>603</v>
      </c>
      <c r="F22" s="13">
        <v>1</v>
      </c>
      <c r="G22" s="13" t="s">
        <v>758</v>
      </c>
      <c r="H22" s="60">
        <f t="shared" si="0"/>
        <v>1</v>
      </c>
      <c r="I22" s="60">
        <v>1500</v>
      </c>
      <c r="J22" s="60">
        <f t="shared" si="1"/>
        <v>1500</v>
      </c>
      <c r="K22" s="16"/>
    </row>
    <row r="23" spans="1:12">
      <c r="A23" s="258"/>
      <c r="B23" s="13" t="s">
        <v>32</v>
      </c>
      <c r="C23" s="13" t="s">
        <v>31</v>
      </c>
      <c r="D23" s="13" t="s">
        <v>610</v>
      </c>
      <c r="E23" s="13" t="s">
        <v>609</v>
      </c>
      <c r="F23" s="13">
        <v>1</v>
      </c>
      <c r="G23" s="13" t="s">
        <v>758</v>
      </c>
      <c r="H23" s="60">
        <f t="shared" si="0"/>
        <v>1</v>
      </c>
      <c r="I23" s="60">
        <v>550</v>
      </c>
      <c r="J23" s="60">
        <f t="shared" si="1"/>
        <v>550</v>
      </c>
      <c r="K23" s="16" t="s">
        <v>611</v>
      </c>
    </row>
    <row r="24" spans="1:12" ht="17.5" thickBot="1">
      <c r="A24" s="264"/>
      <c r="B24" s="13" t="s">
        <v>32</v>
      </c>
      <c r="C24" s="13" t="s">
        <v>31</v>
      </c>
      <c r="D24" s="15"/>
      <c r="E24" s="15" t="s">
        <v>759</v>
      </c>
      <c r="F24" s="15">
        <v>1</v>
      </c>
      <c r="G24" s="15" t="s">
        <v>242</v>
      </c>
      <c r="H24" s="55">
        <v>2</v>
      </c>
      <c r="I24" s="55">
        <v>7500</v>
      </c>
      <c r="J24" s="55">
        <f t="shared" si="1"/>
        <v>15000</v>
      </c>
      <c r="K24" s="22"/>
    </row>
    <row r="25" spans="1:12" ht="18" thickBot="1">
      <c r="A25" s="259"/>
      <c r="B25" s="53" t="s">
        <v>32</v>
      </c>
      <c r="C25" s="53" t="s">
        <v>31</v>
      </c>
      <c r="D25" s="53" t="s">
        <v>528</v>
      </c>
      <c r="E25" s="53" t="s">
        <v>96</v>
      </c>
      <c r="F25" s="53">
        <v>2</v>
      </c>
      <c r="G25" s="53" t="s">
        <v>368</v>
      </c>
      <c r="H25" s="65">
        <f t="shared" si="0"/>
        <v>2</v>
      </c>
      <c r="I25" s="65">
        <v>15500</v>
      </c>
      <c r="J25" s="65">
        <f t="shared" si="1"/>
        <v>31000</v>
      </c>
      <c r="K25" s="14" t="s">
        <v>485</v>
      </c>
      <c r="L25" s="107">
        <f>SUM(J17:J25)</f>
        <v>220210</v>
      </c>
    </row>
    <row r="26" spans="1:12">
      <c r="A26" s="274">
        <v>2</v>
      </c>
      <c r="B26" s="10" t="s">
        <v>33</v>
      </c>
      <c r="C26" s="10" t="s">
        <v>34</v>
      </c>
      <c r="D26" s="10" t="s">
        <v>480</v>
      </c>
      <c r="E26" s="10" t="s">
        <v>97</v>
      </c>
      <c r="F26" s="10">
        <v>1</v>
      </c>
      <c r="G26" s="10" t="s">
        <v>367</v>
      </c>
      <c r="H26" s="56">
        <f t="shared" si="0"/>
        <v>1</v>
      </c>
      <c r="I26" s="56">
        <v>3650</v>
      </c>
      <c r="J26" s="56">
        <f t="shared" si="1"/>
        <v>3650</v>
      </c>
      <c r="K26" s="17"/>
    </row>
    <row r="27" spans="1:12">
      <c r="A27" s="258"/>
      <c r="B27" s="13" t="s">
        <v>33</v>
      </c>
      <c r="C27" s="13" t="s">
        <v>34</v>
      </c>
      <c r="D27" s="13" t="s">
        <v>535</v>
      </c>
      <c r="E27" s="13" t="s">
        <v>364</v>
      </c>
      <c r="F27" s="13">
        <v>1</v>
      </c>
      <c r="G27" s="13" t="s">
        <v>365</v>
      </c>
      <c r="H27" s="60">
        <f t="shared" si="0"/>
        <v>1</v>
      </c>
      <c r="I27" s="60">
        <v>9000</v>
      </c>
      <c r="J27" s="60">
        <f t="shared" si="1"/>
        <v>9000</v>
      </c>
      <c r="K27" s="16"/>
    </row>
    <row r="28" spans="1:12">
      <c r="A28" s="258"/>
      <c r="B28" s="13" t="s">
        <v>33</v>
      </c>
      <c r="C28" s="13" t="s">
        <v>34</v>
      </c>
      <c r="D28" s="13" t="s">
        <v>490</v>
      </c>
      <c r="E28" s="13" t="s">
        <v>94</v>
      </c>
      <c r="F28" s="13">
        <v>1</v>
      </c>
      <c r="G28" s="13" t="s">
        <v>756</v>
      </c>
      <c r="H28" s="60">
        <f t="shared" si="0"/>
        <v>1</v>
      </c>
      <c r="I28" s="60">
        <v>7260</v>
      </c>
      <c r="J28" s="60">
        <f t="shared" si="1"/>
        <v>7260</v>
      </c>
      <c r="K28" s="16" t="s">
        <v>363</v>
      </c>
    </row>
    <row r="29" spans="1:12">
      <c r="A29" s="258"/>
      <c r="B29" s="13" t="s">
        <v>33</v>
      </c>
      <c r="C29" s="13" t="s">
        <v>34</v>
      </c>
      <c r="D29" s="13" t="s">
        <v>488</v>
      </c>
      <c r="E29" s="13" t="s">
        <v>581</v>
      </c>
      <c r="F29" s="13">
        <v>1</v>
      </c>
      <c r="G29" s="13" t="s">
        <v>242</v>
      </c>
      <c r="H29" s="60">
        <f t="shared" si="0"/>
        <v>1</v>
      </c>
      <c r="I29" s="60">
        <v>120750</v>
      </c>
      <c r="J29" s="60">
        <f t="shared" si="1"/>
        <v>120750</v>
      </c>
      <c r="K29" s="16" t="s">
        <v>243</v>
      </c>
    </row>
    <row r="30" spans="1:12">
      <c r="A30" s="258"/>
      <c r="B30" s="13" t="s">
        <v>33</v>
      </c>
      <c r="C30" s="13" t="s">
        <v>34</v>
      </c>
      <c r="D30" s="13" t="s">
        <v>98</v>
      </c>
      <c r="E30" s="13" t="s">
        <v>522</v>
      </c>
      <c r="F30" s="13">
        <v>1</v>
      </c>
      <c r="G30" s="13" t="s">
        <v>560</v>
      </c>
      <c r="H30" s="60">
        <f t="shared" si="0"/>
        <v>1</v>
      </c>
      <c r="I30" s="60">
        <v>36400</v>
      </c>
      <c r="J30" s="60">
        <f t="shared" si="1"/>
        <v>36400</v>
      </c>
      <c r="K30" s="16"/>
    </row>
    <row r="31" spans="1:12">
      <c r="A31" s="258"/>
      <c r="B31" s="13" t="s">
        <v>33</v>
      </c>
      <c r="C31" s="13" t="s">
        <v>34</v>
      </c>
      <c r="D31" s="13" t="s">
        <v>605</v>
      </c>
      <c r="E31" s="13" t="s">
        <v>603</v>
      </c>
      <c r="F31" s="13">
        <v>1</v>
      </c>
      <c r="G31" s="13" t="s">
        <v>758</v>
      </c>
      <c r="H31" s="60">
        <f t="shared" si="0"/>
        <v>1</v>
      </c>
      <c r="I31" s="60">
        <v>1500</v>
      </c>
      <c r="J31" s="60">
        <f t="shared" ref="J31:J33" si="2">H31*I31</f>
        <v>1500</v>
      </c>
      <c r="K31" s="16"/>
    </row>
    <row r="32" spans="1:12">
      <c r="A32" s="258"/>
      <c r="B32" s="13" t="s">
        <v>33</v>
      </c>
      <c r="C32" s="13" t="s">
        <v>34</v>
      </c>
      <c r="D32" s="13" t="s">
        <v>610</v>
      </c>
      <c r="E32" s="13" t="s">
        <v>609</v>
      </c>
      <c r="F32" s="13">
        <v>1</v>
      </c>
      <c r="G32" s="13" t="s">
        <v>758</v>
      </c>
      <c r="H32" s="60">
        <f t="shared" si="0"/>
        <v>1</v>
      </c>
      <c r="I32" s="60">
        <v>550</v>
      </c>
      <c r="J32" s="60">
        <f t="shared" si="2"/>
        <v>550</v>
      </c>
      <c r="K32" s="16" t="s">
        <v>611</v>
      </c>
    </row>
    <row r="33" spans="1:12" ht="17.5" thickBot="1">
      <c r="A33" s="264"/>
      <c r="B33" s="13" t="s">
        <v>33</v>
      </c>
      <c r="C33" s="13" t="s">
        <v>34</v>
      </c>
      <c r="D33" s="15"/>
      <c r="E33" s="15" t="s">
        <v>759</v>
      </c>
      <c r="F33" s="15">
        <v>1</v>
      </c>
      <c r="G33" s="15" t="s">
        <v>242</v>
      </c>
      <c r="H33" s="55">
        <v>2</v>
      </c>
      <c r="I33" s="55">
        <v>7500</v>
      </c>
      <c r="J33" s="55">
        <f t="shared" si="2"/>
        <v>15000</v>
      </c>
      <c r="K33" s="22"/>
    </row>
    <row r="34" spans="1:12" ht="18" thickBot="1">
      <c r="A34" s="264"/>
      <c r="B34" s="15" t="s">
        <v>33</v>
      </c>
      <c r="C34" s="15" t="s">
        <v>34</v>
      </c>
      <c r="D34" s="15" t="s">
        <v>528</v>
      </c>
      <c r="E34" s="15" t="s">
        <v>96</v>
      </c>
      <c r="F34" s="15">
        <v>3</v>
      </c>
      <c r="G34" s="15" t="s">
        <v>368</v>
      </c>
      <c r="H34" s="55">
        <f t="shared" si="0"/>
        <v>3</v>
      </c>
      <c r="I34" s="55">
        <v>15500</v>
      </c>
      <c r="J34" s="55">
        <f t="shared" si="1"/>
        <v>46500</v>
      </c>
      <c r="K34" s="22" t="s">
        <v>485</v>
      </c>
      <c r="L34" s="107">
        <f>SUM(J26:J34)</f>
        <v>240610</v>
      </c>
    </row>
    <row r="35" spans="1:12">
      <c r="A35" s="257">
        <v>3</v>
      </c>
      <c r="B35" s="11" t="s">
        <v>35</v>
      </c>
      <c r="C35" s="11" t="s">
        <v>36</v>
      </c>
      <c r="D35" s="11" t="s">
        <v>481</v>
      </c>
      <c r="E35" s="11" t="s">
        <v>88</v>
      </c>
      <c r="F35" s="11">
        <v>1</v>
      </c>
      <c r="G35" s="11" t="s">
        <v>367</v>
      </c>
      <c r="H35" s="54">
        <f t="shared" si="0"/>
        <v>1</v>
      </c>
      <c r="I35" s="54">
        <v>4200</v>
      </c>
      <c r="J35" s="54">
        <f t="shared" si="1"/>
        <v>4200</v>
      </c>
      <c r="K35" s="12"/>
    </row>
    <row r="36" spans="1:12">
      <c r="A36" s="258"/>
      <c r="B36" s="13" t="s">
        <v>35</v>
      </c>
      <c r="C36" s="13" t="s">
        <v>36</v>
      </c>
      <c r="D36" s="13" t="s">
        <v>93</v>
      </c>
      <c r="E36" s="13" t="s">
        <v>364</v>
      </c>
      <c r="F36" s="13">
        <v>1</v>
      </c>
      <c r="G36" s="13" t="s">
        <v>365</v>
      </c>
      <c r="H36" s="60">
        <f t="shared" si="0"/>
        <v>1</v>
      </c>
      <c r="I36" s="60">
        <v>9000</v>
      </c>
      <c r="J36" s="60">
        <f t="shared" si="1"/>
        <v>9000</v>
      </c>
      <c r="K36" s="16"/>
    </row>
    <row r="37" spans="1:12">
      <c r="A37" s="258"/>
      <c r="B37" s="13" t="s">
        <v>574</v>
      </c>
      <c r="C37" s="13" t="s">
        <v>36</v>
      </c>
      <c r="D37" s="13" t="s">
        <v>490</v>
      </c>
      <c r="E37" s="13" t="s">
        <v>94</v>
      </c>
      <c r="F37" s="13">
        <v>1</v>
      </c>
      <c r="G37" s="13" t="s">
        <v>756</v>
      </c>
      <c r="H37" s="60">
        <f t="shared" si="0"/>
        <v>1</v>
      </c>
      <c r="I37" s="60">
        <v>7260</v>
      </c>
      <c r="J37" s="60">
        <f t="shared" si="1"/>
        <v>7260</v>
      </c>
      <c r="K37" s="16" t="s">
        <v>363</v>
      </c>
    </row>
    <row r="38" spans="1:12">
      <c r="A38" s="258"/>
      <c r="B38" s="13" t="s">
        <v>35</v>
      </c>
      <c r="C38" s="13" t="s">
        <v>36</v>
      </c>
      <c r="D38" s="13" t="s">
        <v>488</v>
      </c>
      <c r="E38" s="13" t="s">
        <v>95</v>
      </c>
      <c r="F38" s="13">
        <v>1</v>
      </c>
      <c r="G38" s="13" t="s">
        <v>242</v>
      </c>
      <c r="H38" s="60">
        <f t="shared" si="0"/>
        <v>1</v>
      </c>
      <c r="I38" s="60">
        <v>120750</v>
      </c>
      <c r="J38" s="60">
        <f t="shared" si="1"/>
        <v>120750</v>
      </c>
      <c r="K38" s="16" t="s">
        <v>243</v>
      </c>
    </row>
    <row r="39" spans="1:12">
      <c r="A39" s="258"/>
      <c r="B39" s="13" t="s">
        <v>35</v>
      </c>
      <c r="C39" s="13" t="s">
        <v>36</v>
      </c>
      <c r="D39" s="13" t="s">
        <v>576</v>
      </c>
      <c r="E39" s="13" t="s">
        <v>522</v>
      </c>
      <c r="F39" s="13">
        <v>1</v>
      </c>
      <c r="G39" s="13" t="s">
        <v>560</v>
      </c>
      <c r="H39" s="60">
        <f t="shared" si="0"/>
        <v>1</v>
      </c>
      <c r="I39" s="60">
        <v>38000</v>
      </c>
      <c r="J39" s="60">
        <f t="shared" si="1"/>
        <v>38000</v>
      </c>
      <c r="K39" s="16"/>
    </row>
    <row r="40" spans="1:12">
      <c r="A40" s="258"/>
      <c r="B40" s="13" t="s">
        <v>35</v>
      </c>
      <c r="C40" s="13" t="s">
        <v>36</v>
      </c>
      <c r="D40" s="13" t="s">
        <v>605</v>
      </c>
      <c r="E40" s="13" t="s">
        <v>603</v>
      </c>
      <c r="F40" s="13">
        <v>1</v>
      </c>
      <c r="G40" s="13" t="s">
        <v>758</v>
      </c>
      <c r="H40" s="60">
        <f t="shared" si="0"/>
        <v>1</v>
      </c>
      <c r="I40" s="60">
        <v>1500</v>
      </c>
      <c r="J40" s="60">
        <f t="shared" ref="J40:J42" si="3">H40*I40</f>
        <v>1500</v>
      </c>
      <c r="K40" s="16"/>
    </row>
    <row r="41" spans="1:12">
      <c r="A41" s="258"/>
      <c r="B41" s="13" t="s">
        <v>35</v>
      </c>
      <c r="C41" s="13" t="s">
        <v>36</v>
      </c>
      <c r="D41" s="13" t="s">
        <v>610</v>
      </c>
      <c r="E41" s="13" t="s">
        <v>609</v>
      </c>
      <c r="F41" s="13">
        <v>1</v>
      </c>
      <c r="G41" s="13" t="s">
        <v>758</v>
      </c>
      <c r="H41" s="60">
        <f t="shared" si="0"/>
        <v>1</v>
      </c>
      <c r="I41" s="60">
        <v>550</v>
      </c>
      <c r="J41" s="60">
        <f t="shared" si="3"/>
        <v>550</v>
      </c>
      <c r="K41" s="16" t="s">
        <v>611</v>
      </c>
    </row>
    <row r="42" spans="1:12" ht="17.5" thickBot="1">
      <c r="A42" s="264"/>
      <c r="B42" s="15" t="s">
        <v>35</v>
      </c>
      <c r="C42" s="15" t="s">
        <v>278</v>
      </c>
      <c r="D42" s="15"/>
      <c r="E42" s="15" t="s">
        <v>759</v>
      </c>
      <c r="F42" s="15">
        <v>1</v>
      </c>
      <c r="G42" s="15" t="s">
        <v>242</v>
      </c>
      <c r="H42" s="55">
        <v>2</v>
      </c>
      <c r="I42" s="55">
        <v>7500</v>
      </c>
      <c r="J42" s="55">
        <f t="shared" si="3"/>
        <v>15000</v>
      </c>
      <c r="K42" s="22"/>
    </row>
    <row r="43" spans="1:12" ht="18" thickBot="1">
      <c r="A43" s="259"/>
      <c r="B43" s="53" t="s">
        <v>35</v>
      </c>
      <c r="C43" s="53" t="s">
        <v>36</v>
      </c>
      <c r="D43" s="53" t="s">
        <v>528</v>
      </c>
      <c r="E43" s="53" t="s">
        <v>96</v>
      </c>
      <c r="F43" s="53">
        <v>4</v>
      </c>
      <c r="G43" s="53" t="s">
        <v>368</v>
      </c>
      <c r="H43" s="65">
        <f t="shared" si="0"/>
        <v>4</v>
      </c>
      <c r="I43" s="65">
        <v>15500</v>
      </c>
      <c r="J43" s="65">
        <f t="shared" si="1"/>
        <v>62000</v>
      </c>
      <c r="K43" s="14" t="s">
        <v>485</v>
      </c>
      <c r="L43" s="107">
        <f>SUM(J35:J43)</f>
        <v>258260</v>
      </c>
    </row>
    <row r="44" spans="1:12">
      <c r="A44" s="274">
        <v>4</v>
      </c>
      <c r="B44" s="10" t="s">
        <v>39</v>
      </c>
      <c r="C44" s="10" t="s">
        <v>37</v>
      </c>
      <c r="D44" s="10" t="s">
        <v>480</v>
      </c>
      <c r="E44" s="10" t="s">
        <v>97</v>
      </c>
      <c r="F44" s="10">
        <v>2</v>
      </c>
      <c r="G44" s="10" t="s">
        <v>367</v>
      </c>
      <c r="H44" s="56">
        <f t="shared" si="0"/>
        <v>2</v>
      </c>
      <c r="I44" s="56">
        <v>3650</v>
      </c>
      <c r="J44" s="56">
        <f t="shared" si="1"/>
        <v>7300</v>
      </c>
      <c r="K44" s="17"/>
    </row>
    <row r="45" spans="1:12">
      <c r="A45" s="258"/>
      <c r="B45" s="13" t="s">
        <v>39</v>
      </c>
      <c r="C45" s="13" t="s">
        <v>37</v>
      </c>
      <c r="D45" s="13" t="s">
        <v>93</v>
      </c>
      <c r="E45" s="13" t="s">
        <v>364</v>
      </c>
      <c r="F45" s="13">
        <v>1</v>
      </c>
      <c r="G45" s="13" t="s">
        <v>365</v>
      </c>
      <c r="H45" s="60">
        <f t="shared" si="0"/>
        <v>1</v>
      </c>
      <c r="I45" s="60">
        <v>9000</v>
      </c>
      <c r="J45" s="60">
        <f t="shared" si="1"/>
        <v>9000</v>
      </c>
      <c r="K45" s="16"/>
    </row>
    <row r="46" spans="1:12">
      <c r="A46" s="258"/>
      <c r="B46" s="13" t="s">
        <v>39</v>
      </c>
      <c r="C46" s="13" t="s">
        <v>37</v>
      </c>
      <c r="D46" s="13" t="s">
        <v>490</v>
      </c>
      <c r="E46" s="13" t="s">
        <v>583</v>
      </c>
      <c r="F46" s="13">
        <v>1</v>
      </c>
      <c r="G46" s="13" t="s">
        <v>756</v>
      </c>
      <c r="H46" s="60">
        <f t="shared" si="0"/>
        <v>1</v>
      </c>
      <c r="I46" s="60">
        <v>7260</v>
      </c>
      <c r="J46" s="60">
        <f t="shared" si="1"/>
        <v>7260</v>
      </c>
      <c r="K46" s="16" t="s">
        <v>363</v>
      </c>
    </row>
    <row r="47" spans="1:12">
      <c r="A47" s="258"/>
      <c r="B47" s="13" t="s">
        <v>39</v>
      </c>
      <c r="C47" s="13" t="s">
        <v>37</v>
      </c>
      <c r="D47" s="13" t="s">
        <v>489</v>
      </c>
      <c r="E47" s="13" t="s">
        <v>582</v>
      </c>
      <c r="F47" s="13">
        <v>1</v>
      </c>
      <c r="G47" s="13" t="s">
        <v>242</v>
      </c>
      <c r="H47" s="60">
        <f t="shared" si="0"/>
        <v>1</v>
      </c>
      <c r="I47" s="60">
        <v>157500</v>
      </c>
      <c r="J47" s="60">
        <f t="shared" si="1"/>
        <v>157500</v>
      </c>
      <c r="K47" s="16" t="s">
        <v>246</v>
      </c>
    </row>
    <row r="48" spans="1:12">
      <c r="A48" s="258"/>
      <c r="B48" s="13" t="s">
        <v>39</v>
      </c>
      <c r="C48" s="13" t="s">
        <v>37</v>
      </c>
      <c r="D48" s="13" t="s">
        <v>577</v>
      </c>
      <c r="E48" s="13" t="s">
        <v>522</v>
      </c>
      <c r="F48" s="13">
        <v>1</v>
      </c>
      <c r="G48" s="13" t="s">
        <v>560</v>
      </c>
      <c r="H48" s="60">
        <f t="shared" si="0"/>
        <v>1</v>
      </c>
      <c r="I48" s="60">
        <v>42800</v>
      </c>
      <c r="J48" s="60">
        <f t="shared" si="1"/>
        <v>42800</v>
      </c>
      <c r="K48" s="16"/>
    </row>
    <row r="49" spans="1:12">
      <c r="A49" s="258"/>
      <c r="B49" s="13" t="s">
        <v>39</v>
      </c>
      <c r="C49" s="13" t="s">
        <v>37</v>
      </c>
      <c r="D49" s="13" t="s">
        <v>605</v>
      </c>
      <c r="E49" s="13" t="s">
        <v>603</v>
      </c>
      <c r="F49" s="13">
        <v>1</v>
      </c>
      <c r="G49" s="13" t="s">
        <v>758</v>
      </c>
      <c r="H49" s="60">
        <f t="shared" si="0"/>
        <v>1</v>
      </c>
      <c r="I49" s="60">
        <v>1500</v>
      </c>
      <c r="J49" s="60">
        <f t="shared" ref="J49:J51" si="4">H49*I49</f>
        <v>1500</v>
      </c>
      <c r="K49" s="16"/>
    </row>
    <row r="50" spans="1:12">
      <c r="A50" s="258"/>
      <c r="B50" s="13" t="s">
        <v>39</v>
      </c>
      <c r="C50" s="13" t="s">
        <v>37</v>
      </c>
      <c r="D50" s="13" t="s">
        <v>610</v>
      </c>
      <c r="E50" s="13" t="s">
        <v>609</v>
      </c>
      <c r="F50" s="13">
        <v>1</v>
      </c>
      <c r="G50" s="13" t="s">
        <v>758</v>
      </c>
      <c r="H50" s="60">
        <f t="shared" si="0"/>
        <v>1</v>
      </c>
      <c r="I50" s="60">
        <v>550</v>
      </c>
      <c r="J50" s="60">
        <f t="shared" si="4"/>
        <v>550</v>
      </c>
      <c r="K50" s="16" t="s">
        <v>611</v>
      </c>
    </row>
    <row r="51" spans="1:12" ht="17.5" thickBot="1">
      <c r="A51" s="264"/>
      <c r="B51" s="13" t="s">
        <v>39</v>
      </c>
      <c r="C51" s="13" t="s">
        <v>37</v>
      </c>
      <c r="D51" s="15"/>
      <c r="E51" s="15" t="s">
        <v>759</v>
      </c>
      <c r="F51" s="15">
        <v>1</v>
      </c>
      <c r="G51" s="15" t="s">
        <v>242</v>
      </c>
      <c r="H51" s="55">
        <v>2</v>
      </c>
      <c r="I51" s="55">
        <v>7500</v>
      </c>
      <c r="J51" s="55">
        <f t="shared" si="4"/>
        <v>15000</v>
      </c>
      <c r="K51" s="22"/>
    </row>
    <row r="52" spans="1:12" ht="18" thickBot="1">
      <c r="A52" s="264"/>
      <c r="B52" s="15" t="s">
        <v>39</v>
      </c>
      <c r="C52" s="15" t="s">
        <v>37</v>
      </c>
      <c r="D52" s="15" t="s">
        <v>528</v>
      </c>
      <c r="E52" s="15" t="s">
        <v>96</v>
      </c>
      <c r="F52" s="15">
        <v>6</v>
      </c>
      <c r="G52" s="15" t="s">
        <v>368</v>
      </c>
      <c r="H52" s="55">
        <f t="shared" si="0"/>
        <v>6</v>
      </c>
      <c r="I52" s="55">
        <v>15500</v>
      </c>
      <c r="J52" s="55">
        <f t="shared" si="1"/>
        <v>93000</v>
      </c>
      <c r="K52" s="22" t="s">
        <v>485</v>
      </c>
      <c r="L52" s="107">
        <f>SUM(J44:J52)</f>
        <v>333910</v>
      </c>
    </row>
    <row r="53" spans="1:12">
      <c r="A53" s="257">
        <v>5</v>
      </c>
      <c r="B53" s="11" t="s">
        <v>40</v>
      </c>
      <c r="C53" s="11" t="s">
        <v>38</v>
      </c>
      <c r="D53" s="11" t="s">
        <v>481</v>
      </c>
      <c r="E53" s="11" t="s">
        <v>88</v>
      </c>
      <c r="F53" s="11">
        <v>2</v>
      </c>
      <c r="G53" s="11" t="s">
        <v>367</v>
      </c>
      <c r="H53" s="54">
        <f t="shared" si="0"/>
        <v>2</v>
      </c>
      <c r="I53" s="54">
        <v>4200</v>
      </c>
      <c r="J53" s="54">
        <f t="shared" si="1"/>
        <v>8400</v>
      </c>
      <c r="K53" s="12"/>
    </row>
    <row r="54" spans="1:12">
      <c r="A54" s="258"/>
      <c r="B54" s="13" t="s">
        <v>40</v>
      </c>
      <c r="C54" s="13" t="s">
        <v>38</v>
      </c>
      <c r="D54" s="13" t="s">
        <v>93</v>
      </c>
      <c r="E54" s="13" t="s">
        <v>364</v>
      </c>
      <c r="F54" s="13">
        <v>1</v>
      </c>
      <c r="G54" s="13" t="s">
        <v>365</v>
      </c>
      <c r="H54" s="60">
        <f t="shared" si="0"/>
        <v>1</v>
      </c>
      <c r="I54" s="60">
        <v>9000</v>
      </c>
      <c r="J54" s="60">
        <f t="shared" si="1"/>
        <v>9000</v>
      </c>
      <c r="K54" s="16"/>
    </row>
    <row r="55" spans="1:12">
      <c r="A55" s="258"/>
      <c r="B55" s="13" t="s">
        <v>40</v>
      </c>
      <c r="C55" s="13" t="s">
        <v>38</v>
      </c>
      <c r="D55" s="13" t="s">
        <v>490</v>
      </c>
      <c r="E55" s="13" t="s">
        <v>94</v>
      </c>
      <c r="F55" s="13">
        <v>1</v>
      </c>
      <c r="G55" s="13" t="s">
        <v>756</v>
      </c>
      <c r="H55" s="60">
        <f t="shared" si="0"/>
        <v>1</v>
      </c>
      <c r="I55" s="60">
        <v>7260</v>
      </c>
      <c r="J55" s="60">
        <f t="shared" si="1"/>
        <v>7260</v>
      </c>
      <c r="K55" s="16" t="s">
        <v>363</v>
      </c>
    </row>
    <row r="56" spans="1:12">
      <c r="A56" s="258"/>
      <c r="B56" s="13" t="s">
        <v>40</v>
      </c>
      <c r="C56" s="13" t="s">
        <v>38</v>
      </c>
      <c r="D56" s="13" t="s">
        <v>489</v>
      </c>
      <c r="E56" s="13" t="s">
        <v>99</v>
      </c>
      <c r="F56" s="13">
        <v>1</v>
      </c>
      <c r="G56" s="13" t="s">
        <v>242</v>
      </c>
      <c r="H56" s="60">
        <f t="shared" si="0"/>
        <v>1</v>
      </c>
      <c r="I56" s="60">
        <v>157500</v>
      </c>
      <c r="J56" s="60">
        <f t="shared" si="1"/>
        <v>157500</v>
      </c>
      <c r="K56" s="16" t="s">
        <v>246</v>
      </c>
    </row>
    <row r="57" spans="1:12">
      <c r="A57" s="258"/>
      <c r="B57" s="13" t="s">
        <v>40</v>
      </c>
      <c r="C57" s="13" t="s">
        <v>38</v>
      </c>
      <c r="D57" s="13" t="s">
        <v>578</v>
      </c>
      <c r="E57" s="13" t="s">
        <v>522</v>
      </c>
      <c r="F57" s="13">
        <v>1</v>
      </c>
      <c r="G57" s="13" t="s">
        <v>560</v>
      </c>
      <c r="H57" s="60">
        <f t="shared" si="0"/>
        <v>1</v>
      </c>
      <c r="I57" s="60">
        <v>53400</v>
      </c>
      <c r="J57" s="60">
        <f t="shared" si="1"/>
        <v>53400</v>
      </c>
      <c r="K57" s="16"/>
    </row>
    <row r="58" spans="1:12">
      <c r="A58" s="258"/>
      <c r="B58" s="13" t="s">
        <v>40</v>
      </c>
      <c r="C58" s="13" t="s">
        <v>38</v>
      </c>
      <c r="D58" s="13" t="s">
        <v>605</v>
      </c>
      <c r="E58" s="13" t="s">
        <v>603</v>
      </c>
      <c r="F58" s="13">
        <v>1</v>
      </c>
      <c r="G58" s="13" t="s">
        <v>758</v>
      </c>
      <c r="H58" s="60">
        <f t="shared" si="0"/>
        <v>1</v>
      </c>
      <c r="I58" s="60">
        <v>1500</v>
      </c>
      <c r="J58" s="60">
        <f t="shared" ref="J58:J60" si="5">H58*I58</f>
        <v>1500</v>
      </c>
      <c r="K58" s="16"/>
    </row>
    <row r="59" spans="1:12">
      <c r="A59" s="258"/>
      <c r="B59" s="13" t="s">
        <v>40</v>
      </c>
      <c r="C59" s="13" t="s">
        <v>38</v>
      </c>
      <c r="D59" s="13" t="s">
        <v>610</v>
      </c>
      <c r="E59" s="13" t="s">
        <v>609</v>
      </c>
      <c r="F59" s="13">
        <v>1</v>
      </c>
      <c r="G59" s="13" t="s">
        <v>758</v>
      </c>
      <c r="H59" s="60">
        <f t="shared" si="0"/>
        <v>1</v>
      </c>
      <c r="I59" s="60">
        <v>550</v>
      </c>
      <c r="J59" s="60">
        <f t="shared" si="5"/>
        <v>550</v>
      </c>
      <c r="K59" s="16" t="s">
        <v>611</v>
      </c>
    </row>
    <row r="60" spans="1:12" ht="17.5" thickBot="1">
      <c r="A60" s="264"/>
      <c r="B60" s="13" t="s">
        <v>40</v>
      </c>
      <c r="C60" s="13" t="s">
        <v>38</v>
      </c>
      <c r="D60" s="15"/>
      <c r="E60" s="15" t="s">
        <v>759</v>
      </c>
      <c r="F60" s="15">
        <v>1</v>
      </c>
      <c r="G60" s="15" t="s">
        <v>242</v>
      </c>
      <c r="H60" s="55">
        <v>2</v>
      </c>
      <c r="I60" s="55">
        <v>7500</v>
      </c>
      <c r="J60" s="55">
        <f t="shared" si="5"/>
        <v>15000</v>
      </c>
      <c r="K60" s="22"/>
    </row>
    <row r="61" spans="1:12" ht="18" thickBot="1">
      <c r="A61" s="259"/>
      <c r="B61" s="53" t="s">
        <v>40</v>
      </c>
      <c r="C61" s="53" t="s">
        <v>38</v>
      </c>
      <c r="D61" s="53" t="s">
        <v>528</v>
      </c>
      <c r="E61" s="53" t="s">
        <v>96</v>
      </c>
      <c r="F61" s="53">
        <v>8</v>
      </c>
      <c r="G61" s="53" t="s">
        <v>368</v>
      </c>
      <c r="H61" s="65">
        <f t="shared" si="0"/>
        <v>8</v>
      </c>
      <c r="I61" s="65">
        <v>15500</v>
      </c>
      <c r="J61" s="65">
        <f t="shared" si="1"/>
        <v>124000</v>
      </c>
      <c r="K61" s="14" t="s">
        <v>485</v>
      </c>
      <c r="L61" s="107">
        <f>SUM(J53:J61)</f>
        <v>376610</v>
      </c>
    </row>
    <row r="62" spans="1:12">
      <c r="A62" s="274">
        <v>6</v>
      </c>
      <c r="B62" s="10" t="s">
        <v>46</v>
      </c>
      <c r="C62" s="10" t="s">
        <v>41</v>
      </c>
      <c r="D62" s="10" t="s">
        <v>484</v>
      </c>
      <c r="E62" s="10" t="s">
        <v>86</v>
      </c>
      <c r="F62" s="10">
        <v>1</v>
      </c>
      <c r="G62" s="10" t="s">
        <v>367</v>
      </c>
      <c r="H62" s="56">
        <f t="shared" si="0"/>
        <v>1</v>
      </c>
      <c r="I62" s="56">
        <v>3150</v>
      </c>
      <c r="J62" s="56">
        <f t="shared" si="1"/>
        <v>3150</v>
      </c>
      <c r="K62" s="17"/>
    </row>
    <row r="63" spans="1:12">
      <c r="A63" s="258"/>
      <c r="B63" s="13" t="s">
        <v>46</v>
      </c>
      <c r="C63" s="13" t="s">
        <v>41</v>
      </c>
      <c r="D63" s="13" t="s">
        <v>93</v>
      </c>
      <c r="E63" s="13" t="s">
        <v>364</v>
      </c>
      <c r="F63" s="13">
        <v>1</v>
      </c>
      <c r="G63" s="13" t="s">
        <v>365</v>
      </c>
      <c r="H63" s="60">
        <f t="shared" si="0"/>
        <v>1</v>
      </c>
      <c r="I63" s="60">
        <v>9000</v>
      </c>
      <c r="J63" s="60">
        <f t="shared" si="1"/>
        <v>9000</v>
      </c>
      <c r="K63" s="16"/>
    </row>
    <row r="64" spans="1:12">
      <c r="A64" s="258"/>
      <c r="B64" s="13" t="s">
        <v>46</v>
      </c>
      <c r="C64" s="13" t="s">
        <v>41</v>
      </c>
      <c r="D64" s="13" t="s">
        <v>490</v>
      </c>
      <c r="E64" s="13" t="s">
        <v>94</v>
      </c>
      <c r="F64" s="13">
        <v>1</v>
      </c>
      <c r="G64" s="13" t="s">
        <v>756</v>
      </c>
      <c r="H64" s="60">
        <f t="shared" si="0"/>
        <v>1</v>
      </c>
      <c r="I64" s="60">
        <v>7260</v>
      </c>
      <c r="J64" s="60">
        <f t="shared" si="1"/>
        <v>7260</v>
      </c>
      <c r="K64" s="16" t="s">
        <v>363</v>
      </c>
    </row>
    <row r="65" spans="1:12">
      <c r="A65" s="258"/>
      <c r="B65" s="13" t="s">
        <v>46</v>
      </c>
      <c r="C65" s="13" t="s">
        <v>41</v>
      </c>
      <c r="D65" s="13" t="s">
        <v>488</v>
      </c>
      <c r="E65" s="13" t="s">
        <v>95</v>
      </c>
      <c r="F65" s="13">
        <v>1</v>
      </c>
      <c r="G65" s="13" t="s">
        <v>241</v>
      </c>
      <c r="H65" s="60">
        <f t="shared" si="0"/>
        <v>1</v>
      </c>
      <c r="I65" s="60">
        <v>120750</v>
      </c>
      <c r="J65" s="60">
        <f t="shared" si="1"/>
        <v>120750</v>
      </c>
      <c r="K65" s="16" t="s">
        <v>243</v>
      </c>
    </row>
    <row r="66" spans="1:12">
      <c r="A66" s="258"/>
      <c r="B66" s="13" t="s">
        <v>46</v>
      </c>
      <c r="C66" s="13" t="s">
        <v>41</v>
      </c>
      <c r="D66" s="13" t="s">
        <v>87</v>
      </c>
      <c r="E66" s="13" t="s">
        <v>522</v>
      </c>
      <c r="F66" s="13">
        <v>1</v>
      </c>
      <c r="G66" s="13" t="s">
        <v>560</v>
      </c>
      <c r="H66" s="60">
        <f t="shared" si="0"/>
        <v>1</v>
      </c>
      <c r="I66" s="60">
        <v>32000</v>
      </c>
      <c r="J66" s="60">
        <f t="shared" si="1"/>
        <v>32000</v>
      </c>
      <c r="K66" s="16"/>
    </row>
    <row r="67" spans="1:12">
      <c r="A67" s="258"/>
      <c r="B67" s="13" t="s">
        <v>46</v>
      </c>
      <c r="C67" s="13" t="s">
        <v>41</v>
      </c>
      <c r="D67" s="13" t="s">
        <v>605</v>
      </c>
      <c r="E67" s="13" t="s">
        <v>603</v>
      </c>
      <c r="F67" s="13">
        <v>1</v>
      </c>
      <c r="G67" s="13" t="s">
        <v>758</v>
      </c>
      <c r="H67" s="60">
        <f t="shared" si="0"/>
        <v>1</v>
      </c>
      <c r="I67" s="60">
        <v>1500</v>
      </c>
      <c r="J67" s="60">
        <f t="shared" ref="J67:J69" si="6">H67*I67</f>
        <v>1500</v>
      </c>
      <c r="K67" s="16"/>
    </row>
    <row r="68" spans="1:12">
      <c r="A68" s="258"/>
      <c r="B68" s="13" t="s">
        <v>46</v>
      </c>
      <c r="C68" s="13" t="s">
        <v>41</v>
      </c>
      <c r="D68" s="13" t="s">
        <v>610</v>
      </c>
      <c r="E68" s="13" t="s">
        <v>609</v>
      </c>
      <c r="F68" s="13">
        <v>1</v>
      </c>
      <c r="G68" s="13" t="s">
        <v>758</v>
      </c>
      <c r="H68" s="60">
        <f t="shared" si="0"/>
        <v>1</v>
      </c>
      <c r="I68" s="60">
        <v>550</v>
      </c>
      <c r="J68" s="60">
        <f t="shared" si="6"/>
        <v>550</v>
      </c>
      <c r="K68" s="16" t="s">
        <v>611</v>
      </c>
    </row>
    <row r="69" spans="1:12" ht="17.5" thickBot="1">
      <c r="A69" s="264"/>
      <c r="B69" s="13" t="s">
        <v>46</v>
      </c>
      <c r="C69" s="13" t="s">
        <v>41</v>
      </c>
      <c r="D69" s="15"/>
      <c r="E69" s="15" t="s">
        <v>759</v>
      </c>
      <c r="F69" s="15">
        <v>1</v>
      </c>
      <c r="G69" s="15" t="s">
        <v>242</v>
      </c>
      <c r="H69" s="55">
        <v>2</v>
      </c>
      <c r="I69" s="55">
        <v>7500</v>
      </c>
      <c r="J69" s="55">
        <f t="shared" si="6"/>
        <v>15000</v>
      </c>
      <c r="K69" s="22"/>
    </row>
    <row r="70" spans="1:12" ht="18" thickBot="1">
      <c r="A70" s="264"/>
      <c r="B70" s="15" t="s">
        <v>46</v>
      </c>
      <c r="C70" s="15" t="s">
        <v>41</v>
      </c>
      <c r="D70" s="15" t="s">
        <v>528</v>
      </c>
      <c r="E70" s="15" t="s">
        <v>102</v>
      </c>
      <c r="F70" s="15">
        <v>2</v>
      </c>
      <c r="G70" s="15" t="s">
        <v>368</v>
      </c>
      <c r="H70" s="55">
        <f t="shared" si="0"/>
        <v>2</v>
      </c>
      <c r="I70" s="55">
        <v>15500</v>
      </c>
      <c r="J70" s="55">
        <f t="shared" si="1"/>
        <v>31000</v>
      </c>
      <c r="K70" s="22" t="s">
        <v>485</v>
      </c>
      <c r="L70" s="107">
        <f>SUM(J62:J70)</f>
        <v>220210</v>
      </c>
    </row>
    <row r="71" spans="1:12">
      <c r="A71" s="257">
        <v>7</v>
      </c>
      <c r="B71" s="11" t="s">
        <v>47</v>
      </c>
      <c r="C71" s="11" t="s">
        <v>42</v>
      </c>
      <c r="D71" s="11" t="s">
        <v>480</v>
      </c>
      <c r="E71" s="11" t="s">
        <v>97</v>
      </c>
      <c r="F71" s="11">
        <v>1</v>
      </c>
      <c r="G71" s="11" t="s">
        <v>367</v>
      </c>
      <c r="H71" s="54">
        <f t="shared" si="0"/>
        <v>1</v>
      </c>
      <c r="I71" s="54">
        <v>3650</v>
      </c>
      <c r="J71" s="54">
        <f t="shared" si="1"/>
        <v>3650</v>
      </c>
      <c r="K71" s="12"/>
    </row>
    <row r="72" spans="1:12">
      <c r="A72" s="258"/>
      <c r="B72" s="13" t="s">
        <v>47</v>
      </c>
      <c r="C72" s="13" t="s">
        <v>42</v>
      </c>
      <c r="D72" s="13" t="s">
        <v>93</v>
      </c>
      <c r="E72" s="13" t="s">
        <v>364</v>
      </c>
      <c r="F72" s="13">
        <v>1</v>
      </c>
      <c r="G72" s="13" t="s">
        <v>365</v>
      </c>
      <c r="H72" s="60">
        <f t="shared" si="0"/>
        <v>1</v>
      </c>
      <c r="I72" s="60">
        <v>9000</v>
      </c>
      <c r="J72" s="60">
        <f t="shared" si="1"/>
        <v>9000</v>
      </c>
      <c r="K72" s="16"/>
    </row>
    <row r="73" spans="1:12">
      <c r="A73" s="258"/>
      <c r="B73" s="13" t="s">
        <v>47</v>
      </c>
      <c r="C73" s="13" t="s">
        <v>42</v>
      </c>
      <c r="D73" s="13" t="s">
        <v>490</v>
      </c>
      <c r="E73" s="13" t="s">
        <v>94</v>
      </c>
      <c r="F73" s="13">
        <v>1</v>
      </c>
      <c r="G73" s="13" t="s">
        <v>756</v>
      </c>
      <c r="H73" s="60">
        <f t="shared" si="0"/>
        <v>1</v>
      </c>
      <c r="I73" s="60">
        <v>7260</v>
      </c>
      <c r="J73" s="60">
        <f t="shared" si="1"/>
        <v>7260</v>
      </c>
      <c r="K73" s="16" t="s">
        <v>363</v>
      </c>
    </row>
    <row r="74" spans="1:12">
      <c r="A74" s="258"/>
      <c r="B74" s="13" t="s">
        <v>47</v>
      </c>
      <c r="C74" s="13" t="s">
        <v>42</v>
      </c>
      <c r="D74" s="13" t="s">
        <v>488</v>
      </c>
      <c r="E74" s="13" t="s">
        <v>95</v>
      </c>
      <c r="F74" s="13">
        <v>1</v>
      </c>
      <c r="G74" s="13" t="s">
        <v>241</v>
      </c>
      <c r="H74" s="60">
        <f t="shared" si="0"/>
        <v>1</v>
      </c>
      <c r="I74" s="60">
        <v>120750</v>
      </c>
      <c r="J74" s="60">
        <f t="shared" si="1"/>
        <v>120750</v>
      </c>
      <c r="K74" s="16" t="s">
        <v>243</v>
      </c>
    </row>
    <row r="75" spans="1:12">
      <c r="A75" s="258"/>
      <c r="B75" s="13" t="s">
        <v>47</v>
      </c>
      <c r="C75" s="13" t="s">
        <v>42</v>
      </c>
      <c r="D75" s="13" t="s">
        <v>98</v>
      </c>
      <c r="E75" s="13" t="s">
        <v>522</v>
      </c>
      <c r="F75" s="13">
        <v>1</v>
      </c>
      <c r="G75" s="13" t="s">
        <v>560</v>
      </c>
      <c r="H75" s="60">
        <f t="shared" si="0"/>
        <v>1</v>
      </c>
      <c r="I75" s="60">
        <v>36400</v>
      </c>
      <c r="J75" s="60">
        <f t="shared" si="1"/>
        <v>36400</v>
      </c>
      <c r="K75" s="16"/>
    </row>
    <row r="76" spans="1:12">
      <c r="A76" s="258"/>
      <c r="B76" s="13" t="s">
        <v>47</v>
      </c>
      <c r="C76" s="13" t="s">
        <v>42</v>
      </c>
      <c r="D76" s="13" t="s">
        <v>605</v>
      </c>
      <c r="E76" s="13" t="s">
        <v>603</v>
      </c>
      <c r="F76" s="13">
        <v>1</v>
      </c>
      <c r="G76" s="13" t="s">
        <v>758</v>
      </c>
      <c r="H76" s="60">
        <f t="shared" si="0"/>
        <v>1</v>
      </c>
      <c r="I76" s="60">
        <v>1500</v>
      </c>
      <c r="J76" s="60">
        <f t="shared" ref="J76:J78" si="7">H76*I76</f>
        <v>1500</v>
      </c>
      <c r="K76" s="16"/>
    </row>
    <row r="77" spans="1:12">
      <c r="A77" s="258"/>
      <c r="B77" s="13" t="s">
        <v>47</v>
      </c>
      <c r="C77" s="13" t="s">
        <v>42</v>
      </c>
      <c r="D77" s="13" t="s">
        <v>610</v>
      </c>
      <c r="E77" s="13" t="s">
        <v>609</v>
      </c>
      <c r="F77" s="13">
        <v>1</v>
      </c>
      <c r="G77" s="13" t="s">
        <v>758</v>
      </c>
      <c r="H77" s="60">
        <f t="shared" si="0"/>
        <v>1</v>
      </c>
      <c r="I77" s="60">
        <v>550</v>
      </c>
      <c r="J77" s="60">
        <f t="shared" si="7"/>
        <v>550</v>
      </c>
      <c r="K77" s="16" t="s">
        <v>611</v>
      </c>
    </row>
    <row r="78" spans="1:12" ht="17.5" thickBot="1">
      <c r="A78" s="264"/>
      <c r="B78" s="13" t="s">
        <v>47</v>
      </c>
      <c r="C78" s="13" t="s">
        <v>42</v>
      </c>
      <c r="D78" s="15"/>
      <c r="E78" s="15" t="s">
        <v>759</v>
      </c>
      <c r="F78" s="15">
        <v>1</v>
      </c>
      <c r="G78" s="15" t="s">
        <v>242</v>
      </c>
      <c r="H78" s="55">
        <v>2</v>
      </c>
      <c r="I78" s="55">
        <v>7500</v>
      </c>
      <c r="J78" s="55">
        <f t="shared" si="7"/>
        <v>15000</v>
      </c>
      <c r="K78" s="22"/>
    </row>
    <row r="79" spans="1:12" ht="18" thickBot="1">
      <c r="A79" s="259"/>
      <c r="B79" s="53" t="s">
        <v>47</v>
      </c>
      <c r="C79" s="53" t="s">
        <v>42</v>
      </c>
      <c r="D79" s="53" t="s">
        <v>528</v>
      </c>
      <c r="E79" s="53" t="s">
        <v>102</v>
      </c>
      <c r="F79" s="53">
        <v>3</v>
      </c>
      <c r="G79" s="53" t="s">
        <v>368</v>
      </c>
      <c r="H79" s="65">
        <f t="shared" si="0"/>
        <v>3</v>
      </c>
      <c r="I79" s="65">
        <v>15500</v>
      </c>
      <c r="J79" s="65">
        <f t="shared" si="1"/>
        <v>46500</v>
      </c>
      <c r="K79" s="14" t="s">
        <v>485</v>
      </c>
      <c r="L79" s="107">
        <f>SUM(J71:J79)</f>
        <v>240610</v>
      </c>
    </row>
    <row r="80" spans="1:12">
      <c r="A80" s="274">
        <v>8</v>
      </c>
      <c r="B80" s="10" t="s">
        <v>48</v>
      </c>
      <c r="C80" s="10" t="s">
        <v>43</v>
      </c>
      <c r="D80" s="10" t="s">
        <v>481</v>
      </c>
      <c r="E80" s="10" t="s">
        <v>88</v>
      </c>
      <c r="F80" s="10">
        <v>1</v>
      </c>
      <c r="G80" s="10" t="s">
        <v>367</v>
      </c>
      <c r="H80" s="56">
        <f t="shared" si="0"/>
        <v>1</v>
      </c>
      <c r="I80" s="56">
        <v>4200</v>
      </c>
      <c r="J80" s="56">
        <f t="shared" si="1"/>
        <v>4200</v>
      </c>
      <c r="K80" s="17"/>
    </row>
    <row r="81" spans="1:12">
      <c r="A81" s="258"/>
      <c r="B81" s="13" t="s">
        <v>48</v>
      </c>
      <c r="C81" s="13" t="s">
        <v>43</v>
      </c>
      <c r="D81" s="13" t="s">
        <v>93</v>
      </c>
      <c r="E81" s="13" t="s">
        <v>364</v>
      </c>
      <c r="F81" s="13">
        <v>1</v>
      </c>
      <c r="G81" s="13" t="s">
        <v>365</v>
      </c>
      <c r="H81" s="60">
        <f t="shared" si="0"/>
        <v>1</v>
      </c>
      <c r="I81" s="60">
        <v>9000</v>
      </c>
      <c r="J81" s="60">
        <f t="shared" si="1"/>
        <v>9000</v>
      </c>
      <c r="K81" s="16"/>
    </row>
    <row r="82" spans="1:12">
      <c r="A82" s="258"/>
      <c r="B82" s="13" t="s">
        <v>48</v>
      </c>
      <c r="C82" s="13" t="s">
        <v>43</v>
      </c>
      <c r="D82" s="13" t="s">
        <v>490</v>
      </c>
      <c r="E82" s="13" t="s">
        <v>94</v>
      </c>
      <c r="F82" s="13">
        <v>1</v>
      </c>
      <c r="G82" s="13" t="s">
        <v>756</v>
      </c>
      <c r="H82" s="60">
        <f t="shared" si="0"/>
        <v>1</v>
      </c>
      <c r="I82" s="60">
        <v>7260</v>
      </c>
      <c r="J82" s="60">
        <f t="shared" si="1"/>
        <v>7260</v>
      </c>
      <c r="K82" s="16" t="s">
        <v>363</v>
      </c>
    </row>
    <row r="83" spans="1:12">
      <c r="A83" s="258"/>
      <c r="B83" s="13" t="s">
        <v>48</v>
      </c>
      <c r="C83" s="13" t="s">
        <v>43</v>
      </c>
      <c r="D83" s="13" t="s">
        <v>488</v>
      </c>
      <c r="E83" s="13" t="s">
        <v>95</v>
      </c>
      <c r="F83" s="13">
        <v>1</v>
      </c>
      <c r="G83" s="13" t="s">
        <v>241</v>
      </c>
      <c r="H83" s="60">
        <f t="shared" si="0"/>
        <v>1</v>
      </c>
      <c r="I83" s="60">
        <v>120750</v>
      </c>
      <c r="J83" s="60">
        <f t="shared" si="1"/>
        <v>120750</v>
      </c>
      <c r="K83" s="16" t="s">
        <v>243</v>
      </c>
    </row>
    <row r="84" spans="1:12">
      <c r="A84" s="258"/>
      <c r="B84" s="13" t="s">
        <v>48</v>
      </c>
      <c r="C84" s="13" t="s">
        <v>43</v>
      </c>
      <c r="D84" s="13" t="s">
        <v>89</v>
      </c>
      <c r="E84" s="13" t="s">
        <v>522</v>
      </c>
      <c r="F84" s="13">
        <v>1</v>
      </c>
      <c r="G84" s="13" t="s">
        <v>560</v>
      </c>
      <c r="H84" s="60">
        <f t="shared" si="0"/>
        <v>1</v>
      </c>
      <c r="I84" s="60">
        <v>38000</v>
      </c>
      <c r="J84" s="60">
        <f t="shared" si="1"/>
        <v>38000</v>
      </c>
      <c r="K84" s="16"/>
    </row>
    <row r="85" spans="1:12">
      <c r="A85" s="258"/>
      <c r="B85" s="13" t="s">
        <v>48</v>
      </c>
      <c r="C85" s="13" t="s">
        <v>43</v>
      </c>
      <c r="D85" s="13" t="s">
        <v>605</v>
      </c>
      <c r="E85" s="13" t="s">
        <v>603</v>
      </c>
      <c r="F85" s="13">
        <v>1</v>
      </c>
      <c r="G85" s="13" t="s">
        <v>758</v>
      </c>
      <c r="H85" s="60">
        <f t="shared" si="0"/>
        <v>1</v>
      </c>
      <c r="I85" s="60">
        <v>1500</v>
      </c>
      <c r="J85" s="60">
        <f t="shared" ref="J85:J87" si="8">H85*I85</f>
        <v>1500</v>
      </c>
      <c r="K85" s="16"/>
    </row>
    <row r="86" spans="1:12">
      <c r="A86" s="258"/>
      <c r="B86" s="13" t="s">
        <v>48</v>
      </c>
      <c r="C86" s="13" t="s">
        <v>43</v>
      </c>
      <c r="D86" s="13" t="s">
        <v>610</v>
      </c>
      <c r="E86" s="13" t="s">
        <v>609</v>
      </c>
      <c r="F86" s="13">
        <v>1</v>
      </c>
      <c r="G86" s="13" t="s">
        <v>758</v>
      </c>
      <c r="H86" s="60">
        <f t="shared" si="0"/>
        <v>1</v>
      </c>
      <c r="I86" s="60">
        <v>550</v>
      </c>
      <c r="J86" s="60">
        <f t="shared" si="8"/>
        <v>550</v>
      </c>
      <c r="K86" s="16" t="s">
        <v>611</v>
      </c>
    </row>
    <row r="87" spans="1:12" ht="17.5" thickBot="1">
      <c r="A87" s="264"/>
      <c r="B87" s="13" t="s">
        <v>48</v>
      </c>
      <c r="C87" s="13" t="s">
        <v>43</v>
      </c>
      <c r="D87" s="15"/>
      <c r="E87" s="15" t="s">
        <v>759</v>
      </c>
      <c r="F87" s="15">
        <v>1</v>
      </c>
      <c r="G87" s="15" t="s">
        <v>242</v>
      </c>
      <c r="H87" s="55">
        <v>2</v>
      </c>
      <c r="I87" s="55">
        <v>7500</v>
      </c>
      <c r="J87" s="55">
        <f t="shared" si="8"/>
        <v>15000</v>
      </c>
      <c r="K87" s="22"/>
    </row>
    <row r="88" spans="1:12" ht="18" thickBot="1">
      <c r="A88" s="264"/>
      <c r="B88" s="15" t="s">
        <v>48</v>
      </c>
      <c r="C88" s="15" t="s">
        <v>43</v>
      </c>
      <c r="D88" s="15" t="s">
        <v>528</v>
      </c>
      <c r="E88" s="15" t="s">
        <v>102</v>
      </c>
      <c r="F88" s="15">
        <v>4</v>
      </c>
      <c r="G88" s="15" t="s">
        <v>368</v>
      </c>
      <c r="H88" s="55">
        <f t="shared" si="0"/>
        <v>4</v>
      </c>
      <c r="I88" s="55">
        <v>15500</v>
      </c>
      <c r="J88" s="55">
        <f t="shared" si="1"/>
        <v>62000</v>
      </c>
      <c r="K88" s="22" t="s">
        <v>485</v>
      </c>
      <c r="L88" s="107">
        <f>SUM(J80:J88)</f>
        <v>258260</v>
      </c>
    </row>
    <row r="89" spans="1:12">
      <c r="A89" s="257">
        <v>9</v>
      </c>
      <c r="B89" s="11" t="s">
        <v>49</v>
      </c>
      <c r="C89" s="11" t="s">
        <v>44</v>
      </c>
      <c r="D89" s="11" t="s">
        <v>480</v>
      </c>
      <c r="E89" s="11" t="s">
        <v>97</v>
      </c>
      <c r="F89" s="11">
        <v>2</v>
      </c>
      <c r="G89" s="11" t="s">
        <v>367</v>
      </c>
      <c r="H89" s="54">
        <f t="shared" ref="H89:H106" si="9">$K$4*F89</f>
        <v>2</v>
      </c>
      <c r="I89" s="54">
        <v>3650</v>
      </c>
      <c r="J89" s="54">
        <f t="shared" si="1"/>
        <v>7300</v>
      </c>
      <c r="K89" s="12"/>
    </row>
    <row r="90" spans="1:12">
      <c r="A90" s="258"/>
      <c r="B90" s="13" t="s">
        <v>49</v>
      </c>
      <c r="C90" s="13" t="s">
        <v>44</v>
      </c>
      <c r="D90" s="13" t="s">
        <v>93</v>
      </c>
      <c r="E90" s="13" t="s">
        <v>364</v>
      </c>
      <c r="F90" s="13">
        <v>1</v>
      </c>
      <c r="G90" s="13" t="s">
        <v>365</v>
      </c>
      <c r="H90" s="60">
        <f t="shared" si="9"/>
        <v>1</v>
      </c>
      <c r="I90" s="60">
        <v>9000</v>
      </c>
      <c r="J90" s="60">
        <f t="shared" si="1"/>
        <v>9000</v>
      </c>
      <c r="K90" s="16"/>
    </row>
    <row r="91" spans="1:12">
      <c r="A91" s="258"/>
      <c r="B91" s="13" t="s">
        <v>49</v>
      </c>
      <c r="C91" s="13" t="s">
        <v>44</v>
      </c>
      <c r="D91" s="13" t="s">
        <v>490</v>
      </c>
      <c r="E91" s="13" t="s">
        <v>94</v>
      </c>
      <c r="F91" s="13">
        <v>1</v>
      </c>
      <c r="G91" s="13" t="s">
        <v>756</v>
      </c>
      <c r="H91" s="60">
        <f t="shared" si="9"/>
        <v>1</v>
      </c>
      <c r="I91" s="60">
        <v>7260</v>
      </c>
      <c r="J91" s="60">
        <f t="shared" si="1"/>
        <v>7260</v>
      </c>
      <c r="K91" s="16" t="s">
        <v>363</v>
      </c>
    </row>
    <row r="92" spans="1:12">
      <c r="A92" s="258"/>
      <c r="B92" s="13" t="s">
        <v>49</v>
      </c>
      <c r="C92" s="13" t="s">
        <v>44</v>
      </c>
      <c r="D92" s="13" t="s">
        <v>489</v>
      </c>
      <c r="E92" s="13" t="s">
        <v>99</v>
      </c>
      <c r="F92" s="13">
        <v>1</v>
      </c>
      <c r="G92" s="13" t="s">
        <v>241</v>
      </c>
      <c r="H92" s="60">
        <f t="shared" si="9"/>
        <v>1</v>
      </c>
      <c r="I92" s="60">
        <v>157500</v>
      </c>
      <c r="J92" s="60">
        <f t="shared" si="1"/>
        <v>157500</v>
      </c>
      <c r="K92" s="16" t="s">
        <v>246</v>
      </c>
    </row>
    <row r="93" spans="1:12">
      <c r="A93" s="258"/>
      <c r="B93" s="13" t="s">
        <v>49</v>
      </c>
      <c r="C93" s="13" t="s">
        <v>44</v>
      </c>
      <c r="D93" s="13" t="s">
        <v>100</v>
      </c>
      <c r="E93" s="13" t="s">
        <v>522</v>
      </c>
      <c r="F93" s="13">
        <v>1</v>
      </c>
      <c r="G93" s="13" t="s">
        <v>560</v>
      </c>
      <c r="H93" s="60">
        <f t="shared" si="9"/>
        <v>1</v>
      </c>
      <c r="I93" s="60">
        <v>42800</v>
      </c>
      <c r="J93" s="60">
        <f t="shared" si="1"/>
        <v>42800</v>
      </c>
      <c r="K93" s="16"/>
    </row>
    <row r="94" spans="1:12">
      <c r="A94" s="258"/>
      <c r="B94" s="13" t="s">
        <v>49</v>
      </c>
      <c r="C94" s="13" t="s">
        <v>44</v>
      </c>
      <c r="D94" s="13" t="s">
        <v>605</v>
      </c>
      <c r="E94" s="13" t="s">
        <v>603</v>
      </c>
      <c r="F94" s="13">
        <v>1</v>
      </c>
      <c r="G94" s="13" t="s">
        <v>758</v>
      </c>
      <c r="H94" s="60">
        <f t="shared" si="9"/>
        <v>1</v>
      </c>
      <c r="I94" s="60">
        <v>1500</v>
      </c>
      <c r="J94" s="60">
        <f t="shared" ref="J94:J96" si="10">H94*I94</f>
        <v>1500</v>
      </c>
      <c r="K94" s="16"/>
    </row>
    <row r="95" spans="1:12">
      <c r="A95" s="258"/>
      <c r="B95" s="13" t="s">
        <v>49</v>
      </c>
      <c r="C95" s="13" t="s">
        <v>44</v>
      </c>
      <c r="D95" s="13" t="s">
        <v>610</v>
      </c>
      <c r="E95" s="13" t="s">
        <v>609</v>
      </c>
      <c r="F95" s="13">
        <v>1</v>
      </c>
      <c r="G95" s="13" t="s">
        <v>758</v>
      </c>
      <c r="H95" s="60">
        <f t="shared" si="9"/>
        <v>1</v>
      </c>
      <c r="I95" s="60">
        <v>550</v>
      </c>
      <c r="J95" s="60">
        <f t="shared" si="10"/>
        <v>550</v>
      </c>
      <c r="K95" s="16" t="s">
        <v>611</v>
      </c>
    </row>
    <row r="96" spans="1:12" ht="17.5" thickBot="1">
      <c r="A96" s="264"/>
      <c r="B96" s="13" t="s">
        <v>49</v>
      </c>
      <c r="C96" s="13" t="s">
        <v>44</v>
      </c>
      <c r="D96" s="15"/>
      <c r="E96" s="15" t="s">
        <v>759</v>
      </c>
      <c r="F96" s="15">
        <v>1</v>
      </c>
      <c r="G96" s="15" t="s">
        <v>242</v>
      </c>
      <c r="H96" s="55">
        <v>2</v>
      </c>
      <c r="I96" s="55">
        <v>7500</v>
      </c>
      <c r="J96" s="55">
        <f t="shared" si="10"/>
        <v>15000</v>
      </c>
      <c r="K96" s="22"/>
    </row>
    <row r="97" spans="1:12" ht="18" thickBot="1">
      <c r="A97" s="259"/>
      <c r="B97" s="53" t="s">
        <v>49</v>
      </c>
      <c r="C97" s="53" t="s">
        <v>44</v>
      </c>
      <c r="D97" s="53" t="s">
        <v>528</v>
      </c>
      <c r="E97" s="53" t="s">
        <v>102</v>
      </c>
      <c r="F97" s="53">
        <v>6</v>
      </c>
      <c r="G97" s="53" t="s">
        <v>368</v>
      </c>
      <c r="H97" s="65">
        <f t="shared" si="9"/>
        <v>6</v>
      </c>
      <c r="I97" s="65">
        <v>15500</v>
      </c>
      <c r="J97" s="65">
        <f t="shared" si="1"/>
        <v>93000</v>
      </c>
      <c r="K97" s="14" t="s">
        <v>485</v>
      </c>
      <c r="L97" s="107">
        <f>SUM(J89:J97)</f>
        <v>333910</v>
      </c>
    </row>
    <row r="98" spans="1:12">
      <c r="A98" s="274">
        <v>10</v>
      </c>
      <c r="B98" s="10" t="s">
        <v>50</v>
      </c>
      <c r="C98" s="10" t="s">
        <v>45</v>
      </c>
      <c r="D98" s="10" t="s">
        <v>481</v>
      </c>
      <c r="E98" s="10" t="s">
        <v>88</v>
      </c>
      <c r="F98" s="10">
        <v>2</v>
      </c>
      <c r="G98" s="10" t="s">
        <v>367</v>
      </c>
      <c r="H98" s="56">
        <f t="shared" si="9"/>
        <v>2</v>
      </c>
      <c r="I98" s="56">
        <v>4200</v>
      </c>
      <c r="J98" s="56">
        <f t="shared" si="1"/>
        <v>8400</v>
      </c>
      <c r="K98" s="17"/>
    </row>
    <row r="99" spans="1:12">
      <c r="A99" s="258"/>
      <c r="B99" s="13" t="s">
        <v>50</v>
      </c>
      <c r="C99" s="13" t="s">
        <v>45</v>
      </c>
      <c r="D99" s="13" t="s">
        <v>93</v>
      </c>
      <c r="E99" s="13" t="s">
        <v>364</v>
      </c>
      <c r="F99" s="13">
        <v>1</v>
      </c>
      <c r="G99" s="13" t="s">
        <v>365</v>
      </c>
      <c r="H99" s="60">
        <f t="shared" si="9"/>
        <v>1</v>
      </c>
      <c r="I99" s="60">
        <v>9000</v>
      </c>
      <c r="J99" s="60">
        <f t="shared" si="1"/>
        <v>9000</v>
      </c>
      <c r="K99" s="16"/>
    </row>
    <row r="100" spans="1:12">
      <c r="A100" s="258"/>
      <c r="B100" s="13" t="s">
        <v>50</v>
      </c>
      <c r="C100" s="13" t="s">
        <v>45</v>
      </c>
      <c r="D100" s="13" t="s">
        <v>490</v>
      </c>
      <c r="E100" s="13" t="s">
        <v>94</v>
      </c>
      <c r="F100" s="13">
        <v>1</v>
      </c>
      <c r="G100" s="13" t="s">
        <v>756</v>
      </c>
      <c r="H100" s="60">
        <f t="shared" si="9"/>
        <v>1</v>
      </c>
      <c r="I100" s="60">
        <v>7260</v>
      </c>
      <c r="J100" s="60">
        <f t="shared" si="1"/>
        <v>7260</v>
      </c>
      <c r="K100" s="16" t="s">
        <v>363</v>
      </c>
    </row>
    <row r="101" spans="1:12">
      <c r="A101" s="258"/>
      <c r="B101" s="13" t="s">
        <v>50</v>
      </c>
      <c r="C101" s="13" t="s">
        <v>45</v>
      </c>
      <c r="D101" s="13" t="s">
        <v>489</v>
      </c>
      <c r="E101" s="13" t="s">
        <v>99</v>
      </c>
      <c r="F101" s="13">
        <v>1</v>
      </c>
      <c r="G101" s="13" t="s">
        <v>241</v>
      </c>
      <c r="H101" s="60">
        <f t="shared" si="9"/>
        <v>1</v>
      </c>
      <c r="I101" s="60">
        <v>157500</v>
      </c>
      <c r="J101" s="60">
        <f t="shared" si="1"/>
        <v>157500</v>
      </c>
      <c r="K101" s="16" t="s">
        <v>245</v>
      </c>
    </row>
    <row r="102" spans="1:12">
      <c r="A102" s="258"/>
      <c r="B102" s="13" t="s">
        <v>50</v>
      </c>
      <c r="C102" s="13" t="s">
        <v>45</v>
      </c>
      <c r="D102" s="13" t="s">
        <v>101</v>
      </c>
      <c r="E102" s="13" t="s">
        <v>522</v>
      </c>
      <c r="F102" s="13">
        <v>1</v>
      </c>
      <c r="G102" s="13" t="s">
        <v>560</v>
      </c>
      <c r="H102" s="60">
        <f t="shared" si="9"/>
        <v>1</v>
      </c>
      <c r="I102" s="60">
        <v>53400</v>
      </c>
      <c r="J102" s="60">
        <f t="shared" si="1"/>
        <v>53400</v>
      </c>
      <c r="K102" s="16"/>
    </row>
    <row r="103" spans="1:12">
      <c r="A103" s="258"/>
      <c r="B103" s="13" t="s">
        <v>50</v>
      </c>
      <c r="C103" s="13" t="s">
        <v>45</v>
      </c>
      <c r="D103" s="13" t="s">
        <v>605</v>
      </c>
      <c r="E103" s="13" t="s">
        <v>603</v>
      </c>
      <c r="F103" s="13">
        <v>1</v>
      </c>
      <c r="G103" s="13" t="s">
        <v>758</v>
      </c>
      <c r="H103" s="60">
        <f t="shared" si="9"/>
        <v>1</v>
      </c>
      <c r="I103" s="60">
        <v>1500</v>
      </c>
      <c r="J103" s="60">
        <f t="shared" ref="J103:J105" si="11">H103*I103</f>
        <v>1500</v>
      </c>
      <c r="K103" s="16"/>
    </row>
    <row r="104" spans="1:12">
      <c r="A104" s="258"/>
      <c r="B104" s="13" t="s">
        <v>50</v>
      </c>
      <c r="C104" s="13" t="s">
        <v>45</v>
      </c>
      <c r="D104" s="13" t="s">
        <v>610</v>
      </c>
      <c r="E104" s="13" t="s">
        <v>609</v>
      </c>
      <c r="F104" s="13">
        <v>1</v>
      </c>
      <c r="G104" s="13" t="s">
        <v>758</v>
      </c>
      <c r="H104" s="60">
        <f t="shared" si="9"/>
        <v>1</v>
      </c>
      <c r="I104" s="60">
        <v>550</v>
      </c>
      <c r="J104" s="60">
        <f t="shared" si="11"/>
        <v>550</v>
      </c>
      <c r="K104" s="16" t="s">
        <v>611</v>
      </c>
    </row>
    <row r="105" spans="1:12" ht="17.5" thickBot="1">
      <c r="A105" s="264"/>
      <c r="B105" s="13" t="s">
        <v>50</v>
      </c>
      <c r="C105" s="13" t="s">
        <v>45</v>
      </c>
      <c r="D105" s="15"/>
      <c r="E105" s="15" t="s">
        <v>759</v>
      </c>
      <c r="F105" s="15">
        <v>1</v>
      </c>
      <c r="G105" s="15" t="s">
        <v>242</v>
      </c>
      <c r="H105" s="55">
        <v>2</v>
      </c>
      <c r="I105" s="55">
        <v>7500</v>
      </c>
      <c r="J105" s="55">
        <f t="shared" si="11"/>
        <v>15000</v>
      </c>
      <c r="K105" s="22"/>
    </row>
    <row r="106" spans="1:12" ht="18" thickBot="1">
      <c r="A106" s="259"/>
      <c r="B106" s="53" t="s">
        <v>50</v>
      </c>
      <c r="C106" s="53" t="s">
        <v>45</v>
      </c>
      <c r="D106" s="53" t="s">
        <v>528</v>
      </c>
      <c r="E106" s="53" t="s">
        <v>102</v>
      </c>
      <c r="F106" s="53">
        <v>8</v>
      </c>
      <c r="G106" s="53" t="s">
        <v>368</v>
      </c>
      <c r="H106" s="65">
        <f t="shared" si="9"/>
        <v>8</v>
      </c>
      <c r="I106" s="65">
        <v>15500</v>
      </c>
      <c r="J106" s="65">
        <f t="shared" si="1"/>
        <v>124000</v>
      </c>
      <c r="K106" s="14" t="s">
        <v>485</v>
      </c>
      <c r="L106" s="107">
        <f>SUM(J98:J106)</f>
        <v>376610</v>
      </c>
    </row>
    <row r="107" spans="1:12" ht="40.5" customHeight="1" thickBot="1">
      <c r="H107" s="59"/>
      <c r="I107" s="57" t="s">
        <v>265</v>
      </c>
      <c r="J107" s="58">
        <f>SUM(J17:J106)</f>
        <v>2859200</v>
      </c>
    </row>
    <row r="108" spans="1:12">
      <c r="I108" s="59"/>
      <c r="J108" s="59"/>
    </row>
    <row r="109" spans="1:12">
      <c r="I109" s="59"/>
      <c r="J109" s="59"/>
    </row>
    <row r="110" spans="1:12">
      <c r="I110" s="59"/>
      <c r="J110" s="59"/>
    </row>
    <row r="111" spans="1:12">
      <c r="I111" s="59"/>
      <c r="J111" s="59"/>
    </row>
    <row r="112" spans="1:12">
      <c r="I112" s="59"/>
      <c r="J112" s="59"/>
    </row>
  </sheetData>
  <autoFilter ref="A16:K107"/>
  <mergeCells count="23">
    <mergeCell ref="F1:G1"/>
    <mergeCell ref="A71:A79"/>
    <mergeCell ref="A80:A88"/>
    <mergeCell ref="A89:A97"/>
    <mergeCell ref="A98:A106"/>
    <mergeCell ref="A17:A25"/>
    <mergeCell ref="A26:A34"/>
    <mergeCell ref="A35:A43"/>
    <mergeCell ref="A44:A52"/>
    <mergeCell ref="A53:A61"/>
    <mergeCell ref="A62:A70"/>
    <mergeCell ref="H3:J3"/>
    <mergeCell ref="H4:J4"/>
    <mergeCell ref="H5:J5"/>
    <mergeCell ref="H6:J6"/>
    <mergeCell ref="H7:J7"/>
    <mergeCell ref="H8:J8"/>
    <mergeCell ref="H9:J9"/>
    <mergeCell ref="H10:J10"/>
    <mergeCell ref="H14:J14"/>
    <mergeCell ref="H11:J11"/>
    <mergeCell ref="H12:J12"/>
    <mergeCell ref="H13:J1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0" orientation="landscape" horizontalDpi="1200" verticalDpi="1200" r:id="rId1"/>
  <headerFooter>
    <oddFooter>&amp;C(주)매그나텍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6"/>
  <sheetViews>
    <sheetView zoomScale="70" zoomScaleNormal="70" workbookViewId="0">
      <pane ySplit="26" topLeftCell="A203" activePane="bottomLeft" state="frozen"/>
      <selection pane="bottomLeft" activeCell="I205" sqref="I205"/>
    </sheetView>
  </sheetViews>
  <sheetFormatPr defaultColWidth="9" defaultRowHeight="17"/>
  <cols>
    <col min="1" max="1" width="3.5" style="1" customWidth="1"/>
    <col min="2" max="2" width="12.58203125" style="1" customWidth="1"/>
    <col min="3" max="3" width="17.58203125" style="1" customWidth="1"/>
    <col min="4" max="4" width="17.25" style="1" customWidth="1"/>
    <col min="5" max="5" width="20.75" style="1" customWidth="1"/>
    <col min="6" max="6" width="6.5" style="1" customWidth="1"/>
    <col min="7" max="7" width="25.25" style="1" customWidth="1"/>
    <col min="8" max="8" width="7.5" style="1" customWidth="1"/>
    <col min="9" max="9" width="9.58203125" style="59" customWidth="1"/>
    <col min="10" max="10" width="24.5" style="59" customWidth="1"/>
    <col min="11" max="11" width="31.83203125" style="1" customWidth="1"/>
    <col min="12" max="12" width="15.5" style="1" customWidth="1"/>
    <col min="13" max="16384" width="9" style="1"/>
  </cols>
  <sheetData>
    <row r="1" spans="4:11" ht="44">
      <c r="E1" s="260" t="s">
        <v>476</v>
      </c>
      <c r="F1" s="260"/>
      <c r="G1" s="260"/>
      <c r="H1" s="260"/>
      <c r="I1" s="104"/>
      <c r="J1" s="104"/>
    </row>
    <row r="3" spans="4:11" s="52" customFormat="1" ht="16">
      <c r="D3" s="286" t="s">
        <v>257</v>
      </c>
      <c r="E3" s="287"/>
      <c r="F3" s="288"/>
      <c r="G3" s="51" t="s">
        <v>258</v>
      </c>
      <c r="H3" s="286" t="s">
        <v>257</v>
      </c>
      <c r="I3" s="289"/>
      <c r="J3" s="288"/>
      <c r="K3" s="51" t="s">
        <v>258</v>
      </c>
    </row>
    <row r="4" spans="4:11" s="52" customFormat="1" ht="16" hidden="1">
      <c r="D4" s="286" t="s">
        <v>286</v>
      </c>
      <c r="E4" s="287"/>
      <c r="F4" s="288"/>
      <c r="G4" s="51">
        <v>1</v>
      </c>
      <c r="H4" s="286" t="s">
        <v>159</v>
      </c>
      <c r="I4" s="289"/>
      <c r="J4" s="288"/>
      <c r="K4" s="51">
        <v>1</v>
      </c>
    </row>
    <row r="5" spans="4:11" s="52" customFormat="1" ht="16" hidden="1">
      <c r="D5" s="286" t="s">
        <v>287</v>
      </c>
      <c r="E5" s="287"/>
      <c r="F5" s="288"/>
      <c r="G5" s="51">
        <v>1</v>
      </c>
      <c r="H5" s="286" t="s">
        <v>160</v>
      </c>
      <c r="I5" s="289"/>
      <c r="J5" s="288"/>
      <c r="K5" s="51">
        <v>1</v>
      </c>
    </row>
    <row r="6" spans="4:11" s="52" customFormat="1" ht="16" hidden="1">
      <c r="D6" s="286" t="s">
        <v>288</v>
      </c>
      <c r="E6" s="287"/>
      <c r="F6" s="288"/>
      <c r="G6" s="51">
        <v>1</v>
      </c>
      <c r="H6" s="286" t="s">
        <v>161</v>
      </c>
      <c r="I6" s="289"/>
      <c r="J6" s="288"/>
      <c r="K6" s="51">
        <v>1</v>
      </c>
    </row>
    <row r="7" spans="4:11" s="52" customFormat="1" ht="16" hidden="1">
      <c r="D7" s="286" t="s">
        <v>289</v>
      </c>
      <c r="E7" s="287"/>
      <c r="F7" s="288"/>
      <c r="G7" s="51">
        <v>1</v>
      </c>
      <c r="H7" s="286" t="s">
        <v>162</v>
      </c>
      <c r="I7" s="289"/>
      <c r="J7" s="288"/>
      <c r="K7" s="51">
        <v>1</v>
      </c>
    </row>
    <row r="8" spans="4:11" s="52" customFormat="1" ht="16" hidden="1">
      <c r="D8" s="286" t="s">
        <v>290</v>
      </c>
      <c r="E8" s="287"/>
      <c r="F8" s="288"/>
      <c r="G8" s="51">
        <v>1</v>
      </c>
      <c r="H8" s="286" t="s">
        <v>129</v>
      </c>
      <c r="I8" s="289"/>
      <c r="J8" s="288"/>
      <c r="K8" s="51">
        <v>1</v>
      </c>
    </row>
    <row r="9" spans="4:11" s="52" customFormat="1" ht="16" hidden="1">
      <c r="D9" s="286" t="s">
        <v>147</v>
      </c>
      <c r="E9" s="287"/>
      <c r="F9" s="288"/>
      <c r="G9" s="51">
        <v>1</v>
      </c>
      <c r="H9" s="286" t="s">
        <v>163</v>
      </c>
      <c r="I9" s="289"/>
      <c r="J9" s="288"/>
      <c r="K9" s="51">
        <v>1</v>
      </c>
    </row>
    <row r="10" spans="4:11" s="52" customFormat="1" ht="16" hidden="1">
      <c r="D10" s="286" t="s">
        <v>148</v>
      </c>
      <c r="E10" s="287"/>
      <c r="F10" s="288"/>
      <c r="G10" s="51">
        <v>1</v>
      </c>
      <c r="H10" s="286" t="s">
        <v>164</v>
      </c>
      <c r="I10" s="289"/>
      <c r="J10" s="288"/>
      <c r="K10" s="51">
        <v>1</v>
      </c>
    </row>
    <row r="11" spans="4:11" s="52" customFormat="1" ht="16" hidden="1">
      <c r="D11" s="286" t="s">
        <v>149</v>
      </c>
      <c r="E11" s="287"/>
      <c r="F11" s="288"/>
      <c r="G11" s="51">
        <v>1</v>
      </c>
      <c r="H11" s="286" t="s">
        <v>165</v>
      </c>
      <c r="I11" s="289"/>
      <c r="J11" s="288"/>
      <c r="K11" s="51">
        <v>1</v>
      </c>
    </row>
    <row r="12" spans="4:11" s="52" customFormat="1" ht="16" hidden="1">
      <c r="D12" s="286" t="s">
        <v>150</v>
      </c>
      <c r="E12" s="287"/>
      <c r="F12" s="288"/>
      <c r="G12" s="51">
        <v>1</v>
      </c>
      <c r="H12" s="286" t="s">
        <v>166</v>
      </c>
      <c r="I12" s="289"/>
      <c r="J12" s="288"/>
      <c r="K12" s="51">
        <v>1</v>
      </c>
    </row>
    <row r="13" spans="4:11" s="52" customFormat="1" ht="16" hidden="1">
      <c r="D13" s="286" t="s">
        <v>122</v>
      </c>
      <c r="E13" s="287"/>
      <c r="F13" s="288"/>
      <c r="G13" s="51">
        <v>1</v>
      </c>
      <c r="H13" s="286" t="s">
        <v>135</v>
      </c>
      <c r="I13" s="289"/>
      <c r="J13" s="288"/>
      <c r="K13" s="51">
        <v>1</v>
      </c>
    </row>
    <row r="14" spans="4:11" s="52" customFormat="1" ht="16" hidden="1">
      <c r="D14" s="286" t="s">
        <v>151</v>
      </c>
      <c r="E14" s="287"/>
      <c r="F14" s="288"/>
      <c r="G14" s="51">
        <v>1</v>
      </c>
      <c r="H14" s="286" t="s">
        <v>167</v>
      </c>
      <c r="I14" s="289"/>
      <c r="J14" s="288"/>
      <c r="K14" s="51">
        <v>1</v>
      </c>
    </row>
    <row r="15" spans="4:11" s="52" customFormat="1" ht="16" hidden="1">
      <c r="D15" s="286" t="s">
        <v>152</v>
      </c>
      <c r="E15" s="287"/>
      <c r="F15" s="288"/>
      <c r="G15" s="51">
        <v>1</v>
      </c>
      <c r="H15" s="286" t="s">
        <v>168</v>
      </c>
      <c r="I15" s="289"/>
      <c r="J15" s="288"/>
      <c r="K15" s="51">
        <v>1</v>
      </c>
    </row>
    <row r="16" spans="4:11" s="52" customFormat="1" ht="16" hidden="1">
      <c r="D16" s="286" t="s">
        <v>153</v>
      </c>
      <c r="E16" s="287"/>
      <c r="F16" s="288"/>
      <c r="G16" s="51">
        <v>1</v>
      </c>
      <c r="H16" s="286" t="s">
        <v>169</v>
      </c>
      <c r="I16" s="289"/>
      <c r="J16" s="288"/>
      <c r="K16" s="51">
        <v>1</v>
      </c>
    </row>
    <row r="17" spans="1:11" s="52" customFormat="1" ht="16" hidden="1">
      <c r="D17" s="286" t="s">
        <v>154</v>
      </c>
      <c r="E17" s="287"/>
      <c r="F17" s="288"/>
      <c r="G17" s="51">
        <v>1</v>
      </c>
      <c r="H17" s="286" t="s">
        <v>170</v>
      </c>
      <c r="I17" s="289"/>
      <c r="J17" s="288"/>
      <c r="K17" s="51">
        <v>1</v>
      </c>
    </row>
    <row r="18" spans="1:11" s="52" customFormat="1" ht="16" hidden="1">
      <c r="D18" s="286" t="s">
        <v>126</v>
      </c>
      <c r="E18" s="287"/>
      <c r="F18" s="288"/>
      <c r="G18" s="51">
        <v>1</v>
      </c>
      <c r="H18" s="286" t="s">
        <v>137</v>
      </c>
      <c r="I18" s="289"/>
      <c r="J18" s="288"/>
      <c r="K18" s="51">
        <v>1</v>
      </c>
    </row>
    <row r="19" spans="1:11" s="52" customFormat="1" ht="16" hidden="1">
      <c r="D19" s="286" t="s">
        <v>155</v>
      </c>
      <c r="E19" s="287"/>
      <c r="F19" s="288"/>
      <c r="G19" s="51">
        <v>1</v>
      </c>
      <c r="H19" s="286" t="s">
        <v>171</v>
      </c>
      <c r="I19" s="289"/>
      <c r="J19" s="288"/>
      <c r="K19" s="51">
        <v>1</v>
      </c>
    </row>
    <row r="20" spans="1:11" s="52" customFormat="1" ht="16" hidden="1">
      <c r="D20" s="286" t="s">
        <v>156</v>
      </c>
      <c r="E20" s="287"/>
      <c r="F20" s="288"/>
      <c r="G20" s="51">
        <v>1</v>
      </c>
      <c r="H20" s="286" t="s">
        <v>172</v>
      </c>
      <c r="I20" s="289"/>
      <c r="J20" s="288"/>
      <c r="K20" s="51">
        <v>1</v>
      </c>
    </row>
    <row r="21" spans="1:11" s="52" customFormat="1" ht="16" hidden="1">
      <c r="D21" s="286" t="s">
        <v>157</v>
      </c>
      <c r="E21" s="287"/>
      <c r="F21" s="288"/>
      <c r="G21" s="51">
        <v>1</v>
      </c>
      <c r="H21" s="286" t="s">
        <v>173</v>
      </c>
      <c r="I21" s="289"/>
      <c r="J21" s="288"/>
      <c r="K21" s="51">
        <v>1</v>
      </c>
    </row>
    <row r="22" spans="1:11" s="52" customFormat="1" ht="16" hidden="1">
      <c r="D22" s="286" t="s">
        <v>158</v>
      </c>
      <c r="E22" s="287"/>
      <c r="F22" s="288"/>
      <c r="G22" s="51">
        <v>1</v>
      </c>
      <c r="H22" s="286" t="s">
        <v>174</v>
      </c>
      <c r="I22" s="289"/>
      <c r="J22" s="288"/>
      <c r="K22" s="51">
        <v>1</v>
      </c>
    </row>
    <row r="23" spans="1:11" s="52" customFormat="1" ht="16" hidden="1">
      <c r="D23" s="286" t="s">
        <v>127</v>
      </c>
      <c r="E23" s="287"/>
      <c r="F23" s="288"/>
      <c r="G23" s="51">
        <v>1</v>
      </c>
      <c r="H23" s="286" t="s">
        <v>139</v>
      </c>
      <c r="I23" s="289"/>
      <c r="J23" s="288"/>
      <c r="K23" s="51">
        <v>1</v>
      </c>
    </row>
    <row r="24" spans="1:11">
      <c r="H24" s="261" t="s">
        <v>265</v>
      </c>
      <c r="I24" s="292"/>
      <c r="J24" s="263"/>
      <c r="K24" s="2" cm="1">
        <f t="array" ref="K24">SUM(G4:G23+K4:K23)</f>
        <v>40</v>
      </c>
    </row>
    <row r="25" spans="1:11" ht="17.5" thickBot="1"/>
    <row r="26" spans="1:11">
      <c r="A26" s="23" t="s">
        <v>80</v>
      </c>
      <c r="B26" s="21" t="s">
        <v>0</v>
      </c>
      <c r="C26" s="11" t="s">
        <v>142</v>
      </c>
      <c r="D26" s="11" t="s">
        <v>103</v>
      </c>
      <c r="E26" s="11" t="s">
        <v>104</v>
      </c>
      <c r="F26" s="11" t="s">
        <v>83</v>
      </c>
      <c r="G26" s="11" t="s">
        <v>84</v>
      </c>
      <c r="H26" s="11" t="s">
        <v>254</v>
      </c>
      <c r="I26" s="103" t="s">
        <v>267</v>
      </c>
      <c r="J26" s="103" t="s">
        <v>266</v>
      </c>
      <c r="K26" s="12" t="s">
        <v>79</v>
      </c>
    </row>
    <row r="27" spans="1:11">
      <c r="A27" s="23">
        <v>1</v>
      </c>
      <c r="B27" s="25" t="s">
        <v>54</v>
      </c>
      <c r="C27" s="13" t="s">
        <v>51</v>
      </c>
      <c r="D27" s="13" t="s">
        <v>51</v>
      </c>
      <c r="E27" s="13" t="s">
        <v>584</v>
      </c>
      <c r="F27" s="13">
        <v>1</v>
      </c>
      <c r="G27" s="13" t="s">
        <v>867</v>
      </c>
      <c r="H27" s="13"/>
      <c r="I27" s="60"/>
      <c r="J27" s="60"/>
      <c r="K27" s="16" t="s">
        <v>247</v>
      </c>
    </row>
    <row r="28" spans="1:11">
      <c r="A28" s="23">
        <v>2</v>
      </c>
      <c r="B28" s="25" t="s">
        <v>55</v>
      </c>
      <c r="C28" s="13" t="s">
        <v>52</v>
      </c>
      <c r="D28" s="13" t="s">
        <v>52</v>
      </c>
      <c r="E28" s="13" t="s">
        <v>585</v>
      </c>
      <c r="F28" s="13">
        <v>1</v>
      </c>
      <c r="G28" s="13" t="s">
        <v>867</v>
      </c>
      <c r="H28" s="13"/>
      <c r="I28" s="60"/>
      <c r="J28" s="60"/>
      <c r="K28" s="16" t="s">
        <v>248</v>
      </c>
    </row>
    <row r="29" spans="1:11" ht="17.5" thickBot="1">
      <c r="A29" s="24">
        <v>3</v>
      </c>
      <c r="B29" s="26" t="s">
        <v>56</v>
      </c>
      <c r="C29" s="9" t="s">
        <v>53</v>
      </c>
      <c r="D29" s="9" t="s">
        <v>53</v>
      </c>
      <c r="E29" s="9" t="s">
        <v>586</v>
      </c>
      <c r="F29" s="9">
        <v>1</v>
      </c>
      <c r="G29" s="9" t="s">
        <v>867</v>
      </c>
      <c r="H29" s="9"/>
      <c r="I29" s="105"/>
      <c r="J29" s="105"/>
      <c r="K29" s="14" t="s">
        <v>249</v>
      </c>
    </row>
    <row r="30" spans="1:11">
      <c r="A30" s="291">
        <v>4</v>
      </c>
      <c r="B30" s="27" t="s">
        <v>57</v>
      </c>
      <c r="C30" s="10" t="s">
        <v>141</v>
      </c>
      <c r="D30" s="10" t="s">
        <v>105</v>
      </c>
      <c r="E30" s="10" t="s">
        <v>522</v>
      </c>
      <c r="F30" s="10">
        <v>1</v>
      </c>
      <c r="G30" s="10" t="s">
        <v>560</v>
      </c>
      <c r="H30" s="13">
        <f>$G$4*F30</f>
        <v>1</v>
      </c>
      <c r="I30" s="56">
        <v>63000</v>
      </c>
      <c r="J30" s="56">
        <f>H30*I30</f>
        <v>63000</v>
      </c>
      <c r="K30" s="17"/>
    </row>
    <row r="31" spans="1:11">
      <c r="A31" s="290"/>
      <c r="B31" s="25" t="s">
        <v>57</v>
      </c>
      <c r="C31" s="13" t="s">
        <v>141</v>
      </c>
      <c r="D31" s="13" t="s">
        <v>495</v>
      </c>
      <c r="E31" s="13" t="s">
        <v>236</v>
      </c>
      <c r="F31" s="13">
        <v>1</v>
      </c>
      <c r="G31" s="13" t="s">
        <v>233</v>
      </c>
      <c r="H31" s="13">
        <f t="shared" ref="H31:H39" si="0">$G$4*F31</f>
        <v>1</v>
      </c>
      <c r="I31" s="60">
        <v>385000</v>
      </c>
      <c r="J31" s="56">
        <f t="shared" ref="J31:J94" si="1">H31*I31</f>
        <v>385000</v>
      </c>
      <c r="K31" s="16" t="s">
        <v>238</v>
      </c>
    </row>
    <row r="32" spans="1:11">
      <c r="A32" s="290"/>
      <c r="B32" s="25" t="s">
        <v>57</v>
      </c>
      <c r="C32" s="13" t="s">
        <v>141</v>
      </c>
      <c r="D32" s="13" t="s">
        <v>491</v>
      </c>
      <c r="E32" s="13" t="s">
        <v>601</v>
      </c>
      <c r="F32" s="13">
        <v>24</v>
      </c>
      <c r="G32" s="13" t="s">
        <v>251</v>
      </c>
      <c r="H32" s="13">
        <f t="shared" si="0"/>
        <v>24</v>
      </c>
      <c r="I32" s="60">
        <v>460</v>
      </c>
      <c r="J32" s="56">
        <f t="shared" si="1"/>
        <v>11040</v>
      </c>
      <c r="K32" s="16"/>
    </row>
    <row r="33" spans="1:12">
      <c r="A33" s="290"/>
      <c r="B33" s="25" t="s">
        <v>57</v>
      </c>
      <c r="C33" s="13" t="s">
        <v>141</v>
      </c>
      <c r="D33" s="13" t="s">
        <v>500</v>
      </c>
      <c r="E33" s="13" t="s">
        <v>376</v>
      </c>
      <c r="F33" s="13">
        <v>1</v>
      </c>
      <c r="G33" s="13" t="s">
        <v>233</v>
      </c>
      <c r="H33" s="13">
        <f t="shared" si="0"/>
        <v>1</v>
      </c>
      <c r="I33" s="60">
        <v>0</v>
      </c>
      <c r="J33" s="56">
        <f t="shared" si="1"/>
        <v>0</v>
      </c>
      <c r="K33" s="16"/>
    </row>
    <row r="34" spans="1:12">
      <c r="A34" s="290"/>
      <c r="B34" s="25" t="s">
        <v>57</v>
      </c>
      <c r="C34" s="13" t="s">
        <v>141</v>
      </c>
      <c r="D34" s="13" t="s">
        <v>503</v>
      </c>
      <c r="E34" s="13" t="s">
        <v>109</v>
      </c>
      <c r="F34" s="13">
        <v>1</v>
      </c>
      <c r="G34" s="13" t="s">
        <v>233</v>
      </c>
      <c r="H34" s="13">
        <f t="shared" si="0"/>
        <v>1</v>
      </c>
      <c r="I34" s="60">
        <v>0</v>
      </c>
      <c r="J34" s="56">
        <f t="shared" si="1"/>
        <v>0</v>
      </c>
      <c r="K34" s="16" t="s">
        <v>252</v>
      </c>
    </row>
    <row r="35" spans="1:12">
      <c r="A35" s="290"/>
      <c r="B35" s="25" t="s">
        <v>57</v>
      </c>
      <c r="C35" s="13" t="s">
        <v>141</v>
      </c>
      <c r="D35" s="13" t="s">
        <v>508</v>
      </c>
      <c r="E35" s="13" t="s">
        <v>377</v>
      </c>
      <c r="F35" s="13">
        <v>1</v>
      </c>
      <c r="G35" s="13" t="s">
        <v>681</v>
      </c>
      <c r="H35" s="13">
        <f t="shared" si="0"/>
        <v>1</v>
      </c>
      <c r="I35" s="60">
        <v>2400</v>
      </c>
      <c r="J35" s="56">
        <f t="shared" si="1"/>
        <v>2400</v>
      </c>
      <c r="K35" s="16"/>
    </row>
    <row r="36" spans="1:12">
      <c r="A36" s="290"/>
      <c r="B36" s="25" t="s">
        <v>57</v>
      </c>
      <c r="C36" s="13" t="s">
        <v>141</v>
      </c>
      <c r="D36" s="13" t="s">
        <v>510</v>
      </c>
      <c r="E36" s="13" t="s">
        <v>619</v>
      </c>
      <c r="F36" s="13">
        <v>1</v>
      </c>
      <c r="G36" s="13" t="s">
        <v>233</v>
      </c>
      <c r="H36" s="13">
        <f t="shared" si="0"/>
        <v>1</v>
      </c>
      <c r="I36" s="60">
        <v>0</v>
      </c>
      <c r="J36" s="56">
        <f t="shared" si="1"/>
        <v>0</v>
      </c>
      <c r="K36" s="16"/>
    </row>
    <row r="37" spans="1:12">
      <c r="A37" s="290"/>
      <c r="B37" s="25" t="s">
        <v>57</v>
      </c>
      <c r="C37" s="13" t="s">
        <v>141</v>
      </c>
      <c r="D37" s="13" t="s">
        <v>513</v>
      </c>
      <c r="E37" s="13" t="s">
        <v>111</v>
      </c>
      <c r="F37" s="13">
        <v>1</v>
      </c>
      <c r="G37" s="13" t="s">
        <v>571</v>
      </c>
      <c r="H37" s="13">
        <f t="shared" si="0"/>
        <v>1</v>
      </c>
      <c r="I37" s="60">
        <v>1903</v>
      </c>
      <c r="J37" s="56">
        <f t="shared" si="1"/>
        <v>1903</v>
      </c>
      <c r="K37" s="16"/>
    </row>
    <row r="38" spans="1:12" ht="17.5" thickBot="1">
      <c r="A38" s="290"/>
      <c r="B38" s="25" t="s">
        <v>57</v>
      </c>
      <c r="C38" s="13" t="s">
        <v>141</v>
      </c>
      <c r="D38" s="13" t="s">
        <v>112</v>
      </c>
      <c r="E38" s="13" t="s">
        <v>112</v>
      </c>
      <c r="F38" s="13">
        <v>1</v>
      </c>
      <c r="G38" s="13" t="s">
        <v>235</v>
      </c>
      <c r="H38" s="13">
        <f t="shared" si="0"/>
        <v>1</v>
      </c>
      <c r="I38" s="60">
        <f>(24*2700)+200000</f>
        <v>264800</v>
      </c>
      <c r="J38" s="56">
        <f t="shared" si="1"/>
        <v>264800</v>
      </c>
      <c r="K38" s="16"/>
    </row>
    <row r="39" spans="1:12" ht="21.5" thickBot="1">
      <c r="A39" s="290"/>
      <c r="B39" s="29" t="s">
        <v>57</v>
      </c>
      <c r="C39" s="15" t="s">
        <v>141</v>
      </c>
      <c r="D39" s="15" t="s">
        <v>113</v>
      </c>
      <c r="E39" s="15" t="s">
        <v>113</v>
      </c>
      <c r="F39" s="15">
        <v>1</v>
      </c>
      <c r="G39" s="15" t="s">
        <v>240</v>
      </c>
      <c r="H39" s="15">
        <f t="shared" si="0"/>
        <v>1</v>
      </c>
      <c r="I39" s="55">
        <v>13400</v>
      </c>
      <c r="J39" s="79">
        <f t="shared" si="1"/>
        <v>13400</v>
      </c>
      <c r="K39" s="22"/>
      <c r="L39" s="106">
        <f>SUM(J30:J39)</f>
        <v>741543</v>
      </c>
    </row>
    <row r="40" spans="1:12">
      <c r="A40" s="290">
        <v>5</v>
      </c>
      <c r="B40" s="21" t="s">
        <v>57</v>
      </c>
      <c r="C40" s="11" t="s">
        <v>143</v>
      </c>
      <c r="D40" s="11" t="s">
        <v>105</v>
      </c>
      <c r="E40" s="11" t="s">
        <v>522</v>
      </c>
      <c r="F40" s="11">
        <v>1</v>
      </c>
      <c r="G40" s="11" t="s">
        <v>560</v>
      </c>
      <c r="H40" s="11">
        <f>$G$5*F40</f>
        <v>1</v>
      </c>
      <c r="I40" s="54">
        <v>63000</v>
      </c>
      <c r="J40" s="54">
        <f t="shared" si="1"/>
        <v>63000</v>
      </c>
      <c r="K40" s="12"/>
    </row>
    <row r="41" spans="1:12">
      <c r="A41" s="290"/>
      <c r="B41" s="25" t="s">
        <v>57</v>
      </c>
      <c r="C41" s="13" t="s">
        <v>143</v>
      </c>
      <c r="D41" s="13" t="s">
        <v>495</v>
      </c>
      <c r="E41" s="13" t="s">
        <v>236</v>
      </c>
      <c r="F41" s="13">
        <v>1</v>
      </c>
      <c r="G41" s="13" t="s">
        <v>233</v>
      </c>
      <c r="H41" s="13">
        <f t="shared" ref="H41:H49" si="2">$G$5*F41</f>
        <v>1</v>
      </c>
      <c r="I41" s="60">
        <v>385000</v>
      </c>
      <c r="J41" s="56">
        <f t="shared" si="1"/>
        <v>385000</v>
      </c>
      <c r="K41" s="16"/>
    </row>
    <row r="42" spans="1:12">
      <c r="A42" s="290"/>
      <c r="B42" s="25" t="s">
        <v>57</v>
      </c>
      <c r="C42" s="13" t="s">
        <v>143</v>
      </c>
      <c r="D42" s="13" t="s">
        <v>492</v>
      </c>
      <c r="E42" s="13" t="s">
        <v>114</v>
      </c>
      <c r="F42" s="13">
        <v>24</v>
      </c>
      <c r="G42" s="13" t="s">
        <v>251</v>
      </c>
      <c r="H42" s="13">
        <f t="shared" si="2"/>
        <v>24</v>
      </c>
      <c r="I42" s="60">
        <v>460</v>
      </c>
      <c r="J42" s="56">
        <f t="shared" si="1"/>
        <v>11040</v>
      </c>
      <c r="K42" s="16"/>
    </row>
    <row r="43" spans="1:12">
      <c r="A43" s="290"/>
      <c r="B43" s="25" t="s">
        <v>57</v>
      </c>
      <c r="C43" s="13" t="s">
        <v>143</v>
      </c>
      <c r="D43" s="13" t="s">
        <v>500</v>
      </c>
      <c r="E43" s="13" t="s">
        <v>108</v>
      </c>
      <c r="F43" s="13">
        <v>1</v>
      </c>
      <c r="G43" s="13" t="s">
        <v>233</v>
      </c>
      <c r="H43" s="13">
        <f t="shared" si="2"/>
        <v>1</v>
      </c>
      <c r="I43" s="60">
        <v>0</v>
      </c>
      <c r="J43" s="56">
        <f t="shared" si="1"/>
        <v>0</v>
      </c>
      <c r="K43" s="16"/>
    </row>
    <row r="44" spans="1:12">
      <c r="A44" s="290"/>
      <c r="B44" s="25" t="s">
        <v>57</v>
      </c>
      <c r="C44" s="13" t="s">
        <v>143</v>
      </c>
      <c r="D44" s="13" t="s">
        <v>503</v>
      </c>
      <c r="E44" s="13" t="s">
        <v>597</v>
      </c>
      <c r="F44" s="13">
        <v>1</v>
      </c>
      <c r="G44" s="13" t="s">
        <v>233</v>
      </c>
      <c r="H44" s="13">
        <f t="shared" si="2"/>
        <v>1</v>
      </c>
      <c r="I44" s="60">
        <v>0</v>
      </c>
      <c r="J44" s="56">
        <f t="shared" si="1"/>
        <v>0</v>
      </c>
      <c r="K44" s="16" t="s">
        <v>252</v>
      </c>
    </row>
    <row r="45" spans="1:12">
      <c r="A45" s="290"/>
      <c r="B45" s="25" t="s">
        <v>57</v>
      </c>
      <c r="C45" s="13" t="s">
        <v>143</v>
      </c>
      <c r="D45" s="13" t="s">
        <v>508</v>
      </c>
      <c r="E45" s="13" t="s">
        <v>110</v>
      </c>
      <c r="F45" s="13">
        <v>1</v>
      </c>
      <c r="G45" s="13" t="s">
        <v>681</v>
      </c>
      <c r="H45" s="13">
        <f t="shared" si="2"/>
        <v>1</v>
      </c>
      <c r="I45" s="60">
        <v>2400</v>
      </c>
      <c r="J45" s="56">
        <f t="shared" si="1"/>
        <v>2400</v>
      </c>
      <c r="K45" s="16"/>
    </row>
    <row r="46" spans="1:12">
      <c r="A46" s="290"/>
      <c r="B46" s="25" t="s">
        <v>57</v>
      </c>
      <c r="C46" s="13" t="s">
        <v>143</v>
      </c>
      <c r="D46" s="13" t="s">
        <v>510</v>
      </c>
      <c r="E46" s="13" t="s">
        <v>619</v>
      </c>
      <c r="F46" s="13">
        <v>1</v>
      </c>
      <c r="G46" s="13" t="s">
        <v>233</v>
      </c>
      <c r="H46" s="13">
        <f t="shared" si="2"/>
        <v>1</v>
      </c>
      <c r="I46" s="60">
        <v>0</v>
      </c>
      <c r="J46" s="56">
        <f t="shared" si="1"/>
        <v>0</v>
      </c>
      <c r="K46" s="16"/>
    </row>
    <row r="47" spans="1:12">
      <c r="A47" s="290"/>
      <c r="B47" s="25" t="s">
        <v>57</v>
      </c>
      <c r="C47" s="13" t="s">
        <v>143</v>
      </c>
      <c r="D47" s="13" t="s">
        <v>513</v>
      </c>
      <c r="E47" s="13" t="s">
        <v>111</v>
      </c>
      <c r="F47" s="13">
        <v>1</v>
      </c>
      <c r="G47" s="13" t="s">
        <v>571</v>
      </c>
      <c r="H47" s="13">
        <f t="shared" si="2"/>
        <v>1</v>
      </c>
      <c r="I47" s="60">
        <v>1903</v>
      </c>
      <c r="J47" s="56">
        <f t="shared" si="1"/>
        <v>1903</v>
      </c>
      <c r="K47" s="16"/>
    </row>
    <row r="48" spans="1:12" ht="17.5" thickBot="1">
      <c r="A48" s="290"/>
      <c r="B48" s="25" t="s">
        <v>57</v>
      </c>
      <c r="C48" s="13" t="s">
        <v>143</v>
      </c>
      <c r="D48" s="13" t="s">
        <v>551</v>
      </c>
      <c r="E48" s="13" t="s">
        <v>112</v>
      </c>
      <c r="F48" s="13">
        <v>1</v>
      </c>
      <c r="G48" s="13" t="s">
        <v>235</v>
      </c>
      <c r="H48" s="13">
        <f t="shared" si="2"/>
        <v>1</v>
      </c>
      <c r="I48" s="60">
        <f>(24*2700)+200000</f>
        <v>264800</v>
      </c>
      <c r="J48" s="56">
        <f t="shared" si="1"/>
        <v>264800</v>
      </c>
      <c r="K48" s="16"/>
    </row>
    <row r="49" spans="1:12" ht="21.5" thickBot="1">
      <c r="A49" s="290"/>
      <c r="B49" s="26" t="s">
        <v>57</v>
      </c>
      <c r="C49" s="9" t="s">
        <v>143</v>
      </c>
      <c r="D49" s="9" t="s">
        <v>113</v>
      </c>
      <c r="E49" s="9" t="s">
        <v>113</v>
      </c>
      <c r="F49" s="9">
        <v>1</v>
      </c>
      <c r="G49" s="9" t="s">
        <v>240</v>
      </c>
      <c r="H49" s="9">
        <f t="shared" si="2"/>
        <v>1</v>
      </c>
      <c r="I49" s="105">
        <v>13400</v>
      </c>
      <c r="J49" s="78">
        <f t="shared" si="1"/>
        <v>13400</v>
      </c>
      <c r="K49" s="14"/>
      <c r="L49" s="106">
        <f>SUM(J40:J49)</f>
        <v>741543</v>
      </c>
    </row>
    <row r="50" spans="1:12">
      <c r="A50" s="290">
        <v>6</v>
      </c>
      <c r="B50" s="21" t="s">
        <v>57</v>
      </c>
      <c r="C50" s="11" t="s">
        <v>145</v>
      </c>
      <c r="D50" s="11" t="s">
        <v>105</v>
      </c>
      <c r="E50" s="11" t="s">
        <v>522</v>
      </c>
      <c r="F50" s="11">
        <v>1</v>
      </c>
      <c r="G50" s="11" t="s">
        <v>560</v>
      </c>
      <c r="H50" s="11">
        <f>$G$6*F50</f>
        <v>1</v>
      </c>
      <c r="I50" s="54">
        <v>63000</v>
      </c>
      <c r="J50" s="54">
        <f t="shared" si="1"/>
        <v>63000</v>
      </c>
      <c r="K50" s="12"/>
    </row>
    <row r="51" spans="1:12">
      <c r="A51" s="290"/>
      <c r="B51" s="25" t="s">
        <v>57</v>
      </c>
      <c r="C51" s="13" t="s">
        <v>145</v>
      </c>
      <c r="D51" s="13" t="s">
        <v>495</v>
      </c>
      <c r="E51" s="13" t="s">
        <v>106</v>
      </c>
      <c r="F51" s="13">
        <v>1</v>
      </c>
      <c r="G51" s="13" t="s">
        <v>233</v>
      </c>
      <c r="H51" s="13">
        <f t="shared" ref="H51:H59" si="3">$G$6*F51</f>
        <v>1</v>
      </c>
      <c r="I51" s="60">
        <v>385000</v>
      </c>
      <c r="J51" s="56">
        <f t="shared" si="1"/>
        <v>385000</v>
      </c>
      <c r="K51" s="16"/>
    </row>
    <row r="52" spans="1:12">
      <c r="A52" s="290"/>
      <c r="B52" s="25" t="s">
        <v>57</v>
      </c>
      <c r="C52" s="13" t="s">
        <v>145</v>
      </c>
      <c r="D52" s="13" t="s">
        <v>493</v>
      </c>
      <c r="E52" s="13" t="s">
        <v>115</v>
      </c>
      <c r="F52" s="13">
        <v>24</v>
      </c>
      <c r="G52" s="13" t="s">
        <v>251</v>
      </c>
      <c r="H52" s="13">
        <f t="shared" si="3"/>
        <v>24</v>
      </c>
      <c r="I52" s="60">
        <v>460</v>
      </c>
      <c r="J52" s="56">
        <f t="shared" si="1"/>
        <v>11040</v>
      </c>
      <c r="K52" s="16"/>
    </row>
    <row r="53" spans="1:12">
      <c r="A53" s="290"/>
      <c r="B53" s="25" t="s">
        <v>57</v>
      </c>
      <c r="C53" s="13" t="s">
        <v>145</v>
      </c>
      <c r="D53" s="13" t="s">
        <v>500</v>
      </c>
      <c r="E53" s="13" t="s">
        <v>108</v>
      </c>
      <c r="F53" s="13">
        <v>1</v>
      </c>
      <c r="G53" s="13" t="s">
        <v>233</v>
      </c>
      <c r="H53" s="13">
        <f t="shared" si="3"/>
        <v>1</v>
      </c>
      <c r="I53" s="60">
        <v>0</v>
      </c>
      <c r="J53" s="56">
        <f t="shared" si="1"/>
        <v>0</v>
      </c>
      <c r="K53" s="16"/>
    </row>
    <row r="54" spans="1:12">
      <c r="A54" s="290"/>
      <c r="B54" s="25" t="s">
        <v>57</v>
      </c>
      <c r="C54" s="13" t="s">
        <v>145</v>
      </c>
      <c r="D54" s="13" t="s">
        <v>503</v>
      </c>
      <c r="E54" s="13" t="s">
        <v>109</v>
      </c>
      <c r="F54" s="13">
        <v>1</v>
      </c>
      <c r="G54" s="13" t="s">
        <v>233</v>
      </c>
      <c r="H54" s="13">
        <f t="shared" si="3"/>
        <v>1</v>
      </c>
      <c r="I54" s="60">
        <v>0</v>
      </c>
      <c r="J54" s="56">
        <f t="shared" si="1"/>
        <v>0</v>
      </c>
      <c r="K54" s="16" t="s">
        <v>252</v>
      </c>
    </row>
    <row r="55" spans="1:12">
      <c r="A55" s="290"/>
      <c r="B55" s="25" t="s">
        <v>57</v>
      </c>
      <c r="C55" s="13" t="s">
        <v>145</v>
      </c>
      <c r="D55" s="13" t="s">
        <v>508</v>
      </c>
      <c r="E55" s="13" t="s">
        <v>110</v>
      </c>
      <c r="F55" s="13">
        <v>1</v>
      </c>
      <c r="G55" s="13" t="s">
        <v>681</v>
      </c>
      <c r="H55" s="13">
        <f t="shared" si="3"/>
        <v>1</v>
      </c>
      <c r="I55" s="60">
        <v>2400</v>
      </c>
      <c r="J55" s="56">
        <f t="shared" si="1"/>
        <v>2400</v>
      </c>
      <c r="K55" s="16"/>
    </row>
    <row r="56" spans="1:12">
      <c r="A56" s="290"/>
      <c r="B56" s="25" t="s">
        <v>57</v>
      </c>
      <c r="C56" s="13" t="s">
        <v>145</v>
      </c>
      <c r="D56" s="13" t="s">
        <v>510</v>
      </c>
      <c r="E56" s="13" t="s">
        <v>619</v>
      </c>
      <c r="F56" s="13">
        <v>1</v>
      </c>
      <c r="G56" s="13" t="s">
        <v>233</v>
      </c>
      <c r="H56" s="13">
        <f t="shared" si="3"/>
        <v>1</v>
      </c>
      <c r="I56" s="60">
        <v>0</v>
      </c>
      <c r="J56" s="56">
        <f t="shared" si="1"/>
        <v>0</v>
      </c>
      <c r="K56" s="16"/>
    </row>
    <row r="57" spans="1:12">
      <c r="A57" s="290"/>
      <c r="B57" s="25" t="s">
        <v>57</v>
      </c>
      <c r="C57" s="13" t="s">
        <v>145</v>
      </c>
      <c r="D57" s="13" t="s">
        <v>513</v>
      </c>
      <c r="E57" s="13" t="s">
        <v>111</v>
      </c>
      <c r="F57" s="13">
        <v>1</v>
      </c>
      <c r="G57" s="13" t="s">
        <v>571</v>
      </c>
      <c r="H57" s="13">
        <f t="shared" si="3"/>
        <v>1</v>
      </c>
      <c r="I57" s="60">
        <v>1903</v>
      </c>
      <c r="J57" s="56">
        <f t="shared" si="1"/>
        <v>1903</v>
      </c>
      <c r="K57" s="16"/>
    </row>
    <row r="58" spans="1:12" ht="17.5" thickBot="1">
      <c r="A58" s="290"/>
      <c r="B58" s="25" t="s">
        <v>57</v>
      </c>
      <c r="C58" s="13" t="s">
        <v>145</v>
      </c>
      <c r="D58" s="13" t="s">
        <v>112</v>
      </c>
      <c r="E58" s="13" t="s">
        <v>112</v>
      </c>
      <c r="F58" s="13">
        <v>1</v>
      </c>
      <c r="G58" s="13" t="s">
        <v>235</v>
      </c>
      <c r="H58" s="13">
        <f t="shared" si="3"/>
        <v>1</v>
      </c>
      <c r="I58" s="60">
        <f>(24*2700)+200000</f>
        <v>264800</v>
      </c>
      <c r="J58" s="56">
        <f t="shared" si="1"/>
        <v>264800</v>
      </c>
      <c r="K58" s="16"/>
    </row>
    <row r="59" spans="1:12" ht="21.5" thickBot="1">
      <c r="A59" s="290"/>
      <c r="B59" s="26" t="s">
        <v>57</v>
      </c>
      <c r="C59" s="9" t="s">
        <v>145</v>
      </c>
      <c r="D59" s="9" t="s">
        <v>113</v>
      </c>
      <c r="E59" s="9" t="s">
        <v>113</v>
      </c>
      <c r="F59" s="9">
        <v>1</v>
      </c>
      <c r="G59" s="9" t="s">
        <v>240</v>
      </c>
      <c r="H59" s="9">
        <f t="shared" si="3"/>
        <v>1</v>
      </c>
      <c r="I59" s="105">
        <v>13400</v>
      </c>
      <c r="J59" s="78">
        <f t="shared" si="1"/>
        <v>13400</v>
      </c>
      <c r="K59" s="14"/>
      <c r="L59" s="106">
        <f>SUM(J50:J59)</f>
        <v>741543</v>
      </c>
    </row>
    <row r="60" spans="1:12">
      <c r="A60" s="290">
        <v>7</v>
      </c>
      <c r="B60" s="27" t="s">
        <v>57</v>
      </c>
      <c r="C60" s="10" t="s">
        <v>146</v>
      </c>
      <c r="D60" s="10" t="s">
        <v>105</v>
      </c>
      <c r="E60" s="10" t="s">
        <v>522</v>
      </c>
      <c r="F60" s="10">
        <v>1</v>
      </c>
      <c r="G60" s="10" t="s">
        <v>560</v>
      </c>
      <c r="H60" s="10">
        <f>$G$7*F60</f>
        <v>1</v>
      </c>
      <c r="I60" s="56">
        <v>63000</v>
      </c>
      <c r="J60" s="56">
        <f t="shared" si="1"/>
        <v>63000</v>
      </c>
      <c r="K60" s="17"/>
    </row>
    <row r="61" spans="1:12">
      <c r="A61" s="290"/>
      <c r="B61" s="25" t="s">
        <v>57</v>
      </c>
      <c r="C61" s="13" t="s">
        <v>146</v>
      </c>
      <c r="D61" s="13" t="s">
        <v>495</v>
      </c>
      <c r="E61" s="13" t="s">
        <v>106</v>
      </c>
      <c r="F61" s="13">
        <v>1</v>
      </c>
      <c r="G61" s="13" t="s">
        <v>233</v>
      </c>
      <c r="H61" s="13">
        <f t="shared" ref="H61:H69" si="4">$G$7*F61</f>
        <v>1</v>
      </c>
      <c r="I61" s="60">
        <v>385000</v>
      </c>
      <c r="J61" s="56">
        <f t="shared" si="1"/>
        <v>385000</v>
      </c>
      <c r="K61" s="16"/>
    </row>
    <row r="62" spans="1:12">
      <c r="A62" s="290"/>
      <c r="B62" s="25" t="s">
        <v>57</v>
      </c>
      <c r="C62" s="13" t="s">
        <v>146</v>
      </c>
      <c r="D62" s="13" t="s">
        <v>494</v>
      </c>
      <c r="E62" s="13" t="s">
        <v>116</v>
      </c>
      <c r="F62" s="13">
        <v>24</v>
      </c>
      <c r="G62" s="13" t="s">
        <v>251</v>
      </c>
      <c r="H62" s="13">
        <f t="shared" si="4"/>
        <v>24</v>
      </c>
      <c r="I62" s="60">
        <v>460</v>
      </c>
      <c r="J62" s="56">
        <f t="shared" si="1"/>
        <v>11040</v>
      </c>
      <c r="K62" s="16"/>
    </row>
    <row r="63" spans="1:12">
      <c r="A63" s="290"/>
      <c r="B63" s="25" t="s">
        <v>57</v>
      </c>
      <c r="C63" s="13" t="s">
        <v>146</v>
      </c>
      <c r="D63" s="13" t="s">
        <v>500</v>
      </c>
      <c r="E63" s="13" t="s">
        <v>108</v>
      </c>
      <c r="F63" s="13">
        <v>1</v>
      </c>
      <c r="G63" s="13" t="s">
        <v>233</v>
      </c>
      <c r="H63" s="13">
        <f t="shared" si="4"/>
        <v>1</v>
      </c>
      <c r="I63" s="60">
        <v>0</v>
      </c>
      <c r="J63" s="56">
        <f t="shared" si="1"/>
        <v>0</v>
      </c>
      <c r="K63" s="16"/>
    </row>
    <row r="64" spans="1:12">
      <c r="A64" s="290"/>
      <c r="B64" s="25" t="s">
        <v>57</v>
      </c>
      <c r="C64" s="13" t="s">
        <v>146</v>
      </c>
      <c r="D64" s="13" t="s">
        <v>503</v>
      </c>
      <c r="E64" s="13" t="s">
        <v>109</v>
      </c>
      <c r="F64" s="13">
        <v>1</v>
      </c>
      <c r="G64" s="13" t="s">
        <v>233</v>
      </c>
      <c r="H64" s="13">
        <f t="shared" si="4"/>
        <v>1</v>
      </c>
      <c r="I64" s="60">
        <v>0</v>
      </c>
      <c r="J64" s="56">
        <f t="shared" si="1"/>
        <v>0</v>
      </c>
      <c r="K64" s="16" t="s">
        <v>252</v>
      </c>
    </row>
    <row r="65" spans="1:12">
      <c r="A65" s="290"/>
      <c r="B65" s="25" t="s">
        <v>57</v>
      </c>
      <c r="C65" s="13" t="s">
        <v>146</v>
      </c>
      <c r="D65" s="13" t="s">
        <v>508</v>
      </c>
      <c r="E65" s="13" t="s">
        <v>377</v>
      </c>
      <c r="F65" s="13">
        <v>1</v>
      </c>
      <c r="G65" s="13" t="s">
        <v>681</v>
      </c>
      <c r="H65" s="13">
        <f t="shared" si="4"/>
        <v>1</v>
      </c>
      <c r="I65" s="60">
        <v>2400</v>
      </c>
      <c r="J65" s="56">
        <f t="shared" si="1"/>
        <v>2400</v>
      </c>
      <c r="K65" s="16"/>
    </row>
    <row r="66" spans="1:12">
      <c r="A66" s="290"/>
      <c r="B66" s="25" t="s">
        <v>57</v>
      </c>
      <c r="C66" s="13" t="s">
        <v>146</v>
      </c>
      <c r="D66" s="13" t="s">
        <v>510</v>
      </c>
      <c r="E66" s="13" t="s">
        <v>619</v>
      </c>
      <c r="F66" s="13">
        <v>1</v>
      </c>
      <c r="G66" s="13" t="s">
        <v>233</v>
      </c>
      <c r="H66" s="13">
        <f t="shared" si="4"/>
        <v>1</v>
      </c>
      <c r="I66" s="60">
        <v>0</v>
      </c>
      <c r="J66" s="56">
        <f t="shared" si="1"/>
        <v>0</v>
      </c>
      <c r="K66" s="16"/>
    </row>
    <row r="67" spans="1:12">
      <c r="A67" s="290"/>
      <c r="B67" s="25" t="s">
        <v>57</v>
      </c>
      <c r="C67" s="13" t="s">
        <v>146</v>
      </c>
      <c r="D67" s="13" t="s">
        <v>513</v>
      </c>
      <c r="E67" s="13" t="s">
        <v>111</v>
      </c>
      <c r="F67" s="13">
        <v>1</v>
      </c>
      <c r="G67" s="13" t="s">
        <v>571</v>
      </c>
      <c r="H67" s="13">
        <f t="shared" si="4"/>
        <v>1</v>
      </c>
      <c r="I67" s="60">
        <v>1903</v>
      </c>
      <c r="J67" s="56">
        <f t="shared" si="1"/>
        <v>1903</v>
      </c>
      <c r="K67" s="16"/>
    </row>
    <row r="68" spans="1:12" ht="17.5" thickBot="1">
      <c r="A68" s="290"/>
      <c r="B68" s="25" t="s">
        <v>57</v>
      </c>
      <c r="C68" s="13" t="s">
        <v>146</v>
      </c>
      <c r="D68" s="13" t="s">
        <v>112</v>
      </c>
      <c r="E68" s="13" t="s">
        <v>112</v>
      </c>
      <c r="F68" s="13">
        <v>1</v>
      </c>
      <c r="G68" s="13" t="s">
        <v>235</v>
      </c>
      <c r="H68" s="13">
        <f t="shared" si="4"/>
        <v>1</v>
      </c>
      <c r="I68" s="60">
        <f>(24*2700)+200000</f>
        <v>264800</v>
      </c>
      <c r="J68" s="56">
        <f t="shared" si="1"/>
        <v>264800</v>
      </c>
      <c r="K68" s="16"/>
    </row>
    <row r="69" spans="1:12" ht="21.5" thickBot="1">
      <c r="A69" s="290"/>
      <c r="B69" s="29" t="s">
        <v>57</v>
      </c>
      <c r="C69" s="15" t="s">
        <v>146</v>
      </c>
      <c r="D69" s="15" t="s">
        <v>113</v>
      </c>
      <c r="E69" s="15" t="s">
        <v>113</v>
      </c>
      <c r="F69" s="15">
        <v>1</v>
      </c>
      <c r="G69" s="15" t="s">
        <v>240</v>
      </c>
      <c r="H69" s="15">
        <f t="shared" si="4"/>
        <v>1</v>
      </c>
      <c r="I69" s="55">
        <v>13400</v>
      </c>
      <c r="J69" s="79">
        <f t="shared" si="1"/>
        <v>13400</v>
      </c>
      <c r="K69" s="22"/>
      <c r="L69" s="106">
        <f>SUM(J60:J69)</f>
        <v>741543</v>
      </c>
    </row>
    <row r="70" spans="1:12">
      <c r="A70" s="290">
        <v>8</v>
      </c>
      <c r="B70" s="21" t="s">
        <v>57</v>
      </c>
      <c r="C70" s="11" t="s">
        <v>117</v>
      </c>
      <c r="D70" s="11" t="s">
        <v>105</v>
      </c>
      <c r="E70" s="11" t="s">
        <v>522</v>
      </c>
      <c r="F70" s="11">
        <v>1</v>
      </c>
      <c r="G70" s="11" t="s">
        <v>560</v>
      </c>
      <c r="H70" s="11">
        <f>$G$8*F70</f>
        <v>1</v>
      </c>
      <c r="I70" s="54">
        <v>63000</v>
      </c>
      <c r="J70" s="54">
        <f t="shared" si="1"/>
        <v>63000</v>
      </c>
      <c r="K70" s="12"/>
    </row>
    <row r="71" spans="1:12">
      <c r="A71" s="290"/>
      <c r="B71" s="25" t="s">
        <v>57</v>
      </c>
      <c r="C71" s="13" t="s">
        <v>117</v>
      </c>
      <c r="D71" s="13" t="s">
        <v>495</v>
      </c>
      <c r="E71" s="13" t="s">
        <v>106</v>
      </c>
      <c r="F71" s="13">
        <v>1</v>
      </c>
      <c r="G71" s="13" t="s">
        <v>233</v>
      </c>
      <c r="H71" s="13">
        <f t="shared" ref="H71:H78" si="5">$G$8*F71</f>
        <v>1</v>
      </c>
      <c r="I71" s="60">
        <v>385000</v>
      </c>
      <c r="J71" s="56">
        <f t="shared" si="1"/>
        <v>385000</v>
      </c>
      <c r="K71" s="16"/>
    </row>
    <row r="72" spans="1:12">
      <c r="A72" s="290"/>
      <c r="B72" s="25" t="s">
        <v>57</v>
      </c>
      <c r="C72" s="13" t="s">
        <v>117</v>
      </c>
      <c r="D72" s="13" t="s">
        <v>500</v>
      </c>
      <c r="E72" s="13" t="s">
        <v>108</v>
      </c>
      <c r="F72" s="13">
        <v>1</v>
      </c>
      <c r="G72" s="13" t="s">
        <v>233</v>
      </c>
      <c r="H72" s="13">
        <f t="shared" si="5"/>
        <v>1</v>
      </c>
      <c r="I72" s="60">
        <v>0</v>
      </c>
      <c r="J72" s="56">
        <f t="shared" si="1"/>
        <v>0</v>
      </c>
      <c r="K72" s="16"/>
    </row>
    <row r="73" spans="1:12">
      <c r="A73" s="290"/>
      <c r="B73" s="25" t="s">
        <v>57</v>
      </c>
      <c r="C73" s="13" t="s">
        <v>117</v>
      </c>
      <c r="D73" s="13" t="s">
        <v>503</v>
      </c>
      <c r="E73" s="13" t="s">
        <v>109</v>
      </c>
      <c r="F73" s="13">
        <v>1</v>
      </c>
      <c r="G73" s="13" t="s">
        <v>233</v>
      </c>
      <c r="H73" s="13">
        <f t="shared" si="5"/>
        <v>1</v>
      </c>
      <c r="I73" s="60">
        <v>0</v>
      </c>
      <c r="J73" s="56">
        <f t="shared" si="1"/>
        <v>0</v>
      </c>
      <c r="K73" s="16" t="s">
        <v>252</v>
      </c>
    </row>
    <row r="74" spans="1:12">
      <c r="A74" s="290"/>
      <c r="B74" s="25" t="s">
        <v>57</v>
      </c>
      <c r="C74" s="13" t="s">
        <v>117</v>
      </c>
      <c r="D74" s="13" t="s">
        <v>508</v>
      </c>
      <c r="E74" s="13" t="s">
        <v>110</v>
      </c>
      <c r="F74" s="13">
        <v>1</v>
      </c>
      <c r="G74" s="13" t="s">
        <v>681</v>
      </c>
      <c r="H74" s="13">
        <f t="shared" si="5"/>
        <v>1</v>
      </c>
      <c r="I74" s="60">
        <v>2400</v>
      </c>
      <c r="J74" s="56">
        <f t="shared" si="1"/>
        <v>2400</v>
      </c>
      <c r="K74" s="16"/>
    </row>
    <row r="75" spans="1:12">
      <c r="A75" s="290"/>
      <c r="B75" s="25" t="s">
        <v>57</v>
      </c>
      <c r="C75" s="13" t="s">
        <v>117</v>
      </c>
      <c r="D75" s="13" t="s">
        <v>510</v>
      </c>
      <c r="E75" s="13" t="s">
        <v>619</v>
      </c>
      <c r="F75" s="13">
        <v>1</v>
      </c>
      <c r="G75" s="13" t="s">
        <v>233</v>
      </c>
      <c r="H75" s="13">
        <f t="shared" si="5"/>
        <v>1</v>
      </c>
      <c r="I75" s="60">
        <v>0</v>
      </c>
      <c r="J75" s="56">
        <f t="shared" si="1"/>
        <v>0</v>
      </c>
      <c r="K75" s="16"/>
    </row>
    <row r="76" spans="1:12">
      <c r="A76" s="290"/>
      <c r="B76" s="25" t="s">
        <v>57</v>
      </c>
      <c r="C76" s="13" t="s">
        <v>117</v>
      </c>
      <c r="D76" s="13" t="s">
        <v>513</v>
      </c>
      <c r="E76" s="13" t="s">
        <v>111</v>
      </c>
      <c r="F76" s="13">
        <v>1</v>
      </c>
      <c r="G76" s="13" t="s">
        <v>571</v>
      </c>
      <c r="H76" s="13">
        <f t="shared" si="5"/>
        <v>1</v>
      </c>
      <c r="I76" s="60">
        <v>1903</v>
      </c>
      <c r="J76" s="56">
        <f t="shared" si="1"/>
        <v>1903</v>
      </c>
      <c r="K76" s="16"/>
    </row>
    <row r="77" spans="1:12" ht="17.5" thickBot="1">
      <c r="A77" s="290"/>
      <c r="B77" s="25" t="s">
        <v>57</v>
      </c>
      <c r="C77" s="13" t="s">
        <v>117</v>
      </c>
      <c r="D77" s="13" t="s">
        <v>551</v>
      </c>
      <c r="E77" s="13" t="s">
        <v>112</v>
      </c>
      <c r="F77" s="13">
        <v>1</v>
      </c>
      <c r="G77" s="13" t="s">
        <v>235</v>
      </c>
      <c r="H77" s="13">
        <f t="shared" si="5"/>
        <v>1</v>
      </c>
      <c r="I77" s="60">
        <f>(24*2700)+200000</f>
        <v>264800</v>
      </c>
      <c r="J77" s="56">
        <f t="shared" si="1"/>
        <v>264800</v>
      </c>
      <c r="K77" s="16"/>
    </row>
    <row r="78" spans="1:12" ht="21.5" thickBot="1">
      <c r="A78" s="290"/>
      <c r="B78" s="26" t="s">
        <v>57</v>
      </c>
      <c r="C78" s="9" t="s">
        <v>117</v>
      </c>
      <c r="D78" s="9" t="s">
        <v>113</v>
      </c>
      <c r="E78" s="9" t="s">
        <v>113</v>
      </c>
      <c r="F78" s="9">
        <v>1</v>
      </c>
      <c r="G78" s="9" t="s">
        <v>240</v>
      </c>
      <c r="H78" s="9">
        <f t="shared" si="5"/>
        <v>1</v>
      </c>
      <c r="I78" s="105">
        <v>13400</v>
      </c>
      <c r="J78" s="78">
        <f t="shared" si="1"/>
        <v>13400</v>
      </c>
      <c r="K78" s="14"/>
      <c r="L78" s="106">
        <f>SUM(J70:J78)</f>
        <v>730503</v>
      </c>
    </row>
    <row r="79" spans="1:12">
      <c r="A79" s="290">
        <v>9</v>
      </c>
      <c r="B79" s="27" t="s">
        <v>58</v>
      </c>
      <c r="C79" s="10" t="s">
        <v>147</v>
      </c>
      <c r="D79" s="10" t="s">
        <v>118</v>
      </c>
      <c r="E79" s="10" t="s">
        <v>522</v>
      </c>
      <c r="F79" s="10">
        <v>1</v>
      </c>
      <c r="G79" s="10" t="s">
        <v>560</v>
      </c>
      <c r="H79" s="10">
        <f>$G$9*F79</f>
        <v>1</v>
      </c>
      <c r="I79" s="56">
        <v>88000</v>
      </c>
      <c r="J79" s="56">
        <f t="shared" si="1"/>
        <v>88000</v>
      </c>
      <c r="K79" s="17"/>
    </row>
    <row r="80" spans="1:12">
      <c r="A80" s="290"/>
      <c r="B80" s="25" t="s">
        <v>58</v>
      </c>
      <c r="C80" s="13" t="s">
        <v>147</v>
      </c>
      <c r="D80" s="13" t="s">
        <v>496</v>
      </c>
      <c r="E80" s="13" t="s">
        <v>587</v>
      </c>
      <c r="F80" s="13">
        <v>1</v>
      </c>
      <c r="G80" s="13" t="s">
        <v>233</v>
      </c>
      <c r="H80" s="13">
        <f t="shared" ref="H80:H88" si="6">$G$9*F80</f>
        <v>1</v>
      </c>
      <c r="I80" s="60">
        <v>450000</v>
      </c>
      <c r="J80" s="56">
        <f t="shared" si="1"/>
        <v>450000</v>
      </c>
      <c r="K80" s="16"/>
    </row>
    <row r="81" spans="1:12">
      <c r="A81" s="290"/>
      <c r="B81" s="25" t="s">
        <v>58</v>
      </c>
      <c r="C81" s="13" t="s">
        <v>147</v>
      </c>
      <c r="D81" s="13" t="s">
        <v>491</v>
      </c>
      <c r="E81" s="13" t="s">
        <v>107</v>
      </c>
      <c r="F81" s="13">
        <v>36</v>
      </c>
      <c r="G81" s="13" t="s">
        <v>251</v>
      </c>
      <c r="H81" s="13">
        <f t="shared" si="6"/>
        <v>36</v>
      </c>
      <c r="I81" s="60">
        <v>460</v>
      </c>
      <c r="J81" s="56">
        <f t="shared" si="1"/>
        <v>16560</v>
      </c>
      <c r="K81" s="16"/>
    </row>
    <row r="82" spans="1:12">
      <c r="A82" s="290"/>
      <c r="B82" s="25" t="s">
        <v>58</v>
      </c>
      <c r="C82" s="13" t="s">
        <v>147</v>
      </c>
      <c r="D82" s="13" t="s">
        <v>500</v>
      </c>
      <c r="E82" s="13" t="s">
        <v>108</v>
      </c>
      <c r="F82" s="13">
        <v>1</v>
      </c>
      <c r="G82" s="13" t="s">
        <v>233</v>
      </c>
      <c r="H82" s="13">
        <f t="shared" si="6"/>
        <v>1</v>
      </c>
      <c r="I82" s="60">
        <v>0</v>
      </c>
      <c r="J82" s="56">
        <f t="shared" si="1"/>
        <v>0</v>
      </c>
      <c r="K82" s="16"/>
    </row>
    <row r="83" spans="1:12">
      <c r="A83" s="290"/>
      <c r="B83" s="25" t="s">
        <v>58</v>
      </c>
      <c r="C83" s="13" t="s">
        <v>147</v>
      </c>
      <c r="D83" s="13" t="s">
        <v>506</v>
      </c>
      <c r="E83" s="13" t="s">
        <v>507</v>
      </c>
      <c r="F83" s="13">
        <v>1</v>
      </c>
      <c r="G83" s="13" t="s">
        <v>233</v>
      </c>
      <c r="H83" s="13">
        <f t="shared" si="6"/>
        <v>1</v>
      </c>
      <c r="I83" s="60">
        <v>0</v>
      </c>
      <c r="J83" s="56">
        <f t="shared" si="1"/>
        <v>0</v>
      </c>
      <c r="K83" s="16" t="s">
        <v>253</v>
      </c>
    </row>
    <row r="84" spans="1:12">
      <c r="A84" s="290"/>
      <c r="B84" s="25" t="s">
        <v>58</v>
      </c>
      <c r="C84" s="13" t="s">
        <v>147</v>
      </c>
      <c r="D84" s="13" t="s">
        <v>508</v>
      </c>
      <c r="E84" s="13" t="s">
        <v>110</v>
      </c>
      <c r="F84" s="13">
        <v>1</v>
      </c>
      <c r="G84" s="13" t="s">
        <v>681</v>
      </c>
      <c r="H84" s="13">
        <f t="shared" si="6"/>
        <v>1</v>
      </c>
      <c r="I84" s="60">
        <v>2400</v>
      </c>
      <c r="J84" s="56">
        <f t="shared" si="1"/>
        <v>2400</v>
      </c>
      <c r="K84" s="16"/>
    </row>
    <row r="85" spans="1:12">
      <c r="A85" s="290"/>
      <c r="B85" s="25" t="s">
        <v>58</v>
      </c>
      <c r="C85" s="13" t="s">
        <v>147</v>
      </c>
      <c r="D85" s="13" t="s">
        <v>511</v>
      </c>
      <c r="E85" s="13" t="s">
        <v>947</v>
      </c>
      <c r="F85" s="13">
        <v>1</v>
      </c>
      <c r="G85" s="13" t="s">
        <v>233</v>
      </c>
      <c r="H85" s="13">
        <f t="shared" si="6"/>
        <v>1</v>
      </c>
      <c r="I85" s="60">
        <v>0</v>
      </c>
      <c r="J85" s="56">
        <f t="shared" si="1"/>
        <v>0</v>
      </c>
      <c r="K85" s="16"/>
    </row>
    <row r="86" spans="1:12">
      <c r="A86" s="290"/>
      <c r="B86" s="25" t="s">
        <v>58</v>
      </c>
      <c r="C86" s="13" t="s">
        <v>147</v>
      </c>
      <c r="D86" s="13" t="s">
        <v>513</v>
      </c>
      <c r="E86" s="13" t="s">
        <v>111</v>
      </c>
      <c r="F86" s="13">
        <v>1</v>
      </c>
      <c r="G86" s="13" t="s">
        <v>571</v>
      </c>
      <c r="H86" s="13">
        <f t="shared" si="6"/>
        <v>1</v>
      </c>
      <c r="I86" s="60">
        <v>1903</v>
      </c>
      <c r="J86" s="56">
        <f t="shared" si="1"/>
        <v>1903</v>
      </c>
      <c r="K86" s="16"/>
    </row>
    <row r="87" spans="1:12" ht="17.5" thickBot="1">
      <c r="A87" s="290"/>
      <c r="B87" s="25" t="s">
        <v>58</v>
      </c>
      <c r="C87" s="13" t="s">
        <v>147</v>
      </c>
      <c r="D87" s="13" t="s">
        <v>121</v>
      </c>
      <c r="E87" s="13" t="s">
        <v>121</v>
      </c>
      <c r="F87" s="13">
        <v>1</v>
      </c>
      <c r="G87" s="13" t="s">
        <v>235</v>
      </c>
      <c r="H87" s="13">
        <f t="shared" si="6"/>
        <v>1</v>
      </c>
      <c r="I87" s="60">
        <f>(36*2700)+200000</f>
        <v>297200</v>
      </c>
      <c r="J87" s="56">
        <f t="shared" si="1"/>
        <v>297200</v>
      </c>
      <c r="K87" s="16"/>
    </row>
    <row r="88" spans="1:12" ht="21.5" thickBot="1">
      <c r="A88" s="290"/>
      <c r="B88" s="29" t="s">
        <v>58</v>
      </c>
      <c r="C88" s="15" t="s">
        <v>147</v>
      </c>
      <c r="D88" s="15" t="s">
        <v>113</v>
      </c>
      <c r="E88" s="15" t="s">
        <v>113</v>
      </c>
      <c r="F88" s="15">
        <v>1</v>
      </c>
      <c r="G88" s="15" t="s">
        <v>240</v>
      </c>
      <c r="H88" s="15">
        <f t="shared" si="6"/>
        <v>1</v>
      </c>
      <c r="I88" s="105">
        <v>13400</v>
      </c>
      <c r="J88" s="79">
        <f t="shared" si="1"/>
        <v>13400</v>
      </c>
      <c r="K88" s="22"/>
      <c r="L88" s="106">
        <f>SUM(J79:J88)</f>
        <v>869463</v>
      </c>
    </row>
    <row r="89" spans="1:12">
      <c r="A89" s="290">
        <v>10</v>
      </c>
      <c r="B89" s="21" t="s">
        <v>58</v>
      </c>
      <c r="C89" s="11" t="s">
        <v>148</v>
      </c>
      <c r="D89" s="11" t="s">
        <v>118</v>
      </c>
      <c r="E89" s="11" t="s">
        <v>522</v>
      </c>
      <c r="F89" s="11">
        <v>1</v>
      </c>
      <c r="G89" s="11" t="s">
        <v>560</v>
      </c>
      <c r="H89" s="11">
        <f>$G$10*F89</f>
        <v>1</v>
      </c>
      <c r="I89" s="54">
        <v>88000</v>
      </c>
      <c r="J89" s="54">
        <f t="shared" si="1"/>
        <v>88000</v>
      </c>
      <c r="K89" s="12"/>
    </row>
    <row r="90" spans="1:12">
      <c r="A90" s="290"/>
      <c r="B90" s="25" t="s">
        <v>58</v>
      </c>
      <c r="C90" s="13" t="s">
        <v>148</v>
      </c>
      <c r="D90" s="13" t="s">
        <v>496</v>
      </c>
      <c r="E90" s="13" t="s">
        <v>119</v>
      </c>
      <c r="F90" s="13">
        <v>1</v>
      </c>
      <c r="G90" s="13" t="s">
        <v>233</v>
      </c>
      <c r="H90" s="13">
        <f t="shared" ref="H90:H98" si="7">$G$10*F90</f>
        <v>1</v>
      </c>
      <c r="I90" s="60">
        <v>450000</v>
      </c>
      <c r="J90" s="56">
        <f t="shared" si="1"/>
        <v>450000</v>
      </c>
      <c r="K90" s="16"/>
    </row>
    <row r="91" spans="1:12">
      <c r="A91" s="290"/>
      <c r="B91" s="25" t="s">
        <v>58</v>
      </c>
      <c r="C91" s="13" t="s">
        <v>148</v>
      </c>
      <c r="D91" s="13" t="s">
        <v>492</v>
      </c>
      <c r="E91" s="13" t="s">
        <v>114</v>
      </c>
      <c r="F91" s="13">
        <v>36</v>
      </c>
      <c r="G91" s="13" t="s">
        <v>251</v>
      </c>
      <c r="H91" s="13">
        <f t="shared" si="7"/>
        <v>36</v>
      </c>
      <c r="I91" s="60">
        <v>460</v>
      </c>
      <c r="J91" s="56">
        <f t="shared" si="1"/>
        <v>16560</v>
      </c>
      <c r="K91" s="16"/>
    </row>
    <row r="92" spans="1:12">
      <c r="A92" s="290"/>
      <c r="B92" s="25" t="s">
        <v>58</v>
      </c>
      <c r="C92" s="13" t="s">
        <v>148</v>
      </c>
      <c r="D92" s="13" t="s">
        <v>500</v>
      </c>
      <c r="E92" s="13" t="s">
        <v>376</v>
      </c>
      <c r="F92" s="13">
        <v>1</v>
      </c>
      <c r="G92" s="13" t="s">
        <v>233</v>
      </c>
      <c r="H92" s="13">
        <f t="shared" si="7"/>
        <v>1</v>
      </c>
      <c r="I92" s="60">
        <v>0</v>
      </c>
      <c r="J92" s="56">
        <f t="shared" si="1"/>
        <v>0</v>
      </c>
      <c r="K92" s="16"/>
    </row>
    <row r="93" spans="1:12">
      <c r="A93" s="290"/>
      <c r="B93" s="25" t="s">
        <v>58</v>
      </c>
      <c r="C93" s="13" t="s">
        <v>148</v>
      </c>
      <c r="D93" s="13" t="s">
        <v>506</v>
      </c>
      <c r="E93" s="13" t="s">
        <v>120</v>
      </c>
      <c r="F93" s="13">
        <v>1</v>
      </c>
      <c r="G93" s="13" t="s">
        <v>233</v>
      </c>
      <c r="H93" s="13">
        <f t="shared" si="7"/>
        <v>1</v>
      </c>
      <c r="I93" s="60">
        <v>0</v>
      </c>
      <c r="J93" s="56">
        <f t="shared" si="1"/>
        <v>0</v>
      </c>
      <c r="K93" s="16" t="s">
        <v>253</v>
      </c>
    </row>
    <row r="94" spans="1:12">
      <c r="A94" s="290"/>
      <c r="B94" s="25" t="s">
        <v>58</v>
      </c>
      <c r="C94" s="13" t="s">
        <v>148</v>
      </c>
      <c r="D94" s="13" t="s">
        <v>508</v>
      </c>
      <c r="E94" s="13" t="s">
        <v>110</v>
      </c>
      <c r="F94" s="13">
        <v>1</v>
      </c>
      <c r="G94" s="13" t="s">
        <v>681</v>
      </c>
      <c r="H94" s="13">
        <f t="shared" si="7"/>
        <v>1</v>
      </c>
      <c r="I94" s="60">
        <v>2400</v>
      </c>
      <c r="J94" s="56">
        <f t="shared" si="1"/>
        <v>2400</v>
      </c>
      <c r="K94" s="16"/>
    </row>
    <row r="95" spans="1:12">
      <c r="A95" s="290"/>
      <c r="B95" s="25" t="s">
        <v>58</v>
      </c>
      <c r="C95" s="13" t="s">
        <v>148</v>
      </c>
      <c r="D95" s="13" t="s">
        <v>511</v>
      </c>
      <c r="E95" s="13" t="s">
        <v>947</v>
      </c>
      <c r="F95" s="13">
        <v>1</v>
      </c>
      <c r="G95" s="13" t="s">
        <v>233</v>
      </c>
      <c r="H95" s="13">
        <f t="shared" si="7"/>
        <v>1</v>
      </c>
      <c r="I95" s="60">
        <v>0</v>
      </c>
      <c r="J95" s="56">
        <f t="shared" ref="J95:J158" si="8">H95*I95</f>
        <v>0</v>
      </c>
      <c r="K95" s="16"/>
    </row>
    <row r="96" spans="1:12">
      <c r="A96" s="290"/>
      <c r="B96" s="25" t="s">
        <v>58</v>
      </c>
      <c r="C96" s="13" t="s">
        <v>148</v>
      </c>
      <c r="D96" s="13" t="s">
        <v>513</v>
      </c>
      <c r="E96" s="13" t="s">
        <v>111</v>
      </c>
      <c r="F96" s="13">
        <v>1</v>
      </c>
      <c r="G96" s="13" t="s">
        <v>571</v>
      </c>
      <c r="H96" s="13">
        <f t="shared" si="7"/>
        <v>1</v>
      </c>
      <c r="I96" s="60">
        <v>1903</v>
      </c>
      <c r="J96" s="56">
        <f t="shared" si="8"/>
        <v>1903</v>
      </c>
      <c r="K96" s="16"/>
    </row>
    <row r="97" spans="1:12" ht="17.5" thickBot="1">
      <c r="A97" s="290"/>
      <c r="B97" s="25" t="s">
        <v>58</v>
      </c>
      <c r="C97" s="13" t="s">
        <v>148</v>
      </c>
      <c r="D97" s="13" t="s">
        <v>590</v>
      </c>
      <c r="E97" s="13" t="s">
        <v>121</v>
      </c>
      <c r="F97" s="13">
        <v>1</v>
      </c>
      <c r="G97" s="13" t="s">
        <v>235</v>
      </c>
      <c r="H97" s="13">
        <f t="shared" si="7"/>
        <v>1</v>
      </c>
      <c r="I97" s="60">
        <f>(36*2700)+200000</f>
        <v>297200</v>
      </c>
      <c r="J97" s="56">
        <f t="shared" si="8"/>
        <v>297200</v>
      </c>
      <c r="K97" s="16"/>
    </row>
    <row r="98" spans="1:12" ht="21.5" thickBot="1">
      <c r="A98" s="290"/>
      <c r="B98" s="26" t="s">
        <v>58</v>
      </c>
      <c r="C98" s="9" t="s">
        <v>148</v>
      </c>
      <c r="D98" s="9" t="s">
        <v>113</v>
      </c>
      <c r="E98" s="9" t="s">
        <v>113</v>
      </c>
      <c r="F98" s="9">
        <v>1</v>
      </c>
      <c r="G98" s="9" t="s">
        <v>240</v>
      </c>
      <c r="H98" s="9">
        <f t="shared" si="7"/>
        <v>1</v>
      </c>
      <c r="I98" s="105">
        <v>13400</v>
      </c>
      <c r="J98" s="78">
        <f t="shared" si="8"/>
        <v>13400</v>
      </c>
      <c r="K98" s="14"/>
      <c r="L98" s="106">
        <f>SUM(J89:J98)</f>
        <v>869463</v>
      </c>
    </row>
    <row r="99" spans="1:12">
      <c r="A99" s="290">
        <v>11</v>
      </c>
      <c r="B99" s="27" t="s">
        <v>58</v>
      </c>
      <c r="C99" s="10" t="s">
        <v>149</v>
      </c>
      <c r="D99" s="10" t="s">
        <v>118</v>
      </c>
      <c r="E99" s="10" t="s">
        <v>522</v>
      </c>
      <c r="F99" s="10">
        <v>1</v>
      </c>
      <c r="G99" s="10" t="s">
        <v>560</v>
      </c>
      <c r="H99" s="10">
        <f>$G$11*F99</f>
        <v>1</v>
      </c>
      <c r="I99" s="56">
        <v>88000</v>
      </c>
      <c r="J99" s="56">
        <f t="shared" si="8"/>
        <v>88000</v>
      </c>
      <c r="K99" s="17"/>
    </row>
    <row r="100" spans="1:12">
      <c r="A100" s="290"/>
      <c r="B100" s="25" t="s">
        <v>58</v>
      </c>
      <c r="C100" s="13" t="s">
        <v>149</v>
      </c>
      <c r="D100" s="13" t="s">
        <v>496</v>
      </c>
      <c r="E100" s="13" t="s">
        <v>119</v>
      </c>
      <c r="F100" s="13">
        <v>1</v>
      </c>
      <c r="G100" s="13" t="s">
        <v>233</v>
      </c>
      <c r="H100" s="13">
        <f t="shared" ref="H100:H108" si="9">$G$11*F100</f>
        <v>1</v>
      </c>
      <c r="I100" s="60">
        <v>450000</v>
      </c>
      <c r="J100" s="56">
        <f t="shared" si="8"/>
        <v>450000</v>
      </c>
      <c r="K100" s="16"/>
    </row>
    <row r="101" spans="1:12">
      <c r="A101" s="290"/>
      <c r="B101" s="25" t="s">
        <v>58</v>
      </c>
      <c r="C101" s="13" t="s">
        <v>149</v>
      </c>
      <c r="D101" s="13" t="s">
        <v>493</v>
      </c>
      <c r="E101" s="13" t="s">
        <v>115</v>
      </c>
      <c r="F101" s="13">
        <v>36</v>
      </c>
      <c r="G101" s="13" t="s">
        <v>251</v>
      </c>
      <c r="H101" s="13">
        <f t="shared" si="9"/>
        <v>36</v>
      </c>
      <c r="I101" s="60">
        <v>460</v>
      </c>
      <c r="J101" s="56">
        <f t="shared" si="8"/>
        <v>16560</v>
      </c>
      <c r="K101" s="16"/>
    </row>
    <row r="102" spans="1:12">
      <c r="A102" s="290"/>
      <c r="B102" s="25" t="s">
        <v>58</v>
      </c>
      <c r="C102" s="13" t="s">
        <v>149</v>
      </c>
      <c r="D102" s="13" t="s">
        <v>500</v>
      </c>
      <c r="E102" s="13" t="s">
        <v>108</v>
      </c>
      <c r="F102" s="13">
        <v>1</v>
      </c>
      <c r="G102" s="13" t="s">
        <v>233</v>
      </c>
      <c r="H102" s="13">
        <f t="shared" si="9"/>
        <v>1</v>
      </c>
      <c r="I102" s="60">
        <v>0</v>
      </c>
      <c r="J102" s="56">
        <f t="shared" si="8"/>
        <v>0</v>
      </c>
      <c r="K102" s="16"/>
    </row>
    <row r="103" spans="1:12">
      <c r="A103" s="290"/>
      <c r="B103" s="25" t="s">
        <v>58</v>
      </c>
      <c r="C103" s="13" t="s">
        <v>149</v>
      </c>
      <c r="D103" s="13" t="s">
        <v>506</v>
      </c>
      <c r="E103" s="13" t="s">
        <v>120</v>
      </c>
      <c r="F103" s="13">
        <v>1</v>
      </c>
      <c r="G103" s="13" t="s">
        <v>233</v>
      </c>
      <c r="H103" s="13">
        <f t="shared" si="9"/>
        <v>1</v>
      </c>
      <c r="I103" s="60">
        <v>0</v>
      </c>
      <c r="J103" s="56">
        <f t="shared" si="8"/>
        <v>0</v>
      </c>
      <c r="K103" s="16" t="s">
        <v>253</v>
      </c>
    </row>
    <row r="104" spans="1:12">
      <c r="A104" s="290"/>
      <c r="B104" s="25" t="s">
        <v>58</v>
      </c>
      <c r="C104" s="13" t="s">
        <v>149</v>
      </c>
      <c r="D104" s="13" t="s">
        <v>508</v>
      </c>
      <c r="E104" s="13" t="s">
        <v>110</v>
      </c>
      <c r="F104" s="13">
        <v>1</v>
      </c>
      <c r="G104" s="13" t="s">
        <v>681</v>
      </c>
      <c r="H104" s="13">
        <f t="shared" si="9"/>
        <v>1</v>
      </c>
      <c r="I104" s="60">
        <v>2400</v>
      </c>
      <c r="J104" s="56">
        <f t="shared" si="8"/>
        <v>2400</v>
      </c>
      <c r="K104" s="16"/>
    </row>
    <row r="105" spans="1:12">
      <c r="A105" s="290"/>
      <c r="B105" s="25" t="s">
        <v>58</v>
      </c>
      <c r="C105" s="13" t="s">
        <v>149</v>
      </c>
      <c r="D105" s="13" t="s">
        <v>511</v>
      </c>
      <c r="E105" s="13" t="s">
        <v>947</v>
      </c>
      <c r="F105" s="13">
        <v>1</v>
      </c>
      <c r="G105" s="13" t="s">
        <v>233</v>
      </c>
      <c r="H105" s="13">
        <f t="shared" si="9"/>
        <v>1</v>
      </c>
      <c r="I105" s="60">
        <v>0</v>
      </c>
      <c r="J105" s="56">
        <f t="shared" si="8"/>
        <v>0</v>
      </c>
      <c r="K105" s="16"/>
    </row>
    <row r="106" spans="1:12">
      <c r="A106" s="290"/>
      <c r="B106" s="25" t="s">
        <v>58</v>
      </c>
      <c r="C106" s="13" t="s">
        <v>149</v>
      </c>
      <c r="D106" s="13" t="s">
        <v>513</v>
      </c>
      <c r="E106" s="13" t="s">
        <v>111</v>
      </c>
      <c r="F106" s="13">
        <v>1</v>
      </c>
      <c r="G106" s="13" t="s">
        <v>571</v>
      </c>
      <c r="H106" s="13">
        <f t="shared" si="9"/>
        <v>1</v>
      </c>
      <c r="I106" s="60">
        <v>1903</v>
      </c>
      <c r="J106" s="56">
        <f t="shared" si="8"/>
        <v>1903</v>
      </c>
      <c r="K106" s="16"/>
    </row>
    <row r="107" spans="1:12" ht="17.5" thickBot="1">
      <c r="A107" s="290"/>
      <c r="B107" s="25" t="s">
        <v>58</v>
      </c>
      <c r="C107" s="13" t="s">
        <v>149</v>
      </c>
      <c r="D107" s="13" t="s">
        <v>121</v>
      </c>
      <c r="E107" s="13" t="s">
        <v>121</v>
      </c>
      <c r="F107" s="13">
        <v>1</v>
      </c>
      <c r="G107" s="13" t="s">
        <v>235</v>
      </c>
      <c r="H107" s="13">
        <f t="shared" si="9"/>
        <v>1</v>
      </c>
      <c r="I107" s="60">
        <f>(36*2700)+200000</f>
        <v>297200</v>
      </c>
      <c r="J107" s="56">
        <f t="shared" si="8"/>
        <v>297200</v>
      </c>
      <c r="K107" s="16"/>
    </row>
    <row r="108" spans="1:12" ht="21.5" thickBot="1">
      <c r="A108" s="290"/>
      <c r="B108" s="29" t="s">
        <v>58</v>
      </c>
      <c r="C108" s="15" t="s">
        <v>149</v>
      </c>
      <c r="D108" s="15" t="s">
        <v>113</v>
      </c>
      <c r="E108" s="15" t="s">
        <v>113</v>
      </c>
      <c r="F108" s="15">
        <v>1</v>
      </c>
      <c r="G108" s="15" t="s">
        <v>240</v>
      </c>
      <c r="H108" s="15">
        <f t="shared" si="9"/>
        <v>1</v>
      </c>
      <c r="I108" s="105">
        <v>13400</v>
      </c>
      <c r="J108" s="79">
        <f t="shared" si="8"/>
        <v>13400</v>
      </c>
      <c r="K108" s="22"/>
      <c r="L108" s="106">
        <f>SUM(J99:J108)</f>
        <v>869463</v>
      </c>
    </row>
    <row r="109" spans="1:12">
      <c r="A109" s="290">
        <v>12</v>
      </c>
      <c r="B109" s="21" t="s">
        <v>58</v>
      </c>
      <c r="C109" s="11" t="s">
        <v>150</v>
      </c>
      <c r="D109" s="11" t="s">
        <v>118</v>
      </c>
      <c r="E109" s="11" t="s">
        <v>522</v>
      </c>
      <c r="F109" s="11">
        <v>1</v>
      </c>
      <c r="G109" s="11" t="s">
        <v>560</v>
      </c>
      <c r="H109" s="11">
        <f>$G$12*F109</f>
        <v>1</v>
      </c>
      <c r="I109" s="54">
        <v>88000</v>
      </c>
      <c r="J109" s="54">
        <f t="shared" si="8"/>
        <v>88000</v>
      </c>
      <c r="K109" s="12"/>
    </row>
    <row r="110" spans="1:12">
      <c r="A110" s="290"/>
      <c r="B110" s="25" t="s">
        <v>58</v>
      </c>
      <c r="C110" s="13" t="s">
        <v>150</v>
      </c>
      <c r="D110" s="13" t="s">
        <v>496</v>
      </c>
      <c r="E110" s="13" t="s">
        <v>119</v>
      </c>
      <c r="F110" s="13">
        <v>1</v>
      </c>
      <c r="G110" s="13" t="s">
        <v>233</v>
      </c>
      <c r="H110" s="13">
        <f t="shared" ref="H110:H118" si="10">$G$12*F110</f>
        <v>1</v>
      </c>
      <c r="I110" s="60">
        <v>450000</v>
      </c>
      <c r="J110" s="56">
        <f t="shared" si="8"/>
        <v>450000</v>
      </c>
      <c r="K110" s="16"/>
    </row>
    <row r="111" spans="1:12">
      <c r="A111" s="290"/>
      <c r="B111" s="25" t="s">
        <v>58</v>
      </c>
      <c r="C111" s="13" t="s">
        <v>150</v>
      </c>
      <c r="D111" s="13" t="s">
        <v>494</v>
      </c>
      <c r="E111" s="13" t="s">
        <v>116</v>
      </c>
      <c r="F111" s="13">
        <v>36</v>
      </c>
      <c r="G111" s="13" t="s">
        <v>251</v>
      </c>
      <c r="H111" s="13">
        <f t="shared" si="10"/>
        <v>36</v>
      </c>
      <c r="I111" s="60">
        <v>460</v>
      </c>
      <c r="J111" s="56">
        <f t="shared" si="8"/>
        <v>16560</v>
      </c>
      <c r="K111" s="16"/>
    </row>
    <row r="112" spans="1:12">
      <c r="A112" s="290"/>
      <c r="B112" s="25" t="s">
        <v>58</v>
      </c>
      <c r="C112" s="13" t="s">
        <v>150</v>
      </c>
      <c r="D112" s="13" t="s">
        <v>500</v>
      </c>
      <c r="E112" s="13" t="s">
        <v>108</v>
      </c>
      <c r="F112" s="13">
        <v>1</v>
      </c>
      <c r="G112" s="13" t="s">
        <v>233</v>
      </c>
      <c r="H112" s="13">
        <f t="shared" si="10"/>
        <v>1</v>
      </c>
      <c r="I112" s="60">
        <v>0</v>
      </c>
      <c r="J112" s="56">
        <f t="shared" si="8"/>
        <v>0</v>
      </c>
      <c r="K112" s="16"/>
    </row>
    <row r="113" spans="1:12">
      <c r="A113" s="290"/>
      <c r="B113" s="25" t="s">
        <v>58</v>
      </c>
      <c r="C113" s="13" t="s">
        <v>150</v>
      </c>
      <c r="D113" s="13" t="s">
        <v>506</v>
      </c>
      <c r="E113" s="13" t="s">
        <v>120</v>
      </c>
      <c r="F113" s="13">
        <v>1</v>
      </c>
      <c r="G113" s="13" t="s">
        <v>233</v>
      </c>
      <c r="H113" s="13">
        <f t="shared" si="10"/>
        <v>1</v>
      </c>
      <c r="I113" s="60">
        <v>0</v>
      </c>
      <c r="J113" s="56">
        <f t="shared" si="8"/>
        <v>0</v>
      </c>
      <c r="K113" s="16" t="s">
        <v>253</v>
      </c>
    </row>
    <row r="114" spans="1:12">
      <c r="A114" s="290"/>
      <c r="B114" s="25" t="s">
        <v>58</v>
      </c>
      <c r="C114" s="13" t="s">
        <v>150</v>
      </c>
      <c r="D114" s="13" t="s">
        <v>508</v>
      </c>
      <c r="E114" s="13" t="s">
        <v>110</v>
      </c>
      <c r="F114" s="13">
        <v>1</v>
      </c>
      <c r="G114" s="13" t="s">
        <v>681</v>
      </c>
      <c r="H114" s="13">
        <f t="shared" si="10"/>
        <v>1</v>
      </c>
      <c r="I114" s="60">
        <v>2400</v>
      </c>
      <c r="J114" s="56">
        <f t="shared" si="8"/>
        <v>2400</v>
      </c>
      <c r="K114" s="16"/>
    </row>
    <row r="115" spans="1:12">
      <c r="A115" s="290"/>
      <c r="B115" s="25" t="s">
        <v>58</v>
      </c>
      <c r="C115" s="13" t="s">
        <v>150</v>
      </c>
      <c r="D115" s="13" t="s">
        <v>511</v>
      </c>
      <c r="E115" s="13" t="s">
        <v>947</v>
      </c>
      <c r="F115" s="13">
        <v>1</v>
      </c>
      <c r="G115" s="13" t="s">
        <v>233</v>
      </c>
      <c r="H115" s="13">
        <f t="shared" si="10"/>
        <v>1</v>
      </c>
      <c r="I115" s="60">
        <v>0</v>
      </c>
      <c r="J115" s="56">
        <f t="shared" si="8"/>
        <v>0</v>
      </c>
      <c r="K115" s="16"/>
    </row>
    <row r="116" spans="1:12">
      <c r="A116" s="290"/>
      <c r="B116" s="25" t="s">
        <v>58</v>
      </c>
      <c r="C116" s="13" t="s">
        <v>150</v>
      </c>
      <c r="D116" s="13" t="s">
        <v>513</v>
      </c>
      <c r="E116" s="13" t="s">
        <v>111</v>
      </c>
      <c r="F116" s="13">
        <v>1</v>
      </c>
      <c r="G116" s="13" t="s">
        <v>571</v>
      </c>
      <c r="H116" s="13">
        <f t="shared" si="10"/>
        <v>1</v>
      </c>
      <c r="I116" s="60">
        <v>1903</v>
      </c>
      <c r="J116" s="56">
        <f t="shared" si="8"/>
        <v>1903</v>
      </c>
      <c r="K116" s="16"/>
    </row>
    <row r="117" spans="1:12" ht="17.5" thickBot="1">
      <c r="A117" s="290"/>
      <c r="B117" s="25" t="s">
        <v>58</v>
      </c>
      <c r="C117" s="13" t="s">
        <v>150</v>
      </c>
      <c r="D117" s="13" t="s">
        <v>121</v>
      </c>
      <c r="E117" s="13" t="s">
        <v>121</v>
      </c>
      <c r="F117" s="13">
        <v>1</v>
      </c>
      <c r="G117" s="13" t="s">
        <v>235</v>
      </c>
      <c r="H117" s="13">
        <f t="shared" si="10"/>
        <v>1</v>
      </c>
      <c r="I117" s="60">
        <f>(36*2700)+200000</f>
        <v>297200</v>
      </c>
      <c r="J117" s="56">
        <f t="shared" si="8"/>
        <v>297200</v>
      </c>
      <c r="K117" s="16"/>
    </row>
    <row r="118" spans="1:12" ht="21.5" thickBot="1">
      <c r="A118" s="290"/>
      <c r="B118" s="26" t="s">
        <v>58</v>
      </c>
      <c r="C118" s="9" t="s">
        <v>150</v>
      </c>
      <c r="D118" s="9" t="s">
        <v>113</v>
      </c>
      <c r="E118" s="9" t="s">
        <v>113</v>
      </c>
      <c r="F118" s="9">
        <v>1</v>
      </c>
      <c r="G118" s="9" t="s">
        <v>240</v>
      </c>
      <c r="H118" s="9">
        <f t="shared" si="10"/>
        <v>1</v>
      </c>
      <c r="I118" s="105">
        <v>13400</v>
      </c>
      <c r="J118" s="78">
        <f t="shared" si="8"/>
        <v>13400</v>
      </c>
      <c r="K118" s="14"/>
      <c r="L118" s="106">
        <f>SUM(J109:J118)</f>
        <v>869463</v>
      </c>
    </row>
    <row r="119" spans="1:12">
      <c r="A119" s="290">
        <v>13</v>
      </c>
      <c r="B119" s="27" t="s">
        <v>58</v>
      </c>
      <c r="C119" s="10" t="s">
        <v>122</v>
      </c>
      <c r="D119" s="10" t="s">
        <v>118</v>
      </c>
      <c r="E119" s="10" t="s">
        <v>522</v>
      </c>
      <c r="F119" s="10">
        <v>1</v>
      </c>
      <c r="G119" s="10" t="s">
        <v>560</v>
      </c>
      <c r="H119" s="10">
        <f>$G$13*F119</f>
        <v>1</v>
      </c>
      <c r="I119" s="56">
        <v>88000</v>
      </c>
      <c r="J119" s="56">
        <f t="shared" si="8"/>
        <v>88000</v>
      </c>
      <c r="K119" s="17"/>
    </row>
    <row r="120" spans="1:12">
      <c r="A120" s="290"/>
      <c r="B120" s="25" t="s">
        <v>58</v>
      </c>
      <c r="C120" s="13" t="s">
        <v>122</v>
      </c>
      <c r="D120" s="13" t="s">
        <v>496</v>
      </c>
      <c r="E120" s="13" t="s">
        <v>119</v>
      </c>
      <c r="F120" s="13">
        <v>1</v>
      </c>
      <c r="G120" s="13" t="s">
        <v>233</v>
      </c>
      <c r="H120" s="13">
        <f t="shared" ref="H120:H127" si="11">$G$13*F120</f>
        <v>1</v>
      </c>
      <c r="I120" s="60">
        <v>450000</v>
      </c>
      <c r="J120" s="56">
        <f t="shared" si="8"/>
        <v>450000</v>
      </c>
      <c r="K120" s="16"/>
    </row>
    <row r="121" spans="1:12">
      <c r="A121" s="290"/>
      <c r="B121" s="25" t="s">
        <v>58</v>
      </c>
      <c r="C121" s="13" t="s">
        <v>122</v>
      </c>
      <c r="D121" s="13" t="s">
        <v>500</v>
      </c>
      <c r="E121" s="13" t="s">
        <v>108</v>
      </c>
      <c r="F121" s="13">
        <v>1</v>
      </c>
      <c r="G121" s="13" t="s">
        <v>233</v>
      </c>
      <c r="H121" s="13">
        <f t="shared" si="11"/>
        <v>1</v>
      </c>
      <c r="I121" s="60">
        <v>0</v>
      </c>
      <c r="J121" s="56">
        <f t="shared" si="8"/>
        <v>0</v>
      </c>
      <c r="K121" s="16"/>
    </row>
    <row r="122" spans="1:12">
      <c r="A122" s="290"/>
      <c r="B122" s="25" t="s">
        <v>58</v>
      </c>
      <c r="C122" s="13" t="s">
        <v>122</v>
      </c>
      <c r="D122" s="13" t="s">
        <v>506</v>
      </c>
      <c r="E122" s="13" t="s">
        <v>120</v>
      </c>
      <c r="F122" s="13">
        <v>1</v>
      </c>
      <c r="G122" s="13" t="s">
        <v>233</v>
      </c>
      <c r="H122" s="13">
        <f t="shared" si="11"/>
        <v>1</v>
      </c>
      <c r="I122" s="60">
        <v>0</v>
      </c>
      <c r="J122" s="56">
        <f t="shared" si="8"/>
        <v>0</v>
      </c>
      <c r="K122" s="16" t="s">
        <v>253</v>
      </c>
    </row>
    <row r="123" spans="1:12">
      <c r="A123" s="290"/>
      <c r="B123" s="25" t="s">
        <v>58</v>
      </c>
      <c r="C123" s="13" t="s">
        <v>122</v>
      </c>
      <c r="D123" s="13" t="s">
        <v>508</v>
      </c>
      <c r="E123" s="13" t="s">
        <v>110</v>
      </c>
      <c r="F123" s="13">
        <v>1</v>
      </c>
      <c r="G123" s="13" t="s">
        <v>681</v>
      </c>
      <c r="H123" s="13">
        <f t="shared" si="11"/>
        <v>1</v>
      </c>
      <c r="I123" s="60">
        <v>2400</v>
      </c>
      <c r="J123" s="56">
        <f t="shared" si="8"/>
        <v>2400</v>
      </c>
      <c r="K123" s="16"/>
    </row>
    <row r="124" spans="1:12">
      <c r="A124" s="290"/>
      <c r="B124" s="25" t="s">
        <v>58</v>
      </c>
      <c r="C124" s="13" t="s">
        <v>122</v>
      </c>
      <c r="D124" s="13" t="s">
        <v>511</v>
      </c>
      <c r="E124" s="13" t="s">
        <v>947</v>
      </c>
      <c r="F124" s="13">
        <v>1</v>
      </c>
      <c r="G124" s="13" t="s">
        <v>233</v>
      </c>
      <c r="H124" s="13">
        <f t="shared" si="11"/>
        <v>1</v>
      </c>
      <c r="I124" s="60">
        <v>0</v>
      </c>
      <c r="J124" s="56">
        <f t="shared" si="8"/>
        <v>0</v>
      </c>
      <c r="K124" s="16"/>
    </row>
    <row r="125" spans="1:12">
      <c r="A125" s="290"/>
      <c r="B125" s="25" t="s">
        <v>58</v>
      </c>
      <c r="C125" s="13" t="s">
        <v>122</v>
      </c>
      <c r="D125" s="13" t="s">
        <v>513</v>
      </c>
      <c r="E125" s="13" t="s">
        <v>111</v>
      </c>
      <c r="F125" s="13">
        <v>1</v>
      </c>
      <c r="G125" s="13" t="s">
        <v>571</v>
      </c>
      <c r="H125" s="13">
        <f t="shared" si="11"/>
        <v>1</v>
      </c>
      <c r="I125" s="60">
        <v>1903</v>
      </c>
      <c r="J125" s="56">
        <f t="shared" si="8"/>
        <v>1903</v>
      </c>
      <c r="K125" s="16"/>
    </row>
    <row r="126" spans="1:12" ht="17.5" thickBot="1">
      <c r="A126" s="290"/>
      <c r="B126" s="25" t="s">
        <v>58</v>
      </c>
      <c r="C126" s="13" t="s">
        <v>122</v>
      </c>
      <c r="D126" s="13" t="s">
        <v>121</v>
      </c>
      <c r="E126" s="13" t="s">
        <v>121</v>
      </c>
      <c r="F126" s="13">
        <v>1</v>
      </c>
      <c r="G126" s="13" t="s">
        <v>235</v>
      </c>
      <c r="H126" s="13">
        <f t="shared" si="11"/>
        <v>1</v>
      </c>
      <c r="I126" s="60">
        <f>(36*2700)+200000</f>
        <v>297200</v>
      </c>
      <c r="J126" s="56">
        <f t="shared" si="8"/>
        <v>297200</v>
      </c>
      <c r="K126" s="16"/>
    </row>
    <row r="127" spans="1:12" ht="21.5" thickBot="1">
      <c r="A127" s="290"/>
      <c r="B127" s="29" t="s">
        <v>58</v>
      </c>
      <c r="C127" s="15" t="s">
        <v>122</v>
      </c>
      <c r="D127" s="15" t="s">
        <v>113</v>
      </c>
      <c r="E127" s="15" t="s">
        <v>113</v>
      </c>
      <c r="F127" s="15">
        <v>1</v>
      </c>
      <c r="G127" s="15" t="s">
        <v>240</v>
      </c>
      <c r="H127" s="15">
        <f t="shared" si="11"/>
        <v>1</v>
      </c>
      <c r="I127" s="105">
        <v>13400</v>
      </c>
      <c r="J127" s="79">
        <f t="shared" si="8"/>
        <v>13400</v>
      </c>
      <c r="K127" s="22"/>
      <c r="L127" s="106">
        <f>SUM(J119:J127)</f>
        <v>852903</v>
      </c>
    </row>
    <row r="128" spans="1:12">
      <c r="A128" s="290">
        <v>14</v>
      </c>
      <c r="B128" s="21" t="s">
        <v>62</v>
      </c>
      <c r="C128" s="11" t="s">
        <v>151</v>
      </c>
      <c r="D128" s="11" t="s">
        <v>105</v>
      </c>
      <c r="E128" s="11" t="s">
        <v>522</v>
      </c>
      <c r="F128" s="11">
        <v>2</v>
      </c>
      <c r="G128" s="11" t="s">
        <v>560</v>
      </c>
      <c r="H128" s="11">
        <f>$G$14*F128</f>
        <v>2</v>
      </c>
      <c r="I128" s="54">
        <v>63000</v>
      </c>
      <c r="J128" s="54">
        <f t="shared" si="8"/>
        <v>126000</v>
      </c>
      <c r="K128" s="12"/>
    </row>
    <row r="129" spans="1:12">
      <c r="A129" s="290"/>
      <c r="B129" s="25" t="s">
        <v>62</v>
      </c>
      <c r="C129" s="13" t="s">
        <v>151</v>
      </c>
      <c r="D129" s="13" t="s">
        <v>497</v>
      </c>
      <c r="E129" s="13" t="s">
        <v>588</v>
      </c>
      <c r="F129" s="13">
        <v>1</v>
      </c>
      <c r="G129" s="13" t="s">
        <v>233</v>
      </c>
      <c r="H129" s="13">
        <f t="shared" ref="H129:H137" si="12">$G$14*F129</f>
        <v>1</v>
      </c>
      <c r="I129" s="60">
        <v>548000</v>
      </c>
      <c r="J129" s="56">
        <f t="shared" si="8"/>
        <v>548000</v>
      </c>
      <c r="K129" s="16"/>
    </row>
    <row r="130" spans="1:12">
      <c r="A130" s="290"/>
      <c r="B130" s="25" t="s">
        <v>62</v>
      </c>
      <c r="C130" s="13" t="s">
        <v>151</v>
      </c>
      <c r="D130" s="13" t="s">
        <v>491</v>
      </c>
      <c r="E130" s="13" t="s">
        <v>107</v>
      </c>
      <c r="F130" s="13">
        <v>48</v>
      </c>
      <c r="G130" s="13" t="s">
        <v>251</v>
      </c>
      <c r="H130" s="13">
        <f t="shared" si="12"/>
        <v>48</v>
      </c>
      <c r="I130" s="60">
        <v>460</v>
      </c>
      <c r="J130" s="56">
        <f t="shared" si="8"/>
        <v>22080</v>
      </c>
      <c r="K130" s="16"/>
    </row>
    <row r="131" spans="1:12">
      <c r="A131" s="290"/>
      <c r="B131" s="25" t="s">
        <v>62</v>
      </c>
      <c r="C131" s="13" t="s">
        <v>151</v>
      </c>
      <c r="D131" s="13" t="s">
        <v>501</v>
      </c>
      <c r="E131" s="13" t="s">
        <v>595</v>
      </c>
      <c r="F131" s="13">
        <v>1</v>
      </c>
      <c r="G131" s="13" t="s">
        <v>233</v>
      </c>
      <c r="H131" s="13">
        <f t="shared" si="12"/>
        <v>1</v>
      </c>
      <c r="I131" s="60">
        <v>0</v>
      </c>
      <c r="J131" s="56">
        <f t="shared" si="8"/>
        <v>0</v>
      </c>
      <c r="K131" s="16"/>
    </row>
    <row r="132" spans="1:12">
      <c r="A132" s="290"/>
      <c r="B132" s="25" t="s">
        <v>62</v>
      </c>
      <c r="C132" s="13" t="s">
        <v>151</v>
      </c>
      <c r="D132" s="13" t="s">
        <v>504</v>
      </c>
      <c r="E132" s="13" t="s">
        <v>598</v>
      </c>
      <c r="F132" s="13">
        <v>1</v>
      </c>
      <c r="G132" s="13" t="s">
        <v>233</v>
      </c>
      <c r="H132" s="13">
        <f t="shared" si="12"/>
        <v>1</v>
      </c>
      <c r="I132" s="60">
        <v>0</v>
      </c>
      <c r="J132" s="56">
        <f t="shared" si="8"/>
        <v>0</v>
      </c>
      <c r="K132" s="16" t="s">
        <v>252</v>
      </c>
    </row>
    <row r="133" spans="1:12">
      <c r="A133" s="290"/>
      <c r="B133" s="25" t="s">
        <v>62</v>
      </c>
      <c r="C133" s="13" t="s">
        <v>151</v>
      </c>
      <c r="D133" s="13" t="s">
        <v>508</v>
      </c>
      <c r="E133" s="13" t="s">
        <v>110</v>
      </c>
      <c r="F133" s="13">
        <v>1</v>
      </c>
      <c r="G133" s="13" t="s">
        <v>681</v>
      </c>
      <c r="H133" s="13">
        <f t="shared" si="12"/>
        <v>1</v>
      </c>
      <c r="I133" s="60">
        <v>2400</v>
      </c>
      <c r="J133" s="56">
        <f t="shared" si="8"/>
        <v>2400</v>
      </c>
      <c r="K133" s="16"/>
    </row>
    <row r="134" spans="1:12">
      <c r="A134" s="290"/>
      <c r="B134" s="25" t="s">
        <v>62</v>
      </c>
      <c r="C134" s="13" t="s">
        <v>151</v>
      </c>
      <c r="D134" s="13" t="s">
        <v>511</v>
      </c>
      <c r="E134" s="13" t="s">
        <v>947</v>
      </c>
      <c r="F134" s="13">
        <v>1</v>
      </c>
      <c r="G134" s="13" t="s">
        <v>233</v>
      </c>
      <c r="H134" s="13">
        <f t="shared" si="12"/>
        <v>1</v>
      </c>
      <c r="I134" s="60">
        <v>0</v>
      </c>
      <c r="J134" s="56">
        <f t="shared" si="8"/>
        <v>0</v>
      </c>
      <c r="K134" s="16"/>
    </row>
    <row r="135" spans="1:12">
      <c r="A135" s="290"/>
      <c r="B135" s="25" t="s">
        <v>62</v>
      </c>
      <c r="C135" s="13" t="s">
        <v>151</v>
      </c>
      <c r="D135" s="13" t="s">
        <v>513</v>
      </c>
      <c r="E135" s="13" t="s">
        <v>111</v>
      </c>
      <c r="F135" s="13">
        <v>1</v>
      </c>
      <c r="G135" s="13" t="s">
        <v>571</v>
      </c>
      <c r="H135" s="13">
        <f t="shared" si="12"/>
        <v>1</v>
      </c>
      <c r="I135" s="60">
        <v>1903</v>
      </c>
      <c r="J135" s="56">
        <f t="shared" si="8"/>
        <v>1903</v>
      </c>
      <c r="K135" s="16"/>
    </row>
    <row r="136" spans="1:12" ht="17.5" thickBot="1">
      <c r="A136" s="290"/>
      <c r="B136" s="25" t="s">
        <v>62</v>
      </c>
      <c r="C136" s="13" t="s">
        <v>151</v>
      </c>
      <c r="D136" s="13" t="s">
        <v>617</v>
      </c>
      <c r="E136" s="13" t="s">
        <v>616</v>
      </c>
      <c r="F136" s="13">
        <v>2</v>
      </c>
      <c r="G136" s="13" t="s">
        <v>235</v>
      </c>
      <c r="H136" s="13">
        <f t="shared" si="12"/>
        <v>2</v>
      </c>
      <c r="I136" s="60">
        <f>(24*2700)+200000</f>
        <v>264800</v>
      </c>
      <c r="J136" s="56">
        <f t="shared" si="8"/>
        <v>529600</v>
      </c>
      <c r="K136" s="16"/>
    </row>
    <row r="137" spans="1:12" ht="21.5" thickBot="1">
      <c r="A137" s="290"/>
      <c r="B137" s="26" t="s">
        <v>62</v>
      </c>
      <c r="C137" s="9" t="s">
        <v>151</v>
      </c>
      <c r="D137" s="9" t="s">
        <v>113</v>
      </c>
      <c r="E137" s="9" t="s">
        <v>113</v>
      </c>
      <c r="F137" s="9">
        <v>1</v>
      </c>
      <c r="G137" s="9" t="s">
        <v>240</v>
      </c>
      <c r="H137" s="9">
        <f t="shared" si="12"/>
        <v>1</v>
      </c>
      <c r="I137" s="105">
        <v>13400</v>
      </c>
      <c r="J137" s="78">
        <f t="shared" si="8"/>
        <v>13400</v>
      </c>
      <c r="K137" s="14"/>
      <c r="L137" s="106">
        <f>SUM(J128:J137)</f>
        <v>1243383</v>
      </c>
    </row>
    <row r="138" spans="1:12">
      <c r="A138" s="290">
        <v>15</v>
      </c>
      <c r="B138" s="27" t="s">
        <v>62</v>
      </c>
      <c r="C138" s="10" t="s">
        <v>152</v>
      </c>
      <c r="D138" s="10" t="s">
        <v>105</v>
      </c>
      <c r="E138" s="10" t="s">
        <v>522</v>
      </c>
      <c r="F138" s="10">
        <v>2</v>
      </c>
      <c r="G138" s="10" t="s">
        <v>560</v>
      </c>
      <c r="H138" s="10">
        <f>$G$15*F138</f>
        <v>2</v>
      </c>
      <c r="I138" s="56">
        <v>63000</v>
      </c>
      <c r="J138" s="56">
        <f t="shared" si="8"/>
        <v>126000</v>
      </c>
      <c r="K138" s="17"/>
    </row>
    <row r="139" spans="1:12">
      <c r="A139" s="290"/>
      <c r="B139" s="25" t="s">
        <v>62</v>
      </c>
      <c r="C139" s="13" t="s">
        <v>152</v>
      </c>
      <c r="D139" s="13" t="s">
        <v>497</v>
      </c>
      <c r="E139" s="13" t="s">
        <v>123</v>
      </c>
      <c r="F139" s="13">
        <v>1</v>
      </c>
      <c r="G139" s="13" t="s">
        <v>233</v>
      </c>
      <c r="H139" s="13">
        <f t="shared" ref="H139:H147" si="13">$G$15*F139</f>
        <v>1</v>
      </c>
      <c r="I139" s="60">
        <v>548000</v>
      </c>
      <c r="J139" s="56">
        <f t="shared" si="8"/>
        <v>548000</v>
      </c>
      <c r="K139" s="16"/>
    </row>
    <row r="140" spans="1:12">
      <c r="A140" s="290"/>
      <c r="B140" s="25" t="s">
        <v>62</v>
      </c>
      <c r="C140" s="13" t="s">
        <v>152</v>
      </c>
      <c r="D140" s="13" t="s">
        <v>492</v>
      </c>
      <c r="E140" s="13" t="s">
        <v>114</v>
      </c>
      <c r="F140" s="13">
        <v>48</v>
      </c>
      <c r="G140" s="13" t="s">
        <v>251</v>
      </c>
      <c r="H140" s="13">
        <f t="shared" si="13"/>
        <v>48</v>
      </c>
      <c r="I140" s="60">
        <v>460</v>
      </c>
      <c r="J140" s="56">
        <f t="shared" si="8"/>
        <v>22080</v>
      </c>
      <c r="K140" s="16"/>
    </row>
    <row r="141" spans="1:12">
      <c r="A141" s="290"/>
      <c r="B141" s="25" t="s">
        <v>62</v>
      </c>
      <c r="C141" s="13" t="s">
        <v>152</v>
      </c>
      <c r="D141" s="13" t="s">
        <v>501</v>
      </c>
      <c r="E141" s="13" t="s">
        <v>124</v>
      </c>
      <c r="F141" s="13">
        <v>1</v>
      </c>
      <c r="G141" s="13" t="s">
        <v>233</v>
      </c>
      <c r="H141" s="13">
        <f t="shared" si="13"/>
        <v>1</v>
      </c>
      <c r="I141" s="60">
        <v>0</v>
      </c>
      <c r="J141" s="56">
        <f t="shared" si="8"/>
        <v>0</v>
      </c>
      <c r="K141" s="16"/>
    </row>
    <row r="142" spans="1:12">
      <c r="A142" s="290"/>
      <c r="B142" s="25" t="s">
        <v>62</v>
      </c>
      <c r="C142" s="13" t="s">
        <v>152</v>
      </c>
      <c r="D142" s="13" t="s">
        <v>504</v>
      </c>
      <c r="E142" s="13" t="s">
        <v>125</v>
      </c>
      <c r="F142" s="13">
        <v>1</v>
      </c>
      <c r="G142" s="13" t="s">
        <v>233</v>
      </c>
      <c r="H142" s="13">
        <f t="shared" si="13"/>
        <v>1</v>
      </c>
      <c r="I142" s="60">
        <v>0</v>
      </c>
      <c r="J142" s="56">
        <f t="shared" si="8"/>
        <v>0</v>
      </c>
      <c r="K142" s="16" t="s">
        <v>252</v>
      </c>
    </row>
    <row r="143" spans="1:12">
      <c r="A143" s="290"/>
      <c r="B143" s="25" t="s">
        <v>62</v>
      </c>
      <c r="C143" s="13" t="s">
        <v>152</v>
      </c>
      <c r="D143" s="13" t="s">
        <v>508</v>
      </c>
      <c r="E143" s="13" t="s">
        <v>110</v>
      </c>
      <c r="F143" s="13">
        <v>1</v>
      </c>
      <c r="G143" s="13" t="s">
        <v>681</v>
      </c>
      <c r="H143" s="13">
        <f t="shared" si="13"/>
        <v>1</v>
      </c>
      <c r="I143" s="60">
        <v>2400</v>
      </c>
      <c r="J143" s="56">
        <f t="shared" si="8"/>
        <v>2400</v>
      </c>
      <c r="K143" s="16"/>
    </row>
    <row r="144" spans="1:12">
      <c r="A144" s="290"/>
      <c r="B144" s="25" t="s">
        <v>62</v>
      </c>
      <c r="C144" s="13" t="s">
        <v>152</v>
      </c>
      <c r="D144" s="13" t="s">
        <v>511</v>
      </c>
      <c r="E144" s="13" t="s">
        <v>947</v>
      </c>
      <c r="F144" s="13">
        <v>1</v>
      </c>
      <c r="G144" s="13" t="s">
        <v>233</v>
      </c>
      <c r="H144" s="13">
        <f t="shared" si="13"/>
        <v>1</v>
      </c>
      <c r="I144" s="60">
        <v>0</v>
      </c>
      <c r="J144" s="56">
        <f t="shared" si="8"/>
        <v>0</v>
      </c>
      <c r="K144" s="16"/>
    </row>
    <row r="145" spans="1:12">
      <c r="A145" s="290"/>
      <c r="B145" s="25" t="s">
        <v>62</v>
      </c>
      <c r="C145" s="13" t="s">
        <v>152</v>
      </c>
      <c r="D145" s="13" t="s">
        <v>513</v>
      </c>
      <c r="E145" s="13" t="s">
        <v>111</v>
      </c>
      <c r="F145" s="13">
        <v>1</v>
      </c>
      <c r="G145" s="13" t="s">
        <v>571</v>
      </c>
      <c r="H145" s="13">
        <f t="shared" si="13"/>
        <v>1</v>
      </c>
      <c r="I145" s="60">
        <v>1903</v>
      </c>
      <c r="J145" s="56">
        <f t="shared" si="8"/>
        <v>1903</v>
      </c>
      <c r="K145" s="16"/>
    </row>
    <row r="146" spans="1:12" ht="17.5" thickBot="1">
      <c r="A146" s="290"/>
      <c r="B146" s="25" t="s">
        <v>62</v>
      </c>
      <c r="C146" s="13" t="s">
        <v>152</v>
      </c>
      <c r="D146" s="13" t="s">
        <v>617</v>
      </c>
      <c r="E146" s="13" t="s">
        <v>616</v>
      </c>
      <c r="F146" s="13">
        <v>2</v>
      </c>
      <c r="G146" s="13" t="s">
        <v>235</v>
      </c>
      <c r="H146" s="13">
        <f t="shared" si="13"/>
        <v>2</v>
      </c>
      <c r="I146" s="60">
        <f>(24*2700)+200000</f>
        <v>264800</v>
      </c>
      <c r="J146" s="56">
        <f t="shared" si="8"/>
        <v>529600</v>
      </c>
      <c r="K146" s="16"/>
    </row>
    <row r="147" spans="1:12" ht="21.5" thickBot="1">
      <c r="A147" s="290"/>
      <c r="B147" s="29" t="s">
        <v>62</v>
      </c>
      <c r="C147" s="15" t="s">
        <v>152</v>
      </c>
      <c r="D147" s="15" t="s">
        <v>113</v>
      </c>
      <c r="E147" s="15" t="s">
        <v>113</v>
      </c>
      <c r="F147" s="15">
        <v>1</v>
      </c>
      <c r="G147" s="15" t="s">
        <v>240</v>
      </c>
      <c r="H147" s="15">
        <f t="shared" si="13"/>
        <v>1</v>
      </c>
      <c r="I147" s="105">
        <v>13400</v>
      </c>
      <c r="J147" s="79">
        <f t="shared" si="8"/>
        <v>13400</v>
      </c>
      <c r="K147" s="22"/>
      <c r="L147" s="106">
        <f>SUM(J138:J147)</f>
        <v>1243383</v>
      </c>
    </row>
    <row r="148" spans="1:12">
      <c r="A148" s="290">
        <v>16</v>
      </c>
      <c r="B148" s="21" t="s">
        <v>62</v>
      </c>
      <c r="C148" s="11" t="s">
        <v>153</v>
      </c>
      <c r="D148" s="11" t="s">
        <v>105</v>
      </c>
      <c r="E148" s="11" t="s">
        <v>522</v>
      </c>
      <c r="F148" s="11">
        <v>2</v>
      </c>
      <c r="G148" s="11" t="s">
        <v>560</v>
      </c>
      <c r="H148" s="11">
        <f>$G$16*F148</f>
        <v>2</v>
      </c>
      <c r="I148" s="54">
        <v>63000</v>
      </c>
      <c r="J148" s="54">
        <f t="shared" si="8"/>
        <v>126000</v>
      </c>
      <c r="K148" s="12"/>
    </row>
    <row r="149" spans="1:12">
      <c r="A149" s="290"/>
      <c r="B149" s="25" t="s">
        <v>62</v>
      </c>
      <c r="C149" s="13" t="s">
        <v>153</v>
      </c>
      <c r="D149" s="13" t="s">
        <v>497</v>
      </c>
      <c r="E149" s="13" t="s">
        <v>123</v>
      </c>
      <c r="F149" s="13">
        <v>1</v>
      </c>
      <c r="G149" s="13" t="s">
        <v>233</v>
      </c>
      <c r="H149" s="13">
        <f t="shared" ref="H149:H157" si="14">$G$16*F149</f>
        <v>1</v>
      </c>
      <c r="I149" s="60">
        <v>548000</v>
      </c>
      <c r="J149" s="56">
        <f t="shared" si="8"/>
        <v>548000</v>
      </c>
      <c r="K149" s="16"/>
    </row>
    <row r="150" spans="1:12">
      <c r="A150" s="290"/>
      <c r="B150" s="25" t="s">
        <v>62</v>
      </c>
      <c r="C150" s="13" t="s">
        <v>153</v>
      </c>
      <c r="D150" s="13" t="s">
        <v>493</v>
      </c>
      <c r="E150" s="13" t="s">
        <v>115</v>
      </c>
      <c r="F150" s="13">
        <v>48</v>
      </c>
      <c r="G150" s="13" t="s">
        <v>251</v>
      </c>
      <c r="H150" s="13">
        <f t="shared" si="14"/>
        <v>48</v>
      </c>
      <c r="I150" s="60">
        <v>460</v>
      </c>
      <c r="J150" s="56">
        <f t="shared" si="8"/>
        <v>22080</v>
      </c>
      <c r="K150" s="16"/>
    </row>
    <row r="151" spans="1:12">
      <c r="A151" s="290"/>
      <c r="B151" s="25" t="s">
        <v>62</v>
      </c>
      <c r="C151" s="13" t="s">
        <v>153</v>
      </c>
      <c r="D151" s="13" t="s">
        <v>501</v>
      </c>
      <c r="E151" s="13" t="s">
        <v>124</v>
      </c>
      <c r="F151" s="13">
        <v>1</v>
      </c>
      <c r="G151" s="13" t="s">
        <v>233</v>
      </c>
      <c r="H151" s="13">
        <f t="shared" si="14"/>
        <v>1</v>
      </c>
      <c r="I151" s="60">
        <v>0</v>
      </c>
      <c r="J151" s="56">
        <f t="shared" si="8"/>
        <v>0</v>
      </c>
      <c r="K151" s="16"/>
    </row>
    <row r="152" spans="1:12">
      <c r="A152" s="290"/>
      <c r="B152" s="25" t="s">
        <v>62</v>
      </c>
      <c r="C152" s="13" t="s">
        <v>153</v>
      </c>
      <c r="D152" s="13" t="s">
        <v>504</v>
      </c>
      <c r="E152" s="13" t="s">
        <v>125</v>
      </c>
      <c r="F152" s="13">
        <v>1</v>
      </c>
      <c r="G152" s="13" t="s">
        <v>233</v>
      </c>
      <c r="H152" s="13">
        <f t="shared" si="14"/>
        <v>1</v>
      </c>
      <c r="I152" s="60">
        <v>0</v>
      </c>
      <c r="J152" s="56">
        <f t="shared" si="8"/>
        <v>0</v>
      </c>
      <c r="K152" s="16" t="s">
        <v>252</v>
      </c>
    </row>
    <row r="153" spans="1:12">
      <c r="A153" s="290"/>
      <c r="B153" s="25" t="s">
        <v>62</v>
      </c>
      <c r="C153" s="13" t="s">
        <v>153</v>
      </c>
      <c r="D153" s="13" t="s">
        <v>508</v>
      </c>
      <c r="E153" s="13" t="s">
        <v>110</v>
      </c>
      <c r="F153" s="13">
        <v>1</v>
      </c>
      <c r="G153" s="13" t="s">
        <v>681</v>
      </c>
      <c r="H153" s="13">
        <f t="shared" si="14"/>
        <v>1</v>
      </c>
      <c r="I153" s="60">
        <v>2400</v>
      </c>
      <c r="J153" s="56">
        <f t="shared" si="8"/>
        <v>2400</v>
      </c>
      <c r="K153" s="16"/>
    </row>
    <row r="154" spans="1:12">
      <c r="A154" s="290"/>
      <c r="B154" s="25" t="s">
        <v>62</v>
      </c>
      <c r="C154" s="13" t="s">
        <v>153</v>
      </c>
      <c r="D154" s="13" t="s">
        <v>536</v>
      </c>
      <c r="E154" s="13" t="s">
        <v>947</v>
      </c>
      <c r="F154" s="13">
        <v>1</v>
      </c>
      <c r="G154" s="13" t="s">
        <v>233</v>
      </c>
      <c r="H154" s="13">
        <f t="shared" si="14"/>
        <v>1</v>
      </c>
      <c r="I154" s="60">
        <v>0</v>
      </c>
      <c r="J154" s="56">
        <f t="shared" si="8"/>
        <v>0</v>
      </c>
      <c r="K154" s="16"/>
    </row>
    <row r="155" spans="1:12">
      <c r="A155" s="290"/>
      <c r="B155" s="25" t="s">
        <v>62</v>
      </c>
      <c r="C155" s="13" t="s">
        <v>153</v>
      </c>
      <c r="D155" s="13" t="s">
        <v>513</v>
      </c>
      <c r="E155" s="13" t="s">
        <v>111</v>
      </c>
      <c r="F155" s="13">
        <v>1</v>
      </c>
      <c r="G155" s="13" t="s">
        <v>571</v>
      </c>
      <c r="H155" s="13">
        <f t="shared" si="14"/>
        <v>1</v>
      </c>
      <c r="I155" s="60">
        <v>1903</v>
      </c>
      <c r="J155" s="56">
        <f t="shared" si="8"/>
        <v>1903</v>
      </c>
      <c r="K155" s="16"/>
    </row>
    <row r="156" spans="1:12" ht="17.5" thickBot="1">
      <c r="A156" s="290"/>
      <c r="B156" s="25" t="s">
        <v>62</v>
      </c>
      <c r="C156" s="13" t="s">
        <v>153</v>
      </c>
      <c r="D156" s="13" t="s">
        <v>617</v>
      </c>
      <c r="E156" s="13" t="s">
        <v>616</v>
      </c>
      <c r="F156" s="13">
        <v>2</v>
      </c>
      <c r="G156" s="13" t="s">
        <v>235</v>
      </c>
      <c r="H156" s="13">
        <f t="shared" si="14"/>
        <v>2</v>
      </c>
      <c r="I156" s="60">
        <f>(24*2700)+200000</f>
        <v>264800</v>
      </c>
      <c r="J156" s="56">
        <f t="shared" si="8"/>
        <v>529600</v>
      </c>
      <c r="K156" s="16"/>
    </row>
    <row r="157" spans="1:12" ht="21.5" thickBot="1">
      <c r="A157" s="290"/>
      <c r="B157" s="26" t="s">
        <v>62</v>
      </c>
      <c r="C157" s="9" t="s">
        <v>153</v>
      </c>
      <c r="D157" s="9" t="s">
        <v>113</v>
      </c>
      <c r="E157" s="9" t="s">
        <v>113</v>
      </c>
      <c r="F157" s="9">
        <v>1</v>
      </c>
      <c r="G157" s="9" t="s">
        <v>240</v>
      </c>
      <c r="H157" s="9">
        <f t="shared" si="14"/>
        <v>1</v>
      </c>
      <c r="I157" s="105">
        <v>13400</v>
      </c>
      <c r="J157" s="78">
        <f t="shared" si="8"/>
        <v>13400</v>
      </c>
      <c r="K157" s="14"/>
      <c r="L157" s="106">
        <f>SUM(J148:J157)</f>
        <v>1243383</v>
      </c>
    </row>
    <row r="158" spans="1:12">
      <c r="A158" s="290">
        <v>17</v>
      </c>
      <c r="B158" s="21" t="s">
        <v>62</v>
      </c>
      <c r="C158" s="11" t="s">
        <v>154</v>
      </c>
      <c r="D158" s="11" t="s">
        <v>105</v>
      </c>
      <c r="E158" s="11" t="s">
        <v>522</v>
      </c>
      <c r="F158" s="11">
        <v>2</v>
      </c>
      <c r="G158" s="11" t="s">
        <v>560</v>
      </c>
      <c r="H158" s="11">
        <f>$G$17*F158</f>
        <v>2</v>
      </c>
      <c r="I158" s="54">
        <v>63000</v>
      </c>
      <c r="J158" s="54">
        <f t="shared" si="8"/>
        <v>126000</v>
      </c>
      <c r="K158" s="12"/>
    </row>
    <row r="159" spans="1:12">
      <c r="A159" s="290"/>
      <c r="B159" s="25" t="s">
        <v>62</v>
      </c>
      <c r="C159" s="13" t="s">
        <v>154</v>
      </c>
      <c r="D159" s="13" t="s">
        <v>497</v>
      </c>
      <c r="E159" s="13" t="s">
        <v>123</v>
      </c>
      <c r="F159" s="13">
        <v>1</v>
      </c>
      <c r="G159" s="13" t="s">
        <v>233</v>
      </c>
      <c r="H159" s="13">
        <f t="shared" ref="H159:H167" si="15">$G$17*F159</f>
        <v>1</v>
      </c>
      <c r="I159" s="60">
        <v>548000</v>
      </c>
      <c r="J159" s="56">
        <f t="shared" ref="J159:J222" si="16">H159*I159</f>
        <v>548000</v>
      </c>
      <c r="K159" s="16"/>
    </row>
    <row r="160" spans="1:12">
      <c r="A160" s="290"/>
      <c r="B160" s="25" t="s">
        <v>62</v>
      </c>
      <c r="C160" s="13" t="s">
        <v>154</v>
      </c>
      <c r="D160" s="13" t="s">
        <v>494</v>
      </c>
      <c r="E160" s="13" t="s">
        <v>116</v>
      </c>
      <c r="F160" s="13">
        <v>48</v>
      </c>
      <c r="G160" s="13" t="s">
        <v>251</v>
      </c>
      <c r="H160" s="13">
        <f t="shared" si="15"/>
        <v>48</v>
      </c>
      <c r="I160" s="60">
        <v>460</v>
      </c>
      <c r="J160" s="56">
        <f t="shared" si="16"/>
        <v>22080</v>
      </c>
      <c r="K160" s="16"/>
    </row>
    <row r="161" spans="1:12">
      <c r="A161" s="290"/>
      <c r="B161" s="25" t="s">
        <v>62</v>
      </c>
      <c r="C161" s="13" t="s">
        <v>154</v>
      </c>
      <c r="D161" s="13" t="s">
        <v>501</v>
      </c>
      <c r="E161" s="13" t="s">
        <v>124</v>
      </c>
      <c r="F161" s="13">
        <v>1</v>
      </c>
      <c r="G161" s="13" t="s">
        <v>233</v>
      </c>
      <c r="H161" s="13">
        <f t="shared" si="15"/>
        <v>1</v>
      </c>
      <c r="I161" s="60">
        <v>0</v>
      </c>
      <c r="J161" s="56">
        <f t="shared" si="16"/>
        <v>0</v>
      </c>
      <c r="K161" s="16"/>
    </row>
    <row r="162" spans="1:12">
      <c r="A162" s="290"/>
      <c r="B162" s="25" t="s">
        <v>62</v>
      </c>
      <c r="C162" s="13" t="s">
        <v>154</v>
      </c>
      <c r="D162" s="13" t="s">
        <v>504</v>
      </c>
      <c r="E162" s="13" t="s">
        <v>125</v>
      </c>
      <c r="F162" s="13">
        <v>1</v>
      </c>
      <c r="G162" s="13" t="s">
        <v>233</v>
      </c>
      <c r="H162" s="13">
        <f t="shared" si="15"/>
        <v>1</v>
      </c>
      <c r="I162" s="60">
        <v>0</v>
      </c>
      <c r="J162" s="56">
        <f t="shared" si="16"/>
        <v>0</v>
      </c>
      <c r="K162" s="16" t="s">
        <v>252</v>
      </c>
    </row>
    <row r="163" spans="1:12">
      <c r="A163" s="290"/>
      <c r="B163" s="25" t="s">
        <v>62</v>
      </c>
      <c r="C163" s="13" t="s">
        <v>154</v>
      </c>
      <c r="D163" s="13" t="s">
        <v>508</v>
      </c>
      <c r="E163" s="13" t="s">
        <v>110</v>
      </c>
      <c r="F163" s="13">
        <v>1</v>
      </c>
      <c r="G163" s="13" t="s">
        <v>681</v>
      </c>
      <c r="H163" s="13">
        <f t="shared" si="15"/>
        <v>1</v>
      </c>
      <c r="I163" s="60">
        <v>2400</v>
      </c>
      <c r="J163" s="56">
        <f t="shared" si="16"/>
        <v>2400</v>
      </c>
      <c r="K163" s="16"/>
    </row>
    <row r="164" spans="1:12">
      <c r="A164" s="290"/>
      <c r="B164" s="25" t="s">
        <v>62</v>
      </c>
      <c r="C164" s="13" t="s">
        <v>154</v>
      </c>
      <c r="D164" s="13" t="s">
        <v>511</v>
      </c>
      <c r="E164" s="13" t="s">
        <v>947</v>
      </c>
      <c r="F164" s="13">
        <v>1</v>
      </c>
      <c r="G164" s="13" t="s">
        <v>233</v>
      </c>
      <c r="H164" s="13">
        <f t="shared" si="15"/>
        <v>1</v>
      </c>
      <c r="I164" s="60">
        <v>0</v>
      </c>
      <c r="J164" s="56">
        <f t="shared" si="16"/>
        <v>0</v>
      </c>
      <c r="K164" s="16"/>
    </row>
    <row r="165" spans="1:12">
      <c r="A165" s="290"/>
      <c r="B165" s="25" t="s">
        <v>62</v>
      </c>
      <c r="C165" s="13" t="s">
        <v>154</v>
      </c>
      <c r="D165" s="13" t="s">
        <v>513</v>
      </c>
      <c r="E165" s="13" t="s">
        <v>111</v>
      </c>
      <c r="F165" s="13">
        <v>1</v>
      </c>
      <c r="G165" s="13" t="s">
        <v>571</v>
      </c>
      <c r="H165" s="13">
        <f t="shared" si="15"/>
        <v>1</v>
      </c>
      <c r="I165" s="60">
        <v>1903</v>
      </c>
      <c r="J165" s="56">
        <f t="shared" si="16"/>
        <v>1903</v>
      </c>
      <c r="K165" s="16"/>
    </row>
    <row r="166" spans="1:12" ht="17.5" thickBot="1">
      <c r="A166" s="290"/>
      <c r="B166" s="25" t="s">
        <v>62</v>
      </c>
      <c r="C166" s="13" t="s">
        <v>154</v>
      </c>
      <c r="D166" s="13" t="s">
        <v>617</v>
      </c>
      <c r="E166" s="13" t="s">
        <v>616</v>
      </c>
      <c r="F166" s="13">
        <v>2</v>
      </c>
      <c r="G166" s="13" t="s">
        <v>235</v>
      </c>
      <c r="H166" s="13">
        <f t="shared" si="15"/>
        <v>2</v>
      </c>
      <c r="I166" s="60">
        <f>(24*2700)+200000</f>
        <v>264800</v>
      </c>
      <c r="J166" s="56">
        <f t="shared" si="16"/>
        <v>529600</v>
      </c>
      <c r="K166" s="16"/>
    </row>
    <row r="167" spans="1:12" ht="21.5" thickBot="1">
      <c r="A167" s="290"/>
      <c r="B167" s="26" t="s">
        <v>62</v>
      </c>
      <c r="C167" s="9" t="s">
        <v>154</v>
      </c>
      <c r="D167" s="9" t="s">
        <v>113</v>
      </c>
      <c r="E167" s="9" t="s">
        <v>113</v>
      </c>
      <c r="F167" s="9">
        <v>1</v>
      </c>
      <c r="G167" s="9" t="s">
        <v>240</v>
      </c>
      <c r="H167" s="9">
        <f t="shared" si="15"/>
        <v>1</v>
      </c>
      <c r="I167" s="105">
        <v>13400</v>
      </c>
      <c r="J167" s="78">
        <f t="shared" si="16"/>
        <v>13400</v>
      </c>
      <c r="K167" s="14"/>
      <c r="L167" s="106">
        <f>SUM(J158:J167)</f>
        <v>1243383</v>
      </c>
    </row>
    <row r="168" spans="1:12">
      <c r="A168" s="290">
        <v>18</v>
      </c>
      <c r="B168" s="27" t="s">
        <v>62</v>
      </c>
      <c r="C168" s="10" t="s">
        <v>126</v>
      </c>
      <c r="D168" s="10" t="s">
        <v>552</v>
      </c>
      <c r="E168" s="10" t="s">
        <v>522</v>
      </c>
      <c r="F168" s="10">
        <v>2</v>
      </c>
      <c r="G168" s="10" t="s">
        <v>560</v>
      </c>
      <c r="H168" s="10">
        <f>$G$18*F168</f>
        <v>2</v>
      </c>
      <c r="I168" s="56">
        <v>63000</v>
      </c>
      <c r="J168" s="56">
        <f t="shared" si="16"/>
        <v>126000</v>
      </c>
      <c r="K168" s="17"/>
    </row>
    <row r="169" spans="1:12">
      <c r="A169" s="290"/>
      <c r="B169" s="25" t="s">
        <v>62</v>
      </c>
      <c r="C169" s="13" t="s">
        <v>126</v>
      </c>
      <c r="D169" s="13" t="s">
        <v>497</v>
      </c>
      <c r="E169" s="13" t="s">
        <v>123</v>
      </c>
      <c r="F169" s="13">
        <v>1</v>
      </c>
      <c r="G169" s="13" t="s">
        <v>233</v>
      </c>
      <c r="H169" s="13">
        <f t="shared" ref="H169:H176" si="17">$G$18*F169</f>
        <v>1</v>
      </c>
      <c r="I169" s="60">
        <v>548000</v>
      </c>
      <c r="J169" s="56">
        <f t="shared" si="16"/>
        <v>548000</v>
      </c>
      <c r="K169" s="16"/>
    </row>
    <row r="170" spans="1:12">
      <c r="A170" s="290"/>
      <c r="B170" s="25" t="s">
        <v>62</v>
      </c>
      <c r="C170" s="13" t="s">
        <v>126</v>
      </c>
      <c r="D170" s="13" t="s">
        <v>501</v>
      </c>
      <c r="E170" s="13" t="s">
        <v>124</v>
      </c>
      <c r="F170" s="13">
        <v>1</v>
      </c>
      <c r="G170" s="13" t="s">
        <v>233</v>
      </c>
      <c r="H170" s="13">
        <f t="shared" si="17"/>
        <v>1</v>
      </c>
      <c r="I170" s="60">
        <v>0</v>
      </c>
      <c r="J170" s="56">
        <f t="shared" si="16"/>
        <v>0</v>
      </c>
      <c r="K170" s="16"/>
    </row>
    <row r="171" spans="1:12">
      <c r="A171" s="290"/>
      <c r="B171" s="25" t="s">
        <v>62</v>
      </c>
      <c r="C171" s="13" t="s">
        <v>126</v>
      </c>
      <c r="D171" s="13" t="s">
        <v>504</v>
      </c>
      <c r="E171" s="13" t="s">
        <v>125</v>
      </c>
      <c r="F171" s="13">
        <v>1</v>
      </c>
      <c r="G171" s="13" t="s">
        <v>233</v>
      </c>
      <c r="H171" s="13">
        <f t="shared" si="17"/>
        <v>1</v>
      </c>
      <c r="I171" s="60">
        <v>0</v>
      </c>
      <c r="J171" s="56">
        <f t="shared" si="16"/>
        <v>0</v>
      </c>
      <c r="K171" s="16" t="s">
        <v>252</v>
      </c>
    </row>
    <row r="172" spans="1:12">
      <c r="A172" s="290"/>
      <c r="B172" s="25" t="s">
        <v>62</v>
      </c>
      <c r="C172" s="13" t="s">
        <v>126</v>
      </c>
      <c r="D172" s="13" t="s">
        <v>508</v>
      </c>
      <c r="E172" s="13" t="s">
        <v>110</v>
      </c>
      <c r="F172" s="13">
        <v>1</v>
      </c>
      <c r="G172" s="13" t="s">
        <v>681</v>
      </c>
      <c r="H172" s="13">
        <f t="shared" si="17"/>
        <v>1</v>
      </c>
      <c r="I172" s="60">
        <v>2400</v>
      </c>
      <c r="J172" s="56">
        <f t="shared" si="16"/>
        <v>2400</v>
      </c>
      <c r="K172" s="16"/>
    </row>
    <row r="173" spans="1:12">
      <c r="A173" s="290"/>
      <c r="B173" s="25" t="s">
        <v>62</v>
      </c>
      <c r="C173" s="13" t="s">
        <v>126</v>
      </c>
      <c r="D173" s="13" t="s">
        <v>511</v>
      </c>
      <c r="E173" s="13" t="s">
        <v>947</v>
      </c>
      <c r="F173" s="13">
        <v>1</v>
      </c>
      <c r="G173" s="13" t="s">
        <v>233</v>
      </c>
      <c r="H173" s="13">
        <f t="shared" si="17"/>
        <v>1</v>
      </c>
      <c r="I173" s="60">
        <v>0</v>
      </c>
      <c r="J173" s="56">
        <f t="shared" si="16"/>
        <v>0</v>
      </c>
      <c r="K173" s="16"/>
    </row>
    <row r="174" spans="1:12">
      <c r="A174" s="290"/>
      <c r="B174" s="25" t="s">
        <v>62</v>
      </c>
      <c r="C174" s="13" t="s">
        <v>126</v>
      </c>
      <c r="D174" s="13" t="s">
        <v>513</v>
      </c>
      <c r="E174" s="13" t="s">
        <v>111</v>
      </c>
      <c r="F174" s="13">
        <v>1</v>
      </c>
      <c r="G174" s="13" t="s">
        <v>571</v>
      </c>
      <c r="H174" s="13">
        <f t="shared" si="17"/>
        <v>1</v>
      </c>
      <c r="I174" s="60">
        <v>1903</v>
      </c>
      <c r="J174" s="56">
        <f t="shared" si="16"/>
        <v>1903</v>
      </c>
      <c r="K174" s="16"/>
    </row>
    <row r="175" spans="1:12" ht="17.5" thickBot="1">
      <c r="A175" s="290"/>
      <c r="B175" s="25" t="s">
        <v>62</v>
      </c>
      <c r="C175" s="13" t="s">
        <v>126</v>
      </c>
      <c r="D175" s="13" t="s">
        <v>617</v>
      </c>
      <c r="E175" s="13" t="s">
        <v>616</v>
      </c>
      <c r="F175" s="13">
        <v>2</v>
      </c>
      <c r="G175" s="13" t="s">
        <v>235</v>
      </c>
      <c r="H175" s="13">
        <f t="shared" si="17"/>
        <v>2</v>
      </c>
      <c r="I175" s="60">
        <f>(24*2700)+200000</f>
        <v>264800</v>
      </c>
      <c r="J175" s="56">
        <f t="shared" si="16"/>
        <v>529600</v>
      </c>
      <c r="K175" s="16"/>
    </row>
    <row r="176" spans="1:12" ht="21.5" thickBot="1">
      <c r="A176" s="290"/>
      <c r="B176" s="29" t="s">
        <v>62</v>
      </c>
      <c r="C176" s="15" t="s">
        <v>126</v>
      </c>
      <c r="D176" s="15" t="s">
        <v>113</v>
      </c>
      <c r="E176" s="15" t="s">
        <v>113</v>
      </c>
      <c r="F176" s="15">
        <v>1</v>
      </c>
      <c r="G176" s="15" t="s">
        <v>240</v>
      </c>
      <c r="H176" s="15">
        <f t="shared" si="17"/>
        <v>1</v>
      </c>
      <c r="I176" s="105">
        <v>13400</v>
      </c>
      <c r="J176" s="79">
        <f t="shared" si="16"/>
        <v>13400</v>
      </c>
      <c r="K176" s="22"/>
      <c r="L176" s="106">
        <f>SUM(J168:J176)</f>
        <v>1221303</v>
      </c>
    </row>
    <row r="177" spans="1:12">
      <c r="A177" s="290">
        <v>19</v>
      </c>
      <c r="B177" s="21" t="s">
        <v>615</v>
      </c>
      <c r="C177" s="11" t="s">
        <v>155</v>
      </c>
      <c r="D177" s="11" t="s">
        <v>118</v>
      </c>
      <c r="E177" s="11" t="s">
        <v>522</v>
      </c>
      <c r="F177" s="11">
        <v>2</v>
      </c>
      <c r="G177" s="11" t="s">
        <v>560</v>
      </c>
      <c r="H177" s="11">
        <f>$G$19*F177</f>
        <v>2</v>
      </c>
      <c r="I177" s="54">
        <v>88000</v>
      </c>
      <c r="J177" s="54">
        <f t="shared" si="16"/>
        <v>176000</v>
      </c>
      <c r="K177" s="12"/>
    </row>
    <row r="178" spans="1:12">
      <c r="A178" s="290"/>
      <c r="B178" s="25" t="s">
        <v>615</v>
      </c>
      <c r="C178" s="13" t="s">
        <v>155</v>
      </c>
      <c r="D178" s="13" t="s">
        <v>497</v>
      </c>
      <c r="E178" s="13" t="s">
        <v>123</v>
      </c>
      <c r="F178" s="13">
        <v>1</v>
      </c>
      <c r="G178" s="13" t="s">
        <v>233</v>
      </c>
      <c r="H178" s="13">
        <f t="shared" ref="H178:H186" si="18">$G$19*F178</f>
        <v>1</v>
      </c>
      <c r="I178" s="60">
        <v>548000</v>
      </c>
      <c r="J178" s="56">
        <f t="shared" si="16"/>
        <v>548000</v>
      </c>
      <c r="K178" s="16"/>
    </row>
    <row r="179" spans="1:12">
      <c r="A179" s="290"/>
      <c r="B179" s="25" t="s">
        <v>615</v>
      </c>
      <c r="C179" s="13" t="s">
        <v>155</v>
      </c>
      <c r="D179" s="13" t="s">
        <v>491</v>
      </c>
      <c r="E179" s="13" t="s">
        <v>107</v>
      </c>
      <c r="F179" s="13">
        <v>72</v>
      </c>
      <c r="G179" s="13" t="s">
        <v>251</v>
      </c>
      <c r="H179" s="13">
        <f t="shared" si="18"/>
        <v>72</v>
      </c>
      <c r="I179" s="60">
        <v>460</v>
      </c>
      <c r="J179" s="56">
        <f t="shared" si="16"/>
        <v>33120</v>
      </c>
      <c r="K179" s="16"/>
    </row>
    <row r="180" spans="1:12">
      <c r="A180" s="290"/>
      <c r="B180" s="25" t="s">
        <v>615</v>
      </c>
      <c r="C180" s="13" t="s">
        <v>155</v>
      </c>
      <c r="D180" s="13" t="s">
        <v>501</v>
      </c>
      <c r="E180" s="13" t="s">
        <v>124</v>
      </c>
      <c r="F180" s="13">
        <v>1</v>
      </c>
      <c r="G180" s="13" t="s">
        <v>233</v>
      </c>
      <c r="H180" s="13">
        <f t="shared" si="18"/>
        <v>1</v>
      </c>
      <c r="I180" s="60">
        <v>0</v>
      </c>
      <c r="J180" s="56">
        <f t="shared" si="16"/>
        <v>0</v>
      </c>
      <c r="K180" s="16"/>
    </row>
    <row r="181" spans="1:12">
      <c r="A181" s="290"/>
      <c r="B181" s="25" t="s">
        <v>615</v>
      </c>
      <c r="C181" s="13" t="s">
        <v>155</v>
      </c>
      <c r="D181" s="13" t="s">
        <v>504</v>
      </c>
      <c r="E181" s="13" t="s">
        <v>125</v>
      </c>
      <c r="F181" s="13">
        <v>1</v>
      </c>
      <c r="G181" s="13" t="s">
        <v>233</v>
      </c>
      <c r="H181" s="13">
        <f t="shared" si="18"/>
        <v>1</v>
      </c>
      <c r="I181" s="60">
        <v>0</v>
      </c>
      <c r="J181" s="56">
        <f t="shared" si="16"/>
        <v>0</v>
      </c>
      <c r="K181" s="16" t="s">
        <v>252</v>
      </c>
    </row>
    <row r="182" spans="1:12">
      <c r="A182" s="290"/>
      <c r="B182" s="25" t="s">
        <v>615</v>
      </c>
      <c r="C182" s="13" t="s">
        <v>155</v>
      </c>
      <c r="D182" s="13" t="s">
        <v>508</v>
      </c>
      <c r="E182" s="13" t="s">
        <v>110</v>
      </c>
      <c r="F182" s="13">
        <v>1</v>
      </c>
      <c r="G182" s="13" t="s">
        <v>681</v>
      </c>
      <c r="H182" s="13">
        <f t="shared" si="18"/>
        <v>1</v>
      </c>
      <c r="I182" s="60">
        <v>2400</v>
      </c>
      <c r="J182" s="56">
        <f t="shared" si="16"/>
        <v>2400</v>
      </c>
      <c r="K182" s="16"/>
    </row>
    <row r="183" spans="1:12">
      <c r="A183" s="290"/>
      <c r="B183" s="25" t="s">
        <v>615</v>
      </c>
      <c r="C183" s="13" t="s">
        <v>155</v>
      </c>
      <c r="D183" s="13" t="s">
        <v>511</v>
      </c>
      <c r="E183" s="13" t="s">
        <v>947</v>
      </c>
      <c r="F183" s="13">
        <v>1</v>
      </c>
      <c r="G183" s="13" t="s">
        <v>233</v>
      </c>
      <c r="H183" s="13">
        <f t="shared" si="18"/>
        <v>1</v>
      </c>
      <c r="I183" s="60">
        <v>0</v>
      </c>
      <c r="J183" s="56">
        <f t="shared" si="16"/>
        <v>0</v>
      </c>
      <c r="K183" s="16"/>
    </row>
    <row r="184" spans="1:12">
      <c r="A184" s="290"/>
      <c r="B184" s="25" t="s">
        <v>615</v>
      </c>
      <c r="C184" s="13" t="s">
        <v>155</v>
      </c>
      <c r="D184" s="13" t="s">
        <v>513</v>
      </c>
      <c r="E184" s="13" t="s">
        <v>111</v>
      </c>
      <c r="F184" s="13">
        <v>1</v>
      </c>
      <c r="G184" s="13" t="s">
        <v>571</v>
      </c>
      <c r="H184" s="13">
        <f t="shared" si="18"/>
        <v>1</v>
      </c>
      <c r="I184" s="60">
        <v>1903</v>
      </c>
      <c r="J184" s="56">
        <f t="shared" si="16"/>
        <v>1903</v>
      </c>
      <c r="K184" s="16"/>
    </row>
    <row r="185" spans="1:12" ht="17.5" thickBot="1">
      <c r="A185" s="290"/>
      <c r="B185" s="25" t="s">
        <v>615</v>
      </c>
      <c r="C185" s="13" t="s">
        <v>155</v>
      </c>
      <c r="D185" s="13" t="s">
        <v>128</v>
      </c>
      <c r="E185" s="13" t="s">
        <v>128</v>
      </c>
      <c r="F185" s="13">
        <v>2</v>
      </c>
      <c r="G185" s="13" t="s">
        <v>235</v>
      </c>
      <c r="H185" s="13">
        <f t="shared" si="18"/>
        <v>2</v>
      </c>
      <c r="I185" s="60">
        <f>(36*2700)+200000</f>
        <v>297200</v>
      </c>
      <c r="J185" s="56">
        <f t="shared" si="16"/>
        <v>594400</v>
      </c>
      <c r="K185" s="16"/>
    </row>
    <row r="186" spans="1:12" ht="21.5" thickBot="1">
      <c r="A186" s="290"/>
      <c r="B186" s="26" t="s">
        <v>615</v>
      </c>
      <c r="C186" s="9" t="s">
        <v>155</v>
      </c>
      <c r="D186" s="9" t="s">
        <v>113</v>
      </c>
      <c r="E186" s="9" t="s">
        <v>113</v>
      </c>
      <c r="F186" s="9">
        <v>1</v>
      </c>
      <c r="G186" s="9" t="s">
        <v>240</v>
      </c>
      <c r="H186" s="9">
        <f t="shared" si="18"/>
        <v>1</v>
      </c>
      <c r="I186" s="105">
        <v>13400</v>
      </c>
      <c r="J186" s="78">
        <f t="shared" si="16"/>
        <v>13400</v>
      </c>
      <c r="K186" s="14"/>
      <c r="L186" s="106">
        <f>SUM(J177:J186)</f>
        <v>1369223</v>
      </c>
    </row>
    <row r="187" spans="1:12">
      <c r="A187" s="290">
        <v>20</v>
      </c>
      <c r="B187" s="27" t="s">
        <v>615</v>
      </c>
      <c r="C187" s="10" t="s">
        <v>156</v>
      </c>
      <c r="D187" s="10" t="s">
        <v>118</v>
      </c>
      <c r="E187" s="10" t="s">
        <v>522</v>
      </c>
      <c r="F187" s="10">
        <v>2</v>
      </c>
      <c r="G187" s="10" t="s">
        <v>560</v>
      </c>
      <c r="H187" s="10">
        <f>$G$20*F187</f>
        <v>2</v>
      </c>
      <c r="I187" s="56">
        <v>88000</v>
      </c>
      <c r="J187" s="56">
        <f t="shared" si="16"/>
        <v>176000</v>
      </c>
      <c r="K187" s="17"/>
    </row>
    <row r="188" spans="1:12">
      <c r="A188" s="290"/>
      <c r="B188" s="25" t="s">
        <v>615</v>
      </c>
      <c r="C188" s="13" t="s">
        <v>156</v>
      </c>
      <c r="D188" s="13" t="s">
        <v>497</v>
      </c>
      <c r="E188" s="13" t="s">
        <v>123</v>
      </c>
      <c r="F188" s="13">
        <v>1</v>
      </c>
      <c r="G188" s="13" t="s">
        <v>233</v>
      </c>
      <c r="H188" s="13">
        <f t="shared" ref="H188:H196" si="19">$G$20*F188</f>
        <v>1</v>
      </c>
      <c r="I188" s="60">
        <v>548000</v>
      </c>
      <c r="J188" s="56">
        <f t="shared" si="16"/>
        <v>548000</v>
      </c>
      <c r="K188" s="16"/>
    </row>
    <row r="189" spans="1:12">
      <c r="A189" s="290"/>
      <c r="B189" s="25" t="s">
        <v>615</v>
      </c>
      <c r="C189" s="13" t="s">
        <v>156</v>
      </c>
      <c r="D189" s="13" t="s">
        <v>492</v>
      </c>
      <c r="E189" s="13" t="s">
        <v>114</v>
      </c>
      <c r="F189" s="13">
        <v>72</v>
      </c>
      <c r="G189" s="13" t="s">
        <v>251</v>
      </c>
      <c r="H189" s="13">
        <f t="shared" si="19"/>
        <v>72</v>
      </c>
      <c r="I189" s="60">
        <v>460</v>
      </c>
      <c r="J189" s="56">
        <f t="shared" si="16"/>
        <v>33120</v>
      </c>
      <c r="K189" s="16"/>
    </row>
    <row r="190" spans="1:12">
      <c r="A190" s="290"/>
      <c r="B190" s="25" t="s">
        <v>615</v>
      </c>
      <c r="C190" s="13" t="s">
        <v>156</v>
      </c>
      <c r="D190" s="13" t="s">
        <v>501</v>
      </c>
      <c r="E190" s="13" t="s">
        <v>124</v>
      </c>
      <c r="F190" s="13">
        <v>1</v>
      </c>
      <c r="G190" s="13" t="s">
        <v>233</v>
      </c>
      <c r="H190" s="13">
        <f t="shared" si="19"/>
        <v>1</v>
      </c>
      <c r="I190" s="60">
        <v>0</v>
      </c>
      <c r="J190" s="56">
        <f t="shared" si="16"/>
        <v>0</v>
      </c>
      <c r="K190" s="16"/>
    </row>
    <row r="191" spans="1:12">
      <c r="A191" s="290"/>
      <c r="B191" s="25" t="s">
        <v>615</v>
      </c>
      <c r="C191" s="13" t="s">
        <v>156</v>
      </c>
      <c r="D191" s="13" t="s">
        <v>504</v>
      </c>
      <c r="E191" s="13" t="s">
        <v>125</v>
      </c>
      <c r="F191" s="13">
        <v>1</v>
      </c>
      <c r="G191" s="13" t="s">
        <v>233</v>
      </c>
      <c r="H191" s="13">
        <f t="shared" si="19"/>
        <v>1</v>
      </c>
      <c r="I191" s="60">
        <v>0</v>
      </c>
      <c r="J191" s="56">
        <f t="shared" si="16"/>
        <v>0</v>
      </c>
      <c r="K191" s="16" t="s">
        <v>252</v>
      </c>
    </row>
    <row r="192" spans="1:12">
      <c r="A192" s="290"/>
      <c r="B192" s="25" t="s">
        <v>615</v>
      </c>
      <c r="C192" s="13" t="s">
        <v>156</v>
      </c>
      <c r="D192" s="13" t="s">
        <v>508</v>
      </c>
      <c r="E192" s="13" t="s">
        <v>110</v>
      </c>
      <c r="F192" s="13">
        <v>1</v>
      </c>
      <c r="G192" s="13" t="s">
        <v>681</v>
      </c>
      <c r="H192" s="13">
        <f t="shared" si="19"/>
        <v>1</v>
      </c>
      <c r="I192" s="60">
        <v>2400</v>
      </c>
      <c r="J192" s="56">
        <f t="shared" si="16"/>
        <v>2400</v>
      </c>
      <c r="K192" s="16"/>
    </row>
    <row r="193" spans="1:12">
      <c r="A193" s="290"/>
      <c r="B193" s="25" t="s">
        <v>615</v>
      </c>
      <c r="C193" s="13" t="s">
        <v>156</v>
      </c>
      <c r="D193" s="13" t="s">
        <v>511</v>
      </c>
      <c r="E193" s="13" t="s">
        <v>947</v>
      </c>
      <c r="F193" s="13">
        <v>1</v>
      </c>
      <c r="G193" s="13" t="s">
        <v>233</v>
      </c>
      <c r="H193" s="13">
        <f t="shared" si="19"/>
        <v>1</v>
      </c>
      <c r="I193" s="60">
        <v>0</v>
      </c>
      <c r="J193" s="56">
        <f t="shared" si="16"/>
        <v>0</v>
      </c>
      <c r="K193" s="16"/>
    </row>
    <row r="194" spans="1:12">
      <c r="A194" s="290"/>
      <c r="B194" s="25" t="s">
        <v>615</v>
      </c>
      <c r="C194" s="13" t="s">
        <v>156</v>
      </c>
      <c r="D194" s="13" t="s">
        <v>513</v>
      </c>
      <c r="E194" s="13" t="s">
        <v>111</v>
      </c>
      <c r="F194" s="13">
        <v>1</v>
      </c>
      <c r="G194" s="13" t="s">
        <v>571</v>
      </c>
      <c r="H194" s="13">
        <f t="shared" si="19"/>
        <v>1</v>
      </c>
      <c r="I194" s="60">
        <v>1903</v>
      </c>
      <c r="J194" s="56">
        <f t="shared" si="16"/>
        <v>1903</v>
      </c>
      <c r="K194" s="16"/>
    </row>
    <row r="195" spans="1:12" ht="17.5" thickBot="1">
      <c r="A195" s="290"/>
      <c r="B195" s="25" t="s">
        <v>615</v>
      </c>
      <c r="C195" s="13" t="s">
        <v>156</v>
      </c>
      <c r="D195" s="13" t="s">
        <v>591</v>
      </c>
      <c r="E195" s="13" t="s">
        <v>128</v>
      </c>
      <c r="F195" s="13">
        <v>2</v>
      </c>
      <c r="G195" s="13" t="s">
        <v>235</v>
      </c>
      <c r="H195" s="13">
        <f t="shared" si="19"/>
        <v>2</v>
      </c>
      <c r="I195" s="60">
        <f>(36*2700)+200000</f>
        <v>297200</v>
      </c>
      <c r="J195" s="56">
        <f t="shared" si="16"/>
        <v>594400</v>
      </c>
      <c r="K195" s="16"/>
    </row>
    <row r="196" spans="1:12" ht="21.5" thickBot="1">
      <c r="A196" s="290"/>
      <c r="B196" s="29" t="s">
        <v>615</v>
      </c>
      <c r="C196" s="15" t="s">
        <v>156</v>
      </c>
      <c r="D196" s="15" t="s">
        <v>113</v>
      </c>
      <c r="E196" s="15" t="s">
        <v>113</v>
      </c>
      <c r="F196" s="15">
        <v>1</v>
      </c>
      <c r="G196" s="15" t="s">
        <v>240</v>
      </c>
      <c r="H196" s="15">
        <f t="shared" si="19"/>
        <v>1</v>
      </c>
      <c r="I196" s="105">
        <v>13400</v>
      </c>
      <c r="J196" s="79">
        <f t="shared" si="16"/>
        <v>13400</v>
      </c>
      <c r="K196" s="22"/>
      <c r="L196" s="106">
        <f>SUM(J187:J196)</f>
        <v>1369223</v>
      </c>
    </row>
    <row r="197" spans="1:12">
      <c r="A197" s="290">
        <v>21</v>
      </c>
      <c r="B197" s="21" t="s">
        <v>615</v>
      </c>
      <c r="C197" s="11" t="s">
        <v>157</v>
      </c>
      <c r="D197" s="11" t="s">
        <v>118</v>
      </c>
      <c r="E197" s="11" t="s">
        <v>522</v>
      </c>
      <c r="F197" s="11">
        <v>2</v>
      </c>
      <c r="G197" s="11" t="s">
        <v>560</v>
      </c>
      <c r="H197" s="11">
        <f>$G$21*F197</f>
        <v>2</v>
      </c>
      <c r="I197" s="54">
        <v>88000</v>
      </c>
      <c r="J197" s="54">
        <f t="shared" si="16"/>
        <v>176000</v>
      </c>
      <c r="K197" s="12"/>
    </row>
    <row r="198" spans="1:12">
      <c r="A198" s="290"/>
      <c r="B198" s="25" t="s">
        <v>615</v>
      </c>
      <c r="C198" s="13" t="s">
        <v>157</v>
      </c>
      <c r="D198" s="13" t="s">
        <v>497</v>
      </c>
      <c r="E198" s="13" t="s">
        <v>123</v>
      </c>
      <c r="F198" s="13">
        <v>1</v>
      </c>
      <c r="G198" s="13" t="s">
        <v>233</v>
      </c>
      <c r="H198" s="13">
        <f t="shared" ref="H198:H206" si="20">$G$21*F198</f>
        <v>1</v>
      </c>
      <c r="I198" s="60">
        <v>548000</v>
      </c>
      <c r="J198" s="56">
        <f t="shared" si="16"/>
        <v>548000</v>
      </c>
      <c r="K198" s="16"/>
    </row>
    <row r="199" spans="1:12">
      <c r="A199" s="290"/>
      <c r="B199" s="25" t="s">
        <v>615</v>
      </c>
      <c r="C199" s="13" t="s">
        <v>157</v>
      </c>
      <c r="D199" s="13" t="s">
        <v>493</v>
      </c>
      <c r="E199" s="13" t="s">
        <v>115</v>
      </c>
      <c r="F199" s="13">
        <v>72</v>
      </c>
      <c r="G199" s="13" t="s">
        <v>251</v>
      </c>
      <c r="H199" s="13">
        <f t="shared" si="20"/>
        <v>72</v>
      </c>
      <c r="I199" s="60">
        <v>460</v>
      </c>
      <c r="J199" s="56">
        <f t="shared" si="16"/>
        <v>33120</v>
      </c>
      <c r="K199" s="16"/>
    </row>
    <row r="200" spans="1:12">
      <c r="A200" s="290"/>
      <c r="B200" s="25" t="s">
        <v>615</v>
      </c>
      <c r="C200" s="13" t="s">
        <v>157</v>
      </c>
      <c r="D200" s="13" t="s">
        <v>501</v>
      </c>
      <c r="E200" s="13" t="s">
        <v>124</v>
      </c>
      <c r="F200" s="13">
        <v>1</v>
      </c>
      <c r="G200" s="13" t="s">
        <v>233</v>
      </c>
      <c r="H200" s="13">
        <f t="shared" si="20"/>
        <v>1</v>
      </c>
      <c r="I200" s="60">
        <v>0</v>
      </c>
      <c r="J200" s="56">
        <f t="shared" si="16"/>
        <v>0</v>
      </c>
      <c r="K200" s="16"/>
    </row>
    <row r="201" spans="1:12">
      <c r="A201" s="290"/>
      <c r="B201" s="25" t="s">
        <v>615</v>
      </c>
      <c r="C201" s="13" t="s">
        <v>157</v>
      </c>
      <c r="D201" s="13" t="s">
        <v>504</v>
      </c>
      <c r="E201" s="13" t="s">
        <v>125</v>
      </c>
      <c r="F201" s="13">
        <v>1</v>
      </c>
      <c r="G201" s="13" t="s">
        <v>233</v>
      </c>
      <c r="H201" s="13">
        <f t="shared" si="20"/>
        <v>1</v>
      </c>
      <c r="I201" s="60">
        <v>0</v>
      </c>
      <c r="J201" s="56">
        <f t="shared" si="16"/>
        <v>0</v>
      </c>
      <c r="K201" s="16" t="s">
        <v>252</v>
      </c>
    </row>
    <row r="202" spans="1:12">
      <c r="A202" s="290"/>
      <c r="B202" s="25" t="s">
        <v>615</v>
      </c>
      <c r="C202" s="13" t="s">
        <v>157</v>
      </c>
      <c r="D202" s="13" t="s">
        <v>508</v>
      </c>
      <c r="E202" s="13" t="s">
        <v>110</v>
      </c>
      <c r="F202" s="13">
        <v>1</v>
      </c>
      <c r="G202" s="13" t="s">
        <v>681</v>
      </c>
      <c r="H202" s="13">
        <f t="shared" si="20"/>
        <v>1</v>
      </c>
      <c r="I202" s="60">
        <v>2400</v>
      </c>
      <c r="J202" s="56">
        <f t="shared" si="16"/>
        <v>2400</v>
      </c>
      <c r="K202" s="16"/>
    </row>
    <row r="203" spans="1:12">
      <c r="A203" s="290"/>
      <c r="B203" s="25" t="s">
        <v>615</v>
      </c>
      <c r="C203" s="13" t="s">
        <v>157</v>
      </c>
      <c r="D203" s="13" t="s">
        <v>511</v>
      </c>
      <c r="E203" s="13" t="s">
        <v>947</v>
      </c>
      <c r="F203" s="13">
        <v>1</v>
      </c>
      <c r="G203" s="13" t="s">
        <v>233</v>
      </c>
      <c r="H203" s="13">
        <f t="shared" si="20"/>
        <v>1</v>
      </c>
      <c r="I203" s="60">
        <v>0</v>
      </c>
      <c r="J203" s="56">
        <f t="shared" si="16"/>
        <v>0</v>
      </c>
      <c r="K203" s="16"/>
    </row>
    <row r="204" spans="1:12">
      <c r="A204" s="290"/>
      <c r="B204" s="25" t="s">
        <v>615</v>
      </c>
      <c r="C204" s="13" t="s">
        <v>157</v>
      </c>
      <c r="D204" s="13" t="s">
        <v>513</v>
      </c>
      <c r="E204" s="13" t="s">
        <v>111</v>
      </c>
      <c r="F204" s="13">
        <v>1</v>
      </c>
      <c r="G204" s="13" t="s">
        <v>571</v>
      </c>
      <c r="H204" s="13">
        <f t="shared" si="20"/>
        <v>1</v>
      </c>
      <c r="I204" s="60">
        <v>1903</v>
      </c>
      <c r="J204" s="56">
        <f t="shared" si="16"/>
        <v>1903</v>
      </c>
      <c r="K204" s="16"/>
    </row>
    <row r="205" spans="1:12" ht="17.5" thickBot="1">
      <c r="A205" s="290"/>
      <c r="B205" s="25" t="s">
        <v>615</v>
      </c>
      <c r="C205" s="13" t="s">
        <v>157</v>
      </c>
      <c r="D205" s="13" t="s">
        <v>128</v>
      </c>
      <c r="E205" s="13" t="s">
        <v>128</v>
      </c>
      <c r="F205" s="13">
        <v>2</v>
      </c>
      <c r="G205" s="13" t="s">
        <v>235</v>
      </c>
      <c r="H205" s="13">
        <f t="shared" si="20"/>
        <v>2</v>
      </c>
      <c r="I205" s="60">
        <f>(36*2700)+200000</f>
        <v>297200</v>
      </c>
      <c r="J205" s="56">
        <f t="shared" si="16"/>
        <v>594400</v>
      </c>
      <c r="K205" s="16"/>
    </row>
    <row r="206" spans="1:12" ht="21.5" thickBot="1">
      <c r="A206" s="290"/>
      <c r="B206" s="26" t="s">
        <v>615</v>
      </c>
      <c r="C206" s="9" t="s">
        <v>157</v>
      </c>
      <c r="D206" s="9" t="s">
        <v>113</v>
      </c>
      <c r="E206" s="9" t="s">
        <v>113</v>
      </c>
      <c r="F206" s="9">
        <v>1</v>
      </c>
      <c r="G206" s="9" t="s">
        <v>240</v>
      </c>
      <c r="H206" s="9">
        <f t="shared" si="20"/>
        <v>1</v>
      </c>
      <c r="I206" s="105">
        <v>13400</v>
      </c>
      <c r="J206" s="78">
        <f t="shared" si="16"/>
        <v>13400</v>
      </c>
      <c r="K206" s="14"/>
      <c r="L206" s="106">
        <f>SUM(J197:J206)</f>
        <v>1369223</v>
      </c>
    </row>
    <row r="207" spans="1:12">
      <c r="A207" s="290">
        <v>22</v>
      </c>
      <c r="B207" s="27" t="s">
        <v>64</v>
      </c>
      <c r="C207" s="10" t="s">
        <v>158</v>
      </c>
      <c r="D207" s="10" t="s">
        <v>118</v>
      </c>
      <c r="E207" s="10" t="s">
        <v>522</v>
      </c>
      <c r="F207" s="10">
        <v>2</v>
      </c>
      <c r="G207" s="10" t="s">
        <v>560</v>
      </c>
      <c r="H207" s="10">
        <f>$G$22*F207</f>
        <v>2</v>
      </c>
      <c r="I207" s="56">
        <v>88000</v>
      </c>
      <c r="J207" s="56">
        <f t="shared" si="16"/>
        <v>176000</v>
      </c>
      <c r="K207" s="17"/>
    </row>
    <row r="208" spans="1:12">
      <c r="A208" s="290"/>
      <c r="B208" s="25" t="s">
        <v>64</v>
      </c>
      <c r="C208" s="13" t="s">
        <v>158</v>
      </c>
      <c r="D208" s="13" t="s">
        <v>497</v>
      </c>
      <c r="E208" s="13" t="s">
        <v>123</v>
      </c>
      <c r="F208" s="13">
        <v>1</v>
      </c>
      <c r="G208" s="13" t="s">
        <v>233</v>
      </c>
      <c r="H208" s="13">
        <f t="shared" ref="H208:H216" si="21">$G$22*F208</f>
        <v>1</v>
      </c>
      <c r="I208" s="60">
        <v>548000</v>
      </c>
      <c r="J208" s="56">
        <f t="shared" si="16"/>
        <v>548000</v>
      </c>
      <c r="K208" s="16"/>
    </row>
    <row r="209" spans="1:12">
      <c r="A209" s="290"/>
      <c r="B209" s="25" t="s">
        <v>64</v>
      </c>
      <c r="C209" s="13" t="s">
        <v>158</v>
      </c>
      <c r="D209" s="13" t="s">
        <v>494</v>
      </c>
      <c r="E209" s="13" t="s">
        <v>116</v>
      </c>
      <c r="F209" s="13">
        <v>72</v>
      </c>
      <c r="G209" s="13" t="s">
        <v>251</v>
      </c>
      <c r="H209" s="13">
        <f t="shared" si="21"/>
        <v>72</v>
      </c>
      <c r="I209" s="60">
        <v>460</v>
      </c>
      <c r="J209" s="56">
        <f t="shared" si="16"/>
        <v>33120</v>
      </c>
      <c r="K209" s="16"/>
    </row>
    <row r="210" spans="1:12">
      <c r="A210" s="290"/>
      <c r="B210" s="25" t="s">
        <v>64</v>
      </c>
      <c r="C210" s="13" t="s">
        <v>158</v>
      </c>
      <c r="D210" s="13" t="s">
        <v>501</v>
      </c>
      <c r="E210" s="13" t="s">
        <v>124</v>
      </c>
      <c r="F210" s="13">
        <v>1</v>
      </c>
      <c r="G210" s="13" t="s">
        <v>233</v>
      </c>
      <c r="H210" s="13">
        <f t="shared" si="21"/>
        <v>1</v>
      </c>
      <c r="I210" s="60">
        <v>0</v>
      </c>
      <c r="J210" s="56">
        <f t="shared" si="16"/>
        <v>0</v>
      </c>
      <c r="K210" s="16"/>
    </row>
    <row r="211" spans="1:12">
      <c r="A211" s="290"/>
      <c r="B211" s="25" t="s">
        <v>64</v>
      </c>
      <c r="C211" s="13" t="s">
        <v>158</v>
      </c>
      <c r="D211" s="13" t="s">
        <v>504</v>
      </c>
      <c r="E211" s="13" t="s">
        <v>125</v>
      </c>
      <c r="F211" s="13">
        <v>1</v>
      </c>
      <c r="G211" s="13" t="s">
        <v>233</v>
      </c>
      <c r="H211" s="13">
        <f t="shared" si="21"/>
        <v>1</v>
      </c>
      <c r="I211" s="60">
        <v>0</v>
      </c>
      <c r="J211" s="56">
        <f t="shared" si="16"/>
        <v>0</v>
      </c>
      <c r="K211" s="16" t="s">
        <v>252</v>
      </c>
    </row>
    <row r="212" spans="1:12">
      <c r="A212" s="290"/>
      <c r="B212" s="25" t="s">
        <v>64</v>
      </c>
      <c r="C212" s="13" t="s">
        <v>158</v>
      </c>
      <c r="D212" s="13" t="s">
        <v>508</v>
      </c>
      <c r="E212" s="13" t="s">
        <v>110</v>
      </c>
      <c r="F212" s="13">
        <v>1</v>
      </c>
      <c r="G212" s="13" t="s">
        <v>681</v>
      </c>
      <c r="H212" s="13">
        <f t="shared" si="21"/>
        <v>1</v>
      </c>
      <c r="I212" s="60">
        <v>2400</v>
      </c>
      <c r="J212" s="56">
        <f t="shared" si="16"/>
        <v>2400</v>
      </c>
      <c r="K212" s="16"/>
    </row>
    <row r="213" spans="1:12">
      <c r="A213" s="290"/>
      <c r="B213" s="25" t="s">
        <v>64</v>
      </c>
      <c r="C213" s="13" t="s">
        <v>158</v>
      </c>
      <c r="D213" s="13" t="s">
        <v>511</v>
      </c>
      <c r="E213" s="13" t="s">
        <v>947</v>
      </c>
      <c r="F213" s="13">
        <v>1</v>
      </c>
      <c r="G213" s="13" t="s">
        <v>233</v>
      </c>
      <c r="H213" s="13">
        <f t="shared" si="21"/>
        <v>1</v>
      </c>
      <c r="I213" s="60">
        <v>0</v>
      </c>
      <c r="J213" s="56">
        <f t="shared" si="16"/>
        <v>0</v>
      </c>
      <c r="K213" s="16"/>
    </row>
    <row r="214" spans="1:12">
      <c r="A214" s="290"/>
      <c r="B214" s="25" t="s">
        <v>64</v>
      </c>
      <c r="C214" s="13" t="s">
        <v>158</v>
      </c>
      <c r="D214" s="13" t="s">
        <v>513</v>
      </c>
      <c r="E214" s="13" t="s">
        <v>111</v>
      </c>
      <c r="F214" s="13">
        <v>1</v>
      </c>
      <c r="G214" s="13" t="s">
        <v>571</v>
      </c>
      <c r="H214" s="13">
        <f t="shared" si="21"/>
        <v>1</v>
      </c>
      <c r="I214" s="60">
        <v>1903</v>
      </c>
      <c r="J214" s="56">
        <f t="shared" si="16"/>
        <v>1903</v>
      </c>
      <c r="K214" s="16"/>
    </row>
    <row r="215" spans="1:12" ht="17.5" thickBot="1">
      <c r="A215" s="290"/>
      <c r="B215" s="25" t="s">
        <v>64</v>
      </c>
      <c r="C215" s="13" t="s">
        <v>158</v>
      </c>
      <c r="D215" s="13" t="s">
        <v>128</v>
      </c>
      <c r="E215" s="13" t="s">
        <v>128</v>
      </c>
      <c r="F215" s="13">
        <v>2</v>
      </c>
      <c r="G215" s="13" t="s">
        <v>235</v>
      </c>
      <c r="H215" s="13">
        <f t="shared" si="21"/>
        <v>2</v>
      </c>
      <c r="I215" s="60">
        <f>(36*2700)+200000</f>
        <v>297200</v>
      </c>
      <c r="J215" s="56">
        <f t="shared" si="16"/>
        <v>594400</v>
      </c>
      <c r="K215" s="16"/>
    </row>
    <row r="216" spans="1:12" ht="21.5" thickBot="1">
      <c r="A216" s="290"/>
      <c r="B216" s="29" t="s">
        <v>64</v>
      </c>
      <c r="C216" s="15" t="s">
        <v>158</v>
      </c>
      <c r="D216" s="15" t="s">
        <v>113</v>
      </c>
      <c r="E216" s="15" t="s">
        <v>113</v>
      </c>
      <c r="F216" s="15">
        <v>1</v>
      </c>
      <c r="G216" s="15" t="s">
        <v>240</v>
      </c>
      <c r="H216" s="15">
        <f t="shared" si="21"/>
        <v>1</v>
      </c>
      <c r="I216" s="105">
        <v>13400</v>
      </c>
      <c r="J216" s="79">
        <f t="shared" si="16"/>
        <v>13400</v>
      </c>
      <c r="K216" s="22"/>
      <c r="L216" s="106">
        <f>SUM(J207:J216)</f>
        <v>1369223</v>
      </c>
    </row>
    <row r="217" spans="1:12">
      <c r="A217" s="290">
        <v>23</v>
      </c>
      <c r="B217" s="21" t="s">
        <v>64</v>
      </c>
      <c r="C217" s="11" t="s">
        <v>127</v>
      </c>
      <c r="D217" s="11" t="s">
        <v>118</v>
      </c>
      <c r="E217" s="11" t="s">
        <v>522</v>
      </c>
      <c r="F217" s="11">
        <v>2</v>
      </c>
      <c r="G217" s="11" t="s">
        <v>560</v>
      </c>
      <c r="H217" s="11">
        <f>$G$23*F217</f>
        <v>2</v>
      </c>
      <c r="I217" s="54">
        <v>88000</v>
      </c>
      <c r="J217" s="54">
        <f t="shared" si="16"/>
        <v>176000</v>
      </c>
      <c r="K217" s="12"/>
    </row>
    <row r="218" spans="1:12">
      <c r="A218" s="290"/>
      <c r="B218" s="25" t="s">
        <v>64</v>
      </c>
      <c r="C218" s="13" t="s">
        <v>127</v>
      </c>
      <c r="D218" s="13" t="s">
        <v>497</v>
      </c>
      <c r="E218" s="13" t="s">
        <v>123</v>
      </c>
      <c r="F218" s="13">
        <v>1</v>
      </c>
      <c r="G218" s="13" t="s">
        <v>233</v>
      </c>
      <c r="H218" s="13">
        <f t="shared" ref="H218:H225" si="22">$G$23*F218</f>
        <v>1</v>
      </c>
      <c r="I218" s="60">
        <v>548000</v>
      </c>
      <c r="J218" s="56">
        <f t="shared" si="16"/>
        <v>548000</v>
      </c>
      <c r="K218" s="16"/>
    </row>
    <row r="219" spans="1:12">
      <c r="A219" s="290"/>
      <c r="B219" s="25" t="s">
        <v>64</v>
      </c>
      <c r="C219" s="13" t="s">
        <v>127</v>
      </c>
      <c r="D219" s="13" t="s">
        <v>501</v>
      </c>
      <c r="E219" s="13" t="s">
        <v>124</v>
      </c>
      <c r="F219" s="13">
        <v>1</v>
      </c>
      <c r="G219" s="13" t="s">
        <v>233</v>
      </c>
      <c r="H219" s="13">
        <f t="shared" si="22"/>
        <v>1</v>
      </c>
      <c r="I219" s="60">
        <v>0</v>
      </c>
      <c r="J219" s="56">
        <f t="shared" si="16"/>
        <v>0</v>
      </c>
      <c r="K219" s="16"/>
    </row>
    <row r="220" spans="1:12">
      <c r="A220" s="290"/>
      <c r="B220" s="25" t="s">
        <v>64</v>
      </c>
      <c r="C220" s="13" t="s">
        <v>127</v>
      </c>
      <c r="D220" s="13" t="s">
        <v>504</v>
      </c>
      <c r="E220" s="13" t="s">
        <v>125</v>
      </c>
      <c r="F220" s="13">
        <v>1</v>
      </c>
      <c r="G220" s="13" t="s">
        <v>233</v>
      </c>
      <c r="H220" s="13">
        <f t="shared" si="22"/>
        <v>1</v>
      </c>
      <c r="I220" s="60">
        <v>0</v>
      </c>
      <c r="J220" s="56">
        <f t="shared" si="16"/>
        <v>0</v>
      </c>
      <c r="K220" s="16" t="s">
        <v>252</v>
      </c>
    </row>
    <row r="221" spans="1:12">
      <c r="A221" s="290"/>
      <c r="B221" s="25" t="s">
        <v>64</v>
      </c>
      <c r="C221" s="13" t="s">
        <v>127</v>
      </c>
      <c r="D221" s="13" t="s">
        <v>508</v>
      </c>
      <c r="E221" s="13" t="s">
        <v>110</v>
      </c>
      <c r="F221" s="13">
        <v>1</v>
      </c>
      <c r="G221" s="13" t="s">
        <v>681</v>
      </c>
      <c r="H221" s="13">
        <f t="shared" si="22"/>
        <v>1</v>
      </c>
      <c r="I221" s="60">
        <v>2400</v>
      </c>
      <c r="J221" s="56">
        <f t="shared" si="16"/>
        <v>2400</v>
      </c>
      <c r="K221" s="16"/>
    </row>
    <row r="222" spans="1:12">
      <c r="A222" s="290"/>
      <c r="B222" s="25" t="s">
        <v>64</v>
      </c>
      <c r="C222" s="13" t="s">
        <v>127</v>
      </c>
      <c r="D222" s="13" t="s">
        <v>511</v>
      </c>
      <c r="E222" s="13" t="s">
        <v>947</v>
      </c>
      <c r="F222" s="13">
        <v>1</v>
      </c>
      <c r="G222" s="13" t="s">
        <v>233</v>
      </c>
      <c r="H222" s="13">
        <f t="shared" si="22"/>
        <v>1</v>
      </c>
      <c r="I222" s="60">
        <v>0</v>
      </c>
      <c r="J222" s="56">
        <f t="shared" si="16"/>
        <v>0</v>
      </c>
      <c r="K222" s="16"/>
    </row>
    <row r="223" spans="1:12">
      <c r="A223" s="290"/>
      <c r="B223" s="25" t="s">
        <v>64</v>
      </c>
      <c r="C223" s="13" t="s">
        <v>127</v>
      </c>
      <c r="D223" s="13" t="s">
        <v>513</v>
      </c>
      <c r="E223" s="13" t="s">
        <v>572</v>
      </c>
      <c r="F223" s="13">
        <v>1</v>
      </c>
      <c r="G223" s="13" t="s">
        <v>571</v>
      </c>
      <c r="H223" s="13">
        <f t="shared" si="22"/>
        <v>1</v>
      </c>
      <c r="I223" s="60">
        <v>1903</v>
      </c>
      <c r="J223" s="56">
        <f t="shared" ref="J223:J286" si="23">H223*I223</f>
        <v>1903</v>
      </c>
      <c r="K223" s="16"/>
    </row>
    <row r="224" spans="1:12" ht="17.5" thickBot="1">
      <c r="A224" s="290"/>
      <c r="B224" s="25" t="s">
        <v>64</v>
      </c>
      <c r="C224" s="13" t="s">
        <v>127</v>
      </c>
      <c r="D224" s="13" t="s">
        <v>128</v>
      </c>
      <c r="E224" s="13" t="s">
        <v>128</v>
      </c>
      <c r="F224" s="13">
        <v>2</v>
      </c>
      <c r="G224" s="13" t="s">
        <v>235</v>
      </c>
      <c r="H224" s="13">
        <f t="shared" si="22"/>
        <v>2</v>
      </c>
      <c r="I224" s="60">
        <f>(36*2700)+200000</f>
        <v>297200</v>
      </c>
      <c r="J224" s="56">
        <f t="shared" si="23"/>
        <v>594400</v>
      </c>
      <c r="K224" s="16"/>
    </row>
    <row r="225" spans="1:12" ht="21.5" thickBot="1">
      <c r="A225" s="290"/>
      <c r="B225" s="26" t="s">
        <v>64</v>
      </c>
      <c r="C225" s="9" t="s">
        <v>127</v>
      </c>
      <c r="D225" s="9" t="s">
        <v>113</v>
      </c>
      <c r="E225" s="9" t="s">
        <v>113</v>
      </c>
      <c r="F225" s="9">
        <v>1</v>
      </c>
      <c r="G225" s="9" t="s">
        <v>240</v>
      </c>
      <c r="H225" s="9">
        <f t="shared" si="22"/>
        <v>1</v>
      </c>
      <c r="I225" s="105">
        <v>13400</v>
      </c>
      <c r="J225" s="78">
        <f t="shared" si="23"/>
        <v>13400</v>
      </c>
      <c r="K225" s="14"/>
      <c r="L225" s="106">
        <f>SUM(J217:J225)</f>
        <v>1336103</v>
      </c>
    </row>
    <row r="226" spans="1:12">
      <c r="A226" s="290">
        <v>24</v>
      </c>
      <c r="B226" s="27" t="s">
        <v>68</v>
      </c>
      <c r="C226" s="10" t="s">
        <v>159</v>
      </c>
      <c r="D226" s="10" t="s">
        <v>105</v>
      </c>
      <c r="E226" s="10" t="s">
        <v>522</v>
      </c>
      <c r="F226" s="10">
        <v>4</v>
      </c>
      <c r="G226" s="10" t="s">
        <v>560</v>
      </c>
      <c r="H226" s="10">
        <f>$K$4*F226</f>
        <v>4</v>
      </c>
      <c r="I226" s="56">
        <v>63000</v>
      </c>
      <c r="J226" s="56">
        <f t="shared" si="23"/>
        <v>252000</v>
      </c>
      <c r="K226" s="17"/>
    </row>
    <row r="227" spans="1:12">
      <c r="A227" s="290"/>
      <c r="B227" s="25" t="s">
        <v>68</v>
      </c>
      <c r="C227" s="13" t="s">
        <v>159</v>
      </c>
      <c r="D227" s="13" t="s">
        <v>498</v>
      </c>
      <c r="E227" s="13" t="s">
        <v>608</v>
      </c>
      <c r="F227" s="13">
        <v>1</v>
      </c>
      <c r="G227" s="13" t="s">
        <v>233</v>
      </c>
      <c r="H227" s="13">
        <f t="shared" ref="H227:H235" si="24">$K$4*F227</f>
        <v>1</v>
      </c>
      <c r="I227" s="60">
        <v>710000</v>
      </c>
      <c r="J227" s="56">
        <f t="shared" si="23"/>
        <v>710000</v>
      </c>
      <c r="K227" s="16"/>
    </row>
    <row r="228" spans="1:12">
      <c r="A228" s="290"/>
      <c r="B228" s="25" t="s">
        <v>68</v>
      </c>
      <c r="C228" s="13" t="s">
        <v>159</v>
      </c>
      <c r="D228" s="13" t="s">
        <v>491</v>
      </c>
      <c r="E228" s="13" t="s">
        <v>107</v>
      </c>
      <c r="F228" s="13">
        <v>96</v>
      </c>
      <c r="G228" s="13" t="s">
        <v>251</v>
      </c>
      <c r="H228" s="13">
        <f t="shared" si="24"/>
        <v>96</v>
      </c>
      <c r="I228" s="60">
        <v>460</v>
      </c>
      <c r="J228" s="56">
        <f t="shared" si="23"/>
        <v>44160</v>
      </c>
      <c r="K228" s="16"/>
    </row>
    <row r="229" spans="1:12">
      <c r="A229" s="290"/>
      <c r="B229" s="25" t="s">
        <v>68</v>
      </c>
      <c r="C229" s="13" t="s">
        <v>159</v>
      </c>
      <c r="D229" s="13" t="s">
        <v>502</v>
      </c>
      <c r="E229" s="13" t="s">
        <v>596</v>
      </c>
      <c r="F229" s="13">
        <v>1</v>
      </c>
      <c r="G229" s="13" t="s">
        <v>233</v>
      </c>
      <c r="H229" s="13">
        <f t="shared" si="24"/>
        <v>1</v>
      </c>
      <c r="I229" s="60">
        <v>0</v>
      </c>
      <c r="J229" s="56">
        <f t="shared" si="23"/>
        <v>0</v>
      </c>
      <c r="K229" s="16"/>
    </row>
    <row r="230" spans="1:12">
      <c r="A230" s="290"/>
      <c r="B230" s="25" t="s">
        <v>68</v>
      </c>
      <c r="C230" s="13" t="s">
        <v>159</v>
      </c>
      <c r="D230" s="13" t="s">
        <v>505</v>
      </c>
      <c r="E230" s="13" t="s">
        <v>131</v>
      </c>
      <c r="F230" s="13">
        <v>1</v>
      </c>
      <c r="G230" s="13" t="s">
        <v>233</v>
      </c>
      <c r="H230" s="13">
        <f t="shared" si="24"/>
        <v>1</v>
      </c>
      <c r="I230" s="60">
        <v>0</v>
      </c>
      <c r="J230" s="56">
        <f t="shared" si="23"/>
        <v>0</v>
      </c>
      <c r="K230" s="16" t="s">
        <v>252</v>
      </c>
    </row>
    <row r="231" spans="1:12">
      <c r="A231" s="290"/>
      <c r="B231" s="25" t="s">
        <v>68</v>
      </c>
      <c r="C231" s="13" t="s">
        <v>159</v>
      </c>
      <c r="D231" s="13" t="s">
        <v>509</v>
      </c>
      <c r="E231" s="13" t="s">
        <v>132</v>
      </c>
      <c r="F231" s="13">
        <v>1</v>
      </c>
      <c r="G231" s="13" t="s">
        <v>681</v>
      </c>
      <c r="H231" s="13">
        <f t="shared" si="24"/>
        <v>1</v>
      </c>
      <c r="I231" s="60">
        <v>4150</v>
      </c>
      <c r="J231" s="56">
        <f t="shared" si="23"/>
        <v>4150</v>
      </c>
      <c r="K231" s="16"/>
    </row>
    <row r="232" spans="1:12">
      <c r="A232" s="290"/>
      <c r="B232" s="25" t="s">
        <v>68</v>
      </c>
      <c r="C232" s="13" t="s">
        <v>159</v>
      </c>
      <c r="D232" s="13" t="s">
        <v>512</v>
      </c>
      <c r="E232" s="13" t="s">
        <v>620</v>
      </c>
      <c r="F232" s="13">
        <v>1</v>
      </c>
      <c r="G232" s="13" t="s">
        <v>233</v>
      </c>
      <c r="H232" s="13">
        <f t="shared" si="24"/>
        <v>1</v>
      </c>
      <c r="I232" s="60">
        <v>45000</v>
      </c>
      <c r="J232" s="56">
        <f t="shared" si="23"/>
        <v>45000</v>
      </c>
      <c r="K232" s="16"/>
    </row>
    <row r="233" spans="1:12">
      <c r="A233" s="290"/>
      <c r="B233" s="25" t="s">
        <v>68</v>
      </c>
      <c r="C233" s="13" t="s">
        <v>159</v>
      </c>
      <c r="D233" s="13" t="s">
        <v>514</v>
      </c>
      <c r="E233" s="13" t="s">
        <v>573</v>
      </c>
      <c r="F233" s="13">
        <v>1</v>
      </c>
      <c r="G233" s="13" t="s">
        <v>571</v>
      </c>
      <c r="H233" s="13">
        <f t="shared" si="24"/>
        <v>1</v>
      </c>
      <c r="I233" s="60">
        <v>1903</v>
      </c>
      <c r="J233" s="56">
        <f t="shared" si="23"/>
        <v>1903</v>
      </c>
      <c r="K233" s="16"/>
    </row>
    <row r="234" spans="1:12" ht="17.5" thickBot="1">
      <c r="A234" s="290"/>
      <c r="B234" s="25" t="s">
        <v>68</v>
      </c>
      <c r="C234" s="13" t="s">
        <v>159</v>
      </c>
      <c r="D234" s="13" t="s">
        <v>592</v>
      </c>
      <c r="E234" s="13" t="s">
        <v>134</v>
      </c>
      <c r="F234" s="13">
        <v>2</v>
      </c>
      <c r="G234" s="13" t="s">
        <v>235</v>
      </c>
      <c r="H234" s="13">
        <f t="shared" si="24"/>
        <v>2</v>
      </c>
      <c r="I234" s="60">
        <f>(48*2700)+200000</f>
        <v>329600</v>
      </c>
      <c r="J234" s="56">
        <f t="shared" si="23"/>
        <v>659200</v>
      </c>
      <c r="K234" s="16"/>
    </row>
    <row r="235" spans="1:12" ht="21.5" thickBot="1">
      <c r="A235" s="290"/>
      <c r="B235" s="29" t="s">
        <v>68</v>
      </c>
      <c r="C235" s="15" t="s">
        <v>159</v>
      </c>
      <c r="D235" s="15" t="s">
        <v>113</v>
      </c>
      <c r="E235" s="15" t="s">
        <v>113</v>
      </c>
      <c r="F235" s="15">
        <v>1</v>
      </c>
      <c r="G235" s="15" t="s">
        <v>240</v>
      </c>
      <c r="H235" s="15">
        <f t="shared" si="24"/>
        <v>1</v>
      </c>
      <c r="I235" s="105">
        <v>13400</v>
      </c>
      <c r="J235" s="79">
        <f t="shared" si="23"/>
        <v>13400</v>
      </c>
      <c r="K235" s="22"/>
      <c r="L235" s="106">
        <f>SUM(J226:J235)</f>
        <v>1729813</v>
      </c>
    </row>
    <row r="236" spans="1:12">
      <c r="A236" s="290">
        <v>25</v>
      </c>
      <c r="B236" s="21" t="s">
        <v>68</v>
      </c>
      <c r="C236" s="11" t="s">
        <v>160</v>
      </c>
      <c r="D236" s="11" t="s">
        <v>105</v>
      </c>
      <c r="E236" s="11" t="s">
        <v>522</v>
      </c>
      <c r="F236" s="11">
        <v>4</v>
      </c>
      <c r="G236" s="11" t="s">
        <v>560</v>
      </c>
      <c r="H236" s="11">
        <f>$K$5*F236</f>
        <v>4</v>
      </c>
      <c r="I236" s="54">
        <v>63000</v>
      </c>
      <c r="J236" s="54">
        <f t="shared" si="23"/>
        <v>252000</v>
      </c>
      <c r="K236" s="12"/>
    </row>
    <row r="237" spans="1:12">
      <c r="A237" s="290"/>
      <c r="B237" s="25" t="s">
        <v>68</v>
      </c>
      <c r="C237" s="13" t="s">
        <v>160</v>
      </c>
      <c r="D237" s="13" t="s">
        <v>498</v>
      </c>
      <c r="E237" s="13" t="s">
        <v>608</v>
      </c>
      <c r="F237" s="13">
        <v>1</v>
      </c>
      <c r="G237" s="13" t="s">
        <v>233</v>
      </c>
      <c r="H237" s="13">
        <f t="shared" ref="H237:H245" si="25">$K$5*F237</f>
        <v>1</v>
      </c>
      <c r="I237" s="60">
        <v>710000</v>
      </c>
      <c r="J237" s="56">
        <f t="shared" si="23"/>
        <v>710000</v>
      </c>
      <c r="K237" s="16"/>
    </row>
    <row r="238" spans="1:12">
      <c r="A238" s="290"/>
      <c r="B238" s="25" t="s">
        <v>68</v>
      </c>
      <c r="C238" s="13" t="s">
        <v>160</v>
      </c>
      <c r="D238" s="13" t="s">
        <v>492</v>
      </c>
      <c r="E238" s="13" t="s">
        <v>114</v>
      </c>
      <c r="F238" s="13">
        <v>96</v>
      </c>
      <c r="G238" s="13" t="s">
        <v>251</v>
      </c>
      <c r="H238" s="13">
        <f t="shared" si="25"/>
        <v>96</v>
      </c>
      <c r="I238" s="60">
        <v>460</v>
      </c>
      <c r="J238" s="56">
        <f t="shared" si="23"/>
        <v>44160</v>
      </c>
      <c r="K238" s="16"/>
    </row>
    <row r="239" spans="1:12">
      <c r="A239" s="290"/>
      <c r="B239" s="25" t="s">
        <v>68</v>
      </c>
      <c r="C239" s="13" t="s">
        <v>160</v>
      </c>
      <c r="D239" s="13" t="s">
        <v>502</v>
      </c>
      <c r="E239" s="13" t="s">
        <v>130</v>
      </c>
      <c r="F239" s="13">
        <v>1</v>
      </c>
      <c r="G239" s="13" t="s">
        <v>233</v>
      </c>
      <c r="H239" s="13">
        <f t="shared" si="25"/>
        <v>1</v>
      </c>
      <c r="I239" s="60">
        <v>0</v>
      </c>
      <c r="J239" s="56">
        <f t="shared" si="23"/>
        <v>0</v>
      </c>
      <c r="K239" s="16"/>
    </row>
    <row r="240" spans="1:12">
      <c r="A240" s="290"/>
      <c r="B240" s="25" t="s">
        <v>68</v>
      </c>
      <c r="C240" s="13" t="s">
        <v>160</v>
      </c>
      <c r="D240" s="13" t="s">
        <v>505</v>
      </c>
      <c r="E240" s="13" t="s">
        <v>599</v>
      </c>
      <c r="F240" s="13">
        <v>1</v>
      </c>
      <c r="G240" s="13" t="s">
        <v>233</v>
      </c>
      <c r="H240" s="13">
        <f t="shared" si="25"/>
        <v>1</v>
      </c>
      <c r="I240" s="60">
        <v>0</v>
      </c>
      <c r="J240" s="56">
        <f t="shared" si="23"/>
        <v>0</v>
      </c>
      <c r="K240" s="16" t="s">
        <v>252</v>
      </c>
    </row>
    <row r="241" spans="1:12">
      <c r="A241" s="290"/>
      <c r="B241" s="25" t="s">
        <v>68</v>
      </c>
      <c r="C241" s="13" t="s">
        <v>160</v>
      </c>
      <c r="D241" s="13" t="s">
        <v>509</v>
      </c>
      <c r="E241" s="13" t="s">
        <v>132</v>
      </c>
      <c r="F241" s="13">
        <v>1</v>
      </c>
      <c r="G241" s="13" t="s">
        <v>681</v>
      </c>
      <c r="H241" s="13">
        <f t="shared" si="25"/>
        <v>1</v>
      </c>
      <c r="I241" s="60">
        <v>4150</v>
      </c>
      <c r="J241" s="56">
        <f t="shared" si="23"/>
        <v>4150</v>
      </c>
      <c r="K241" s="16"/>
    </row>
    <row r="242" spans="1:12">
      <c r="A242" s="290"/>
      <c r="B242" s="25" t="s">
        <v>68</v>
      </c>
      <c r="C242" s="13" t="s">
        <v>160</v>
      </c>
      <c r="D242" s="13" t="s">
        <v>512</v>
      </c>
      <c r="E242" s="13" t="s">
        <v>620</v>
      </c>
      <c r="F242" s="13">
        <v>1</v>
      </c>
      <c r="G242" s="13" t="s">
        <v>233</v>
      </c>
      <c r="H242" s="13">
        <f t="shared" si="25"/>
        <v>1</v>
      </c>
      <c r="I242" s="60">
        <v>45000</v>
      </c>
      <c r="J242" s="56">
        <f t="shared" si="23"/>
        <v>45000</v>
      </c>
      <c r="K242" s="16"/>
    </row>
    <row r="243" spans="1:12">
      <c r="A243" s="290"/>
      <c r="B243" s="25" t="s">
        <v>68</v>
      </c>
      <c r="C243" s="13" t="s">
        <v>160</v>
      </c>
      <c r="D243" s="13" t="s">
        <v>514</v>
      </c>
      <c r="E243" s="13" t="s">
        <v>133</v>
      </c>
      <c r="F243" s="13">
        <v>1</v>
      </c>
      <c r="G243" s="13" t="s">
        <v>571</v>
      </c>
      <c r="H243" s="13">
        <f t="shared" si="25"/>
        <v>1</v>
      </c>
      <c r="I243" s="60">
        <v>1903</v>
      </c>
      <c r="J243" s="56">
        <f t="shared" si="23"/>
        <v>1903</v>
      </c>
      <c r="K243" s="16"/>
    </row>
    <row r="244" spans="1:12" ht="17.5" thickBot="1">
      <c r="A244" s="290"/>
      <c r="B244" s="25" t="s">
        <v>68</v>
      </c>
      <c r="C244" s="13" t="s">
        <v>160</v>
      </c>
      <c r="D244" s="13" t="s">
        <v>134</v>
      </c>
      <c r="E244" s="13" t="s">
        <v>134</v>
      </c>
      <c r="F244" s="13">
        <v>2</v>
      </c>
      <c r="G244" s="13" t="s">
        <v>235</v>
      </c>
      <c r="H244" s="13">
        <f t="shared" si="25"/>
        <v>2</v>
      </c>
      <c r="I244" s="60">
        <f>(48*2700)+200000</f>
        <v>329600</v>
      </c>
      <c r="J244" s="56">
        <f t="shared" si="23"/>
        <v>659200</v>
      </c>
      <c r="K244" s="16"/>
    </row>
    <row r="245" spans="1:12" ht="21.5" thickBot="1">
      <c r="A245" s="290"/>
      <c r="B245" s="26" t="s">
        <v>68</v>
      </c>
      <c r="C245" s="9" t="s">
        <v>160</v>
      </c>
      <c r="D245" s="9" t="s">
        <v>113</v>
      </c>
      <c r="E245" s="9" t="s">
        <v>113</v>
      </c>
      <c r="F245" s="9">
        <v>1</v>
      </c>
      <c r="G245" s="9" t="s">
        <v>240</v>
      </c>
      <c r="H245" s="9">
        <f t="shared" si="25"/>
        <v>1</v>
      </c>
      <c r="I245" s="105">
        <v>13400</v>
      </c>
      <c r="J245" s="78">
        <f t="shared" si="23"/>
        <v>13400</v>
      </c>
      <c r="K245" s="14"/>
      <c r="L245" s="106">
        <f>SUM(J236:J245)</f>
        <v>1729813</v>
      </c>
    </row>
    <row r="246" spans="1:12">
      <c r="A246" s="290">
        <v>26</v>
      </c>
      <c r="B246" s="27" t="s">
        <v>68</v>
      </c>
      <c r="C246" s="10" t="s">
        <v>161</v>
      </c>
      <c r="D246" s="10" t="s">
        <v>105</v>
      </c>
      <c r="E246" s="10" t="s">
        <v>522</v>
      </c>
      <c r="F246" s="10">
        <v>4</v>
      </c>
      <c r="G246" s="10" t="s">
        <v>560</v>
      </c>
      <c r="H246" s="10">
        <f>$K$6*F246</f>
        <v>4</v>
      </c>
      <c r="I246" s="56">
        <v>63000</v>
      </c>
      <c r="J246" s="56">
        <f t="shared" si="23"/>
        <v>252000</v>
      </c>
      <c r="K246" s="17"/>
    </row>
    <row r="247" spans="1:12">
      <c r="A247" s="290"/>
      <c r="B247" s="25" t="s">
        <v>68</v>
      </c>
      <c r="C247" s="13" t="s">
        <v>161</v>
      </c>
      <c r="D247" s="13" t="s">
        <v>498</v>
      </c>
      <c r="E247" s="13" t="s">
        <v>608</v>
      </c>
      <c r="F247" s="13">
        <v>1</v>
      </c>
      <c r="G247" s="13" t="s">
        <v>233</v>
      </c>
      <c r="H247" s="13">
        <f t="shared" ref="H247:H255" si="26">$K$6*F247</f>
        <v>1</v>
      </c>
      <c r="I247" s="60">
        <v>710000</v>
      </c>
      <c r="J247" s="56">
        <f t="shared" si="23"/>
        <v>710000</v>
      </c>
      <c r="K247" s="16"/>
    </row>
    <row r="248" spans="1:12">
      <c r="A248" s="290"/>
      <c r="B248" s="25" t="s">
        <v>68</v>
      </c>
      <c r="C248" s="13" t="s">
        <v>161</v>
      </c>
      <c r="D248" s="13" t="s">
        <v>493</v>
      </c>
      <c r="E248" s="13" t="s">
        <v>115</v>
      </c>
      <c r="F248" s="13">
        <v>96</v>
      </c>
      <c r="G248" s="13" t="s">
        <v>251</v>
      </c>
      <c r="H248" s="13">
        <f t="shared" si="26"/>
        <v>96</v>
      </c>
      <c r="I248" s="60">
        <v>460</v>
      </c>
      <c r="J248" s="56">
        <f t="shared" si="23"/>
        <v>44160</v>
      </c>
      <c r="K248" s="16"/>
    </row>
    <row r="249" spans="1:12">
      <c r="A249" s="290"/>
      <c r="B249" s="25" t="s">
        <v>68</v>
      </c>
      <c r="C249" s="13" t="s">
        <v>161</v>
      </c>
      <c r="D249" s="13" t="s">
        <v>502</v>
      </c>
      <c r="E249" s="13" t="s">
        <v>130</v>
      </c>
      <c r="F249" s="13">
        <v>1</v>
      </c>
      <c r="G249" s="13" t="s">
        <v>233</v>
      </c>
      <c r="H249" s="13">
        <f t="shared" si="26"/>
        <v>1</v>
      </c>
      <c r="I249" s="60">
        <v>0</v>
      </c>
      <c r="J249" s="56">
        <f t="shared" si="23"/>
        <v>0</v>
      </c>
      <c r="K249" s="16"/>
    </row>
    <row r="250" spans="1:12">
      <c r="A250" s="290"/>
      <c r="B250" s="25" t="s">
        <v>68</v>
      </c>
      <c r="C250" s="13" t="s">
        <v>161</v>
      </c>
      <c r="D250" s="13" t="s">
        <v>505</v>
      </c>
      <c r="E250" s="13" t="s">
        <v>131</v>
      </c>
      <c r="F250" s="13">
        <v>1</v>
      </c>
      <c r="G250" s="13" t="s">
        <v>233</v>
      </c>
      <c r="H250" s="13">
        <f t="shared" si="26"/>
        <v>1</v>
      </c>
      <c r="I250" s="60">
        <v>0</v>
      </c>
      <c r="J250" s="56">
        <f t="shared" si="23"/>
        <v>0</v>
      </c>
      <c r="K250" s="16" t="s">
        <v>252</v>
      </c>
    </row>
    <row r="251" spans="1:12">
      <c r="A251" s="290"/>
      <c r="B251" s="25" t="s">
        <v>68</v>
      </c>
      <c r="C251" s="13" t="s">
        <v>161</v>
      </c>
      <c r="D251" s="13" t="s">
        <v>509</v>
      </c>
      <c r="E251" s="13" t="s">
        <v>132</v>
      </c>
      <c r="F251" s="13">
        <v>1</v>
      </c>
      <c r="G251" s="13" t="s">
        <v>681</v>
      </c>
      <c r="H251" s="13">
        <f t="shared" si="26"/>
        <v>1</v>
      </c>
      <c r="I251" s="60">
        <v>4150</v>
      </c>
      <c r="J251" s="56">
        <f t="shared" si="23"/>
        <v>4150</v>
      </c>
      <c r="K251" s="16"/>
    </row>
    <row r="252" spans="1:12">
      <c r="A252" s="290"/>
      <c r="B252" s="25" t="s">
        <v>68</v>
      </c>
      <c r="C252" s="13" t="s">
        <v>161</v>
      </c>
      <c r="D252" s="13" t="s">
        <v>512</v>
      </c>
      <c r="E252" s="13" t="s">
        <v>620</v>
      </c>
      <c r="F252" s="13">
        <v>1</v>
      </c>
      <c r="G252" s="13" t="s">
        <v>233</v>
      </c>
      <c r="H252" s="13">
        <f t="shared" si="26"/>
        <v>1</v>
      </c>
      <c r="I252" s="60">
        <v>45000</v>
      </c>
      <c r="J252" s="56">
        <f t="shared" si="23"/>
        <v>45000</v>
      </c>
      <c r="K252" s="16"/>
    </row>
    <row r="253" spans="1:12">
      <c r="A253" s="290"/>
      <c r="B253" s="25" t="s">
        <v>68</v>
      </c>
      <c r="C253" s="13" t="s">
        <v>161</v>
      </c>
      <c r="D253" s="13" t="s">
        <v>514</v>
      </c>
      <c r="E253" s="13" t="s">
        <v>133</v>
      </c>
      <c r="F253" s="13">
        <v>1</v>
      </c>
      <c r="G253" s="13" t="s">
        <v>571</v>
      </c>
      <c r="H253" s="13">
        <f t="shared" si="26"/>
        <v>1</v>
      </c>
      <c r="I253" s="60">
        <v>1903</v>
      </c>
      <c r="J253" s="56">
        <f t="shared" si="23"/>
        <v>1903</v>
      </c>
      <c r="K253" s="16"/>
    </row>
    <row r="254" spans="1:12" ht="17.5" thickBot="1">
      <c r="A254" s="290"/>
      <c r="B254" s="25" t="s">
        <v>68</v>
      </c>
      <c r="C254" s="13" t="s">
        <v>161</v>
      </c>
      <c r="D254" s="13" t="s">
        <v>134</v>
      </c>
      <c r="E254" s="13" t="s">
        <v>134</v>
      </c>
      <c r="F254" s="13">
        <v>2</v>
      </c>
      <c r="G254" s="13" t="s">
        <v>235</v>
      </c>
      <c r="H254" s="13">
        <f t="shared" si="26"/>
        <v>2</v>
      </c>
      <c r="I254" s="60">
        <f>(48*2700)+200000</f>
        <v>329600</v>
      </c>
      <c r="J254" s="56">
        <f t="shared" si="23"/>
        <v>659200</v>
      </c>
      <c r="K254" s="16"/>
    </row>
    <row r="255" spans="1:12" ht="21.5" thickBot="1">
      <c r="A255" s="290"/>
      <c r="B255" s="29" t="s">
        <v>68</v>
      </c>
      <c r="C255" s="15" t="s">
        <v>161</v>
      </c>
      <c r="D255" s="15" t="s">
        <v>113</v>
      </c>
      <c r="E255" s="15" t="s">
        <v>113</v>
      </c>
      <c r="F255" s="15">
        <v>1</v>
      </c>
      <c r="G255" s="15" t="s">
        <v>240</v>
      </c>
      <c r="H255" s="15">
        <f t="shared" si="26"/>
        <v>1</v>
      </c>
      <c r="I255" s="105">
        <v>13400</v>
      </c>
      <c r="J255" s="79">
        <f t="shared" si="23"/>
        <v>13400</v>
      </c>
      <c r="K255" s="22"/>
      <c r="L255" s="106">
        <f>SUM(J246:J255)</f>
        <v>1729813</v>
      </c>
    </row>
    <row r="256" spans="1:12">
      <c r="A256" s="290">
        <v>27</v>
      </c>
      <c r="B256" s="21" t="s">
        <v>68</v>
      </c>
      <c r="C256" s="11" t="s">
        <v>162</v>
      </c>
      <c r="D256" s="11" t="s">
        <v>552</v>
      </c>
      <c r="E256" s="11" t="s">
        <v>522</v>
      </c>
      <c r="F256" s="11">
        <v>4</v>
      </c>
      <c r="G256" s="11" t="s">
        <v>560</v>
      </c>
      <c r="H256" s="11">
        <f>$K$7*F256</f>
        <v>4</v>
      </c>
      <c r="I256" s="54">
        <v>63000</v>
      </c>
      <c r="J256" s="54">
        <f t="shared" si="23"/>
        <v>252000</v>
      </c>
      <c r="K256" s="12"/>
    </row>
    <row r="257" spans="1:12">
      <c r="A257" s="290"/>
      <c r="B257" s="25" t="s">
        <v>68</v>
      </c>
      <c r="C257" s="13" t="s">
        <v>162</v>
      </c>
      <c r="D257" s="13" t="s">
        <v>498</v>
      </c>
      <c r="E257" s="13" t="s">
        <v>608</v>
      </c>
      <c r="F257" s="13">
        <v>1</v>
      </c>
      <c r="G257" s="13" t="s">
        <v>233</v>
      </c>
      <c r="H257" s="13">
        <f t="shared" ref="H257:H265" si="27">$K$7*F257</f>
        <v>1</v>
      </c>
      <c r="I257" s="60">
        <v>710000</v>
      </c>
      <c r="J257" s="56">
        <f t="shared" si="23"/>
        <v>710000</v>
      </c>
      <c r="K257" s="16"/>
    </row>
    <row r="258" spans="1:12">
      <c r="A258" s="290"/>
      <c r="B258" s="25" t="s">
        <v>68</v>
      </c>
      <c r="C258" s="13" t="s">
        <v>162</v>
      </c>
      <c r="D258" s="13" t="s">
        <v>494</v>
      </c>
      <c r="E258" s="13" t="s">
        <v>116</v>
      </c>
      <c r="F258" s="13">
        <v>96</v>
      </c>
      <c r="G258" s="13" t="s">
        <v>251</v>
      </c>
      <c r="H258" s="13">
        <f t="shared" si="27"/>
        <v>96</v>
      </c>
      <c r="I258" s="60">
        <v>460</v>
      </c>
      <c r="J258" s="56">
        <f t="shared" si="23"/>
        <v>44160</v>
      </c>
      <c r="K258" s="16"/>
    </row>
    <row r="259" spans="1:12">
      <c r="A259" s="290"/>
      <c r="B259" s="25" t="s">
        <v>68</v>
      </c>
      <c r="C259" s="13" t="s">
        <v>162</v>
      </c>
      <c r="D259" s="13" t="s">
        <v>502</v>
      </c>
      <c r="E259" s="13" t="s">
        <v>130</v>
      </c>
      <c r="F259" s="13">
        <v>1</v>
      </c>
      <c r="G259" s="13" t="s">
        <v>233</v>
      </c>
      <c r="H259" s="13">
        <f t="shared" si="27"/>
        <v>1</v>
      </c>
      <c r="I259" s="60">
        <v>0</v>
      </c>
      <c r="J259" s="56">
        <f t="shared" si="23"/>
        <v>0</v>
      </c>
      <c r="K259" s="16"/>
    </row>
    <row r="260" spans="1:12">
      <c r="A260" s="290"/>
      <c r="B260" s="25" t="s">
        <v>68</v>
      </c>
      <c r="C260" s="13" t="s">
        <v>162</v>
      </c>
      <c r="D260" s="13" t="s">
        <v>505</v>
      </c>
      <c r="E260" s="13" t="s">
        <v>131</v>
      </c>
      <c r="F260" s="13">
        <v>1</v>
      </c>
      <c r="G260" s="13" t="s">
        <v>233</v>
      </c>
      <c r="H260" s="13">
        <f t="shared" si="27"/>
        <v>1</v>
      </c>
      <c r="I260" s="60">
        <v>0</v>
      </c>
      <c r="J260" s="56">
        <f t="shared" si="23"/>
        <v>0</v>
      </c>
      <c r="K260" s="16" t="s">
        <v>252</v>
      </c>
    </row>
    <row r="261" spans="1:12">
      <c r="A261" s="290"/>
      <c r="B261" s="25" t="s">
        <v>68</v>
      </c>
      <c r="C261" s="13" t="s">
        <v>162</v>
      </c>
      <c r="D261" s="13" t="s">
        <v>509</v>
      </c>
      <c r="E261" s="13" t="s">
        <v>600</v>
      </c>
      <c r="F261" s="13">
        <v>1</v>
      </c>
      <c r="G261" s="13" t="s">
        <v>681</v>
      </c>
      <c r="H261" s="13">
        <f t="shared" si="27"/>
        <v>1</v>
      </c>
      <c r="I261" s="60">
        <v>4150</v>
      </c>
      <c r="J261" s="56">
        <f t="shared" si="23"/>
        <v>4150</v>
      </c>
      <c r="K261" s="16"/>
    </row>
    <row r="262" spans="1:12">
      <c r="A262" s="290"/>
      <c r="B262" s="25" t="s">
        <v>68</v>
      </c>
      <c r="C262" s="13" t="s">
        <v>162</v>
      </c>
      <c r="D262" s="13" t="s">
        <v>512</v>
      </c>
      <c r="E262" s="13" t="s">
        <v>620</v>
      </c>
      <c r="F262" s="13">
        <v>1</v>
      </c>
      <c r="G262" s="13" t="s">
        <v>233</v>
      </c>
      <c r="H262" s="13">
        <f t="shared" si="27"/>
        <v>1</v>
      </c>
      <c r="I262" s="60">
        <v>45000</v>
      </c>
      <c r="J262" s="56">
        <f t="shared" si="23"/>
        <v>45000</v>
      </c>
      <c r="K262" s="16"/>
    </row>
    <row r="263" spans="1:12">
      <c r="A263" s="290"/>
      <c r="B263" s="25" t="s">
        <v>68</v>
      </c>
      <c r="C263" s="13" t="s">
        <v>162</v>
      </c>
      <c r="D263" s="13" t="s">
        <v>514</v>
      </c>
      <c r="E263" s="13" t="s">
        <v>133</v>
      </c>
      <c r="F263" s="13">
        <v>1</v>
      </c>
      <c r="G263" s="13" t="s">
        <v>571</v>
      </c>
      <c r="H263" s="13">
        <f t="shared" si="27"/>
        <v>1</v>
      </c>
      <c r="I263" s="60">
        <v>1903</v>
      </c>
      <c r="J263" s="56">
        <f t="shared" si="23"/>
        <v>1903</v>
      </c>
      <c r="K263" s="16"/>
    </row>
    <row r="264" spans="1:12" ht="17.5" thickBot="1">
      <c r="A264" s="290"/>
      <c r="B264" s="25" t="s">
        <v>68</v>
      </c>
      <c r="C264" s="13" t="s">
        <v>162</v>
      </c>
      <c r="D264" s="13" t="s">
        <v>134</v>
      </c>
      <c r="E264" s="13" t="s">
        <v>134</v>
      </c>
      <c r="F264" s="13">
        <v>2</v>
      </c>
      <c r="G264" s="13" t="s">
        <v>235</v>
      </c>
      <c r="H264" s="13">
        <f t="shared" si="27"/>
        <v>2</v>
      </c>
      <c r="I264" s="60">
        <f>(48*2700)+200000</f>
        <v>329600</v>
      </c>
      <c r="J264" s="56">
        <f t="shared" si="23"/>
        <v>659200</v>
      </c>
      <c r="K264" s="16"/>
    </row>
    <row r="265" spans="1:12" ht="21.5" thickBot="1">
      <c r="A265" s="290"/>
      <c r="B265" s="26" t="s">
        <v>68</v>
      </c>
      <c r="C265" s="9" t="s">
        <v>162</v>
      </c>
      <c r="D265" s="9" t="s">
        <v>113</v>
      </c>
      <c r="E265" s="9" t="s">
        <v>113</v>
      </c>
      <c r="F265" s="9">
        <v>1</v>
      </c>
      <c r="G265" s="9" t="s">
        <v>240</v>
      </c>
      <c r="H265" s="9">
        <f t="shared" si="27"/>
        <v>1</v>
      </c>
      <c r="I265" s="105">
        <v>13400</v>
      </c>
      <c r="J265" s="78">
        <f t="shared" si="23"/>
        <v>13400</v>
      </c>
      <c r="K265" s="14"/>
      <c r="L265" s="106">
        <f>SUM(J256:J265)</f>
        <v>1729813</v>
      </c>
    </row>
    <row r="266" spans="1:12">
      <c r="A266" s="290">
        <v>28</v>
      </c>
      <c r="B266" s="21" t="s">
        <v>68</v>
      </c>
      <c r="C266" s="11" t="s">
        <v>129</v>
      </c>
      <c r="D266" s="11" t="s">
        <v>105</v>
      </c>
      <c r="E266" s="11" t="s">
        <v>522</v>
      </c>
      <c r="F266" s="11">
        <v>4</v>
      </c>
      <c r="G266" s="11" t="s">
        <v>560</v>
      </c>
      <c r="H266" s="11">
        <f>$K$8*F266</f>
        <v>4</v>
      </c>
      <c r="I266" s="54">
        <v>63000</v>
      </c>
      <c r="J266" s="54">
        <f t="shared" si="23"/>
        <v>252000</v>
      </c>
      <c r="K266" s="12"/>
    </row>
    <row r="267" spans="1:12">
      <c r="A267" s="290"/>
      <c r="B267" s="25" t="s">
        <v>68</v>
      </c>
      <c r="C267" s="13" t="s">
        <v>129</v>
      </c>
      <c r="D267" s="13" t="s">
        <v>498</v>
      </c>
      <c r="E267" s="13" t="s">
        <v>608</v>
      </c>
      <c r="F267" s="13">
        <v>1</v>
      </c>
      <c r="G267" s="13" t="s">
        <v>233</v>
      </c>
      <c r="H267" s="13">
        <f t="shared" ref="H267:H274" si="28">$K$8*F267</f>
        <v>1</v>
      </c>
      <c r="I267" s="60">
        <v>710000</v>
      </c>
      <c r="J267" s="56">
        <f t="shared" si="23"/>
        <v>710000</v>
      </c>
      <c r="K267" s="16"/>
    </row>
    <row r="268" spans="1:12">
      <c r="A268" s="290"/>
      <c r="B268" s="25" t="s">
        <v>68</v>
      </c>
      <c r="C268" s="13" t="s">
        <v>129</v>
      </c>
      <c r="D268" s="13" t="s">
        <v>502</v>
      </c>
      <c r="E268" s="13" t="s">
        <v>130</v>
      </c>
      <c r="F268" s="13">
        <v>1</v>
      </c>
      <c r="G268" s="13" t="s">
        <v>233</v>
      </c>
      <c r="H268" s="13">
        <f t="shared" si="28"/>
        <v>1</v>
      </c>
      <c r="I268" s="60">
        <v>0</v>
      </c>
      <c r="J268" s="56">
        <f t="shared" si="23"/>
        <v>0</v>
      </c>
      <c r="K268" s="16"/>
    </row>
    <row r="269" spans="1:12">
      <c r="A269" s="290"/>
      <c r="B269" s="25" t="s">
        <v>68</v>
      </c>
      <c r="C269" s="13" t="s">
        <v>129</v>
      </c>
      <c r="D269" s="13" t="s">
        <v>505</v>
      </c>
      <c r="E269" s="13" t="s">
        <v>131</v>
      </c>
      <c r="F269" s="13">
        <v>1</v>
      </c>
      <c r="G269" s="13" t="s">
        <v>233</v>
      </c>
      <c r="H269" s="13">
        <f t="shared" si="28"/>
        <v>1</v>
      </c>
      <c r="I269" s="60">
        <v>0</v>
      </c>
      <c r="J269" s="56">
        <f t="shared" si="23"/>
        <v>0</v>
      </c>
      <c r="K269" s="16" t="s">
        <v>252</v>
      </c>
    </row>
    <row r="270" spans="1:12">
      <c r="A270" s="290"/>
      <c r="B270" s="25" t="s">
        <v>68</v>
      </c>
      <c r="C270" s="13" t="s">
        <v>129</v>
      </c>
      <c r="D270" s="13" t="s">
        <v>509</v>
      </c>
      <c r="E270" s="13" t="s">
        <v>132</v>
      </c>
      <c r="F270" s="13">
        <v>1</v>
      </c>
      <c r="G270" s="13" t="s">
        <v>681</v>
      </c>
      <c r="H270" s="13">
        <f t="shared" si="28"/>
        <v>1</v>
      </c>
      <c r="I270" s="60">
        <v>4150</v>
      </c>
      <c r="J270" s="56">
        <f t="shared" si="23"/>
        <v>4150</v>
      </c>
      <c r="K270" s="16"/>
    </row>
    <row r="271" spans="1:12">
      <c r="A271" s="290"/>
      <c r="B271" s="25" t="s">
        <v>68</v>
      </c>
      <c r="C271" s="13" t="s">
        <v>129</v>
      </c>
      <c r="D271" s="13" t="s">
        <v>512</v>
      </c>
      <c r="E271" s="13" t="s">
        <v>620</v>
      </c>
      <c r="F271" s="13">
        <v>1</v>
      </c>
      <c r="G271" s="13" t="s">
        <v>233</v>
      </c>
      <c r="H271" s="13">
        <f t="shared" si="28"/>
        <v>1</v>
      </c>
      <c r="I271" s="60">
        <v>45000</v>
      </c>
      <c r="J271" s="56">
        <f t="shared" si="23"/>
        <v>45000</v>
      </c>
      <c r="K271" s="16"/>
    </row>
    <row r="272" spans="1:12">
      <c r="A272" s="290"/>
      <c r="B272" s="25" t="s">
        <v>68</v>
      </c>
      <c r="C272" s="13" t="s">
        <v>129</v>
      </c>
      <c r="D272" s="13" t="s">
        <v>514</v>
      </c>
      <c r="E272" s="13" t="s">
        <v>133</v>
      </c>
      <c r="F272" s="13">
        <v>1</v>
      </c>
      <c r="G272" s="13" t="s">
        <v>571</v>
      </c>
      <c r="H272" s="13">
        <f t="shared" si="28"/>
        <v>1</v>
      </c>
      <c r="I272" s="60">
        <v>1903</v>
      </c>
      <c r="J272" s="56">
        <f t="shared" si="23"/>
        <v>1903</v>
      </c>
      <c r="K272" s="16"/>
    </row>
    <row r="273" spans="1:12" ht="17.5" thickBot="1">
      <c r="A273" s="290"/>
      <c r="B273" s="25" t="s">
        <v>68</v>
      </c>
      <c r="C273" s="13" t="s">
        <v>129</v>
      </c>
      <c r="D273" s="13" t="s">
        <v>134</v>
      </c>
      <c r="E273" s="13" t="s">
        <v>134</v>
      </c>
      <c r="F273" s="13">
        <v>2</v>
      </c>
      <c r="G273" s="13" t="s">
        <v>235</v>
      </c>
      <c r="H273" s="13">
        <f t="shared" si="28"/>
        <v>2</v>
      </c>
      <c r="I273" s="60">
        <f>(48*2700)+200000</f>
        <v>329600</v>
      </c>
      <c r="J273" s="56">
        <f t="shared" si="23"/>
        <v>659200</v>
      </c>
      <c r="K273" s="16"/>
    </row>
    <row r="274" spans="1:12" ht="21.5" thickBot="1">
      <c r="A274" s="290"/>
      <c r="B274" s="26" t="s">
        <v>68</v>
      </c>
      <c r="C274" s="9" t="s">
        <v>129</v>
      </c>
      <c r="D274" s="9" t="s">
        <v>113</v>
      </c>
      <c r="E274" s="9" t="s">
        <v>113</v>
      </c>
      <c r="F274" s="9">
        <v>1</v>
      </c>
      <c r="G274" s="9" t="s">
        <v>240</v>
      </c>
      <c r="H274" s="9">
        <f t="shared" si="28"/>
        <v>1</v>
      </c>
      <c r="I274" s="105">
        <v>13400</v>
      </c>
      <c r="J274" s="78">
        <f t="shared" si="23"/>
        <v>13400</v>
      </c>
      <c r="K274" s="14"/>
      <c r="L274" s="106">
        <f>SUM(J266:J274)</f>
        <v>1685653</v>
      </c>
    </row>
    <row r="275" spans="1:12">
      <c r="A275" s="290">
        <v>29</v>
      </c>
      <c r="B275" s="27" t="s">
        <v>72</v>
      </c>
      <c r="C275" s="10" t="s">
        <v>163</v>
      </c>
      <c r="D275" s="10" t="s">
        <v>118</v>
      </c>
      <c r="E275" s="10" t="s">
        <v>522</v>
      </c>
      <c r="F275" s="10">
        <v>4</v>
      </c>
      <c r="G275" s="10" t="s">
        <v>560</v>
      </c>
      <c r="H275" s="10">
        <f>$K$9*F275</f>
        <v>4</v>
      </c>
      <c r="I275" s="56">
        <v>88000</v>
      </c>
      <c r="J275" s="56">
        <f t="shared" si="23"/>
        <v>352000</v>
      </c>
      <c r="K275" s="17"/>
    </row>
    <row r="276" spans="1:12">
      <c r="A276" s="290"/>
      <c r="B276" s="25" t="s">
        <v>72</v>
      </c>
      <c r="C276" s="13" t="s">
        <v>163</v>
      </c>
      <c r="D276" s="13" t="s">
        <v>498</v>
      </c>
      <c r="E276" s="13" t="s">
        <v>608</v>
      </c>
      <c r="F276" s="13">
        <v>1</v>
      </c>
      <c r="G276" s="13" t="s">
        <v>233</v>
      </c>
      <c r="H276" s="13">
        <f t="shared" ref="H276:H284" si="29">$K$9*F276</f>
        <v>1</v>
      </c>
      <c r="I276" s="60">
        <v>710000</v>
      </c>
      <c r="J276" s="56">
        <f t="shared" si="23"/>
        <v>710000</v>
      </c>
      <c r="K276" s="16"/>
    </row>
    <row r="277" spans="1:12">
      <c r="A277" s="290"/>
      <c r="B277" s="25" t="s">
        <v>72</v>
      </c>
      <c r="C277" s="13" t="s">
        <v>163</v>
      </c>
      <c r="D277" s="13" t="s">
        <v>491</v>
      </c>
      <c r="E277" s="13" t="s">
        <v>107</v>
      </c>
      <c r="F277" s="13">
        <v>112</v>
      </c>
      <c r="G277" s="13" t="s">
        <v>251</v>
      </c>
      <c r="H277" s="13">
        <f t="shared" si="29"/>
        <v>112</v>
      </c>
      <c r="I277" s="60">
        <v>460</v>
      </c>
      <c r="J277" s="56">
        <f t="shared" si="23"/>
        <v>51520</v>
      </c>
      <c r="K277" s="16"/>
    </row>
    <row r="278" spans="1:12">
      <c r="A278" s="290"/>
      <c r="B278" s="25" t="s">
        <v>72</v>
      </c>
      <c r="C278" s="13" t="s">
        <v>163</v>
      </c>
      <c r="D278" s="13" t="s">
        <v>502</v>
      </c>
      <c r="E278" s="13" t="s">
        <v>130</v>
      </c>
      <c r="F278" s="13">
        <v>1</v>
      </c>
      <c r="G278" s="13" t="s">
        <v>233</v>
      </c>
      <c r="H278" s="13">
        <f t="shared" si="29"/>
        <v>1</v>
      </c>
      <c r="I278" s="60">
        <v>0</v>
      </c>
      <c r="J278" s="56">
        <f t="shared" si="23"/>
        <v>0</v>
      </c>
      <c r="K278" s="16"/>
    </row>
    <row r="279" spans="1:12">
      <c r="A279" s="290"/>
      <c r="B279" s="25" t="s">
        <v>72</v>
      </c>
      <c r="C279" s="13" t="s">
        <v>163</v>
      </c>
      <c r="D279" s="13" t="s">
        <v>505</v>
      </c>
      <c r="E279" s="13" t="s">
        <v>131</v>
      </c>
      <c r="F279" s="13">
        <v>1</v>
      </c>
      <c r="G279" s="13" t="s">
        <v>233</v>
      </c>
      <c r="H279" s="13">
        <f t="shared" si="29"/>
        <v>1</v>
      </c>
      <c r="I279" s="60">
        <v>0</v>
      </c>
      <c r="J279" s="56">
        <f t="shared" si="23"/>
        <v>0</v>
      </c>
      <c r="K279" s="16" t="s">
        <v>252</v>
      </c>
    </row>
    <row r="280" spans="1:12">
      <c r="A280" s="290"/>
      <c r="B280" s="25" t="s">
        <v>72</v>
      </c>
      <c r="C280" s="13" t="s">
        <v>163</v>
      </c>
      <c r="D280" s="13" t="s">
        <v>509</v>
      </c>
      <c r="E280" s="13" t="s">
        <v>132</v>
      </c>
      <c r="F280" s="13">
        <v>1</v>
      </c>
      <c r="G280" s="13" t="s">
        <v>681</v>
      </c>
      <c r="H280" s="13">
        <f t="shared" si="29"/>
        <v>1</v>
      </c>
      <c r="I280" s="60">
        <v>4150</v>
      </c>
      <c r="J280" s="56">
        <f t="shared" si="23"/>
        <v>4150</v>
      </c>
      <c r="K280" s="16"/>
    </row>
    <row r="281" spans="1:12">
      <c r="A281" s="290"/>
      <c r="B281" s="25" t="s">
        <v>72</v>
      </c>
      <c r="C281" s="13" t="s">
        <v>163</v>
      </c>
      <c r="D281" s="13" t="s">
        <v>512</v>
      </c>
      <c r="E281" s="13" t="s">
        <v>620</v>
      </c>
      <c r="F281" s="13">
        <v>1</v>
      </c>
      <c r="G281" s="13" t="s">
        <v>233</v>
      </c>
      <c r="H281" s="13">
        <f t="shared" si="29"/>
        <v>1</v>
      </c>
      <c r="I281" s="60">
        <v>45000</v>
      </c>
      <c r="J281" s="56">
        <f t="shared" si="23"/>
        <v>45000</v>
      </c>
      <c r="K281" s="16"/>
    </row>
    <row r="282" spans="1:12">
      <c r="A282" s="290"/>
      <c r="B282" s="25" t="s">
        <v>72</v>
      </c>
      <c r="C282" s="13" t="s">
        <v>163</v>
      </c>
      <c r="D282" s="13" t="s">
        <v>514</v>
      </c>
      <c r="E282" s="13" t="s">
        <v>133</v>
      </c>
      <c r="F282" s="13">
        <v>1</v>
      </c>
      <c r="G282" s="13" t="s">
        <v>571</v>
      </c>
      <c r="H282" s="13">
        <f t="shared" si="29"/>
        <v>1</v>
      </c>
      <c r="I282" s="60">
        <v>1903</v>
      </c>
      <c r="J282" s="56">
        <f t="shared" si="23"/>
        <v>1903</v>
      </c>
      <c r="K282" s="16"/>
    </row>
    <row r="283" spans="1:12" ht="17.5" thickBot="1">
      <c r="A283" s="290"/>
      <c r="B283" s="25" t="s">
        <v>72</v>
      </c>
      <c r="C283" s="13" t="s">
        <v>163</v>
      </c>
      <c r="D283" s="13" t="s">
        <v>136</v>
      </c>
      <c r="E283" s="13" t="s">
        <v>136</v>
      </c>
      <c r="F283" s="13">
        <v>2</v>
      </c>
      <c r="G283" s="13" t="s">
        <v>235</v>
      </c>
      <c r="H283" s="13">
        <f t="shared" si="29"/>
        <v>2</v>
      </c>
      <c r="I283" s="60">
        <f>(56*2700)+200000</f>
        <v>351200</v>
      </c>
      <c r="J283" s="56">
        <f t="shared" si="23"/>
        <v>702400</v>
      </c>
      <c r="K283" s="16"/>
    </row>
    <row r="284" spans="1:12" ht="21.5" thickBot="1">
      <c r="A284" s="290"/>
      <c r="B284" s="29" t="s">
        <v>72</v>
      </c>
      <c r="C284" s="15" t="s">
        <v>163</v>
      </c>
      <c r="D284" s="15" t="s">
        <v>113</v>
      </c>
      <c r="E284" s="15" t="s">
        <v>113</v>
      </c>
      <c r="F284" s="15">
        <v>1</v>
      </c>
      <c r="G284" s="15" t="s">
        <v>240</v>
      </c>
      <c r="H284" s="15">
        <f t="shared" si="29"/>
        <v>1</v>
      </c>
      <c r="I284" s="105">
        <v>13400</v>
      </c>
      <c r="J284" s="79">
        <f t="shared" si="23"/>
        <v>13400</v>
      </c>
      <c r="K284" s="22"/>
      <c r="L284" s="106">
        <f>SUM(J275:J284)</f>
        <v>1880373</v>
      </c>
    </row>
    <row r="285" spans="1:12">
      <c r="A285" s="290">
        <v>30</v>
      </c>
      <c r="B285" s="21" t="s">
        <v>72</v>
      </c>
      <c r="C285" s="11" t="s">
        <v>164</v>
      </c>
      <c r="D285" s="11" t="s">
        <v>118</v>
      </c>
      <c r="E285" s="11" t="s">
        <v>522</v>
      </c>
      <c r="F285" s="11">
        <v>4</v>
      </c>
      <c r="G285" s="11" t="s">
        <v>560</v>
      </c>
      <c r="H285" s="11">
        <f>$K$10*F285</f>
        <v>4</v>
      </c>
      <c r="I285" s="54">
        <v>88000</v>
      </c>
      <c r="J285" s="54">
        <f t="shared" si="23"/>
        <v>352000</v>
      </c>
      <c r="K285" s="12"/>
    </row>
    <row r="286" spans="1:12">
      <c r="A286" s="290"/>
      <c r="B286" s="25" t="s">
        <v>72</v>
      </c>
      <c r="C286" s="13" t="s">
        <v>164</v>
      </c>
      <c r="D286" s="13" t="s">
        <v>498</v>
      </c>
      <c r="E286" s="13" t="s">
        <v>608</v>
      </c>
      <c r="F286" s="13">
        <v>1</v>
      </c>
      <c r="G286" s="13" t="s">
        <v>233</v>
      </c>
      <c r="H286" s="13">
        <f t="shared" ref="H286:H294" si="30">$K$10*F286</f>
        <v>1</v>
      </c>
      <c r="I286" s="60">
        <v>710000</v>
      </c>
      <c r="J286" s="56">
        <f t="shared" si="23"/>
        <v>710000</v>
      </c>
      <c r="K286" s="16"/>
    </row>
    <row r="287" spans="1:12">
      <c r="A287" s="290"/>
      <c r="B287" s="25" t="s">
        <v>72</v>
      </c>
      <c r="C287" s="13" t="s">
        <v>164</v>
      </c>
      <c r="D287" s="13" t="s">
        <v>492</v>
      </c>
      <c r="E287" s="13" t="s">
        <v>114</v>
      </c>
      <c r="F287" s="13">
        <v>112</v>
      </c>
      <c r="G287" s="13" t="s">
        <v>251</v>
      </c>
      <c r="H287" s="13">
        <f t="shared" si="30"/>
        <v>112</v>
      </c>
      <c r="I287" s="60">
        <v>460</v>
      </c>
      <c r="J287" s="56">
        <f t="shared" ref="J287:J350" si="31">H287*I287</f>
        <v>51520</v>
      </c>
      <c r="K287" s="16"/>
    </row>
    <row r="288" spans="1:12">
      <c r="A288" s="290"/>
      <c r="B288" s="25" t="s">
        <v>72</v>
      </c>
      <c r="C288" s="13" t="s">
        <v>164</v>
      </c>
      <c r="D288" s="13" t="s">
        <v>502</v>
      </c>
      <c r="E288" s="13" t="s">
        <v>130</v>
      </c>
      <c r="F288" s="13">
        <v>1</v>
      </c>
      <c r="G288" s="13" t="s">
        <v>233</v>
      </c>
      <c r="H288" s="13">
        <f t="shared" si="30"/>
        <v>1</v>
      </c>
      <c r="I288" s="60">
        <v>0</v>
      </c>
      <c r="J288" s="56">
        <f t="shared" si="31"/>
        <v>0</v>
      </c>
      <c r="K288" s="16"/>
    </row>
    <row r="289" spans="1:12">
      <c r="A289" s="290"/>
      <c r="B289" s="25" t="s">
        <v>72</v>
      </c>
      <c r="C289" s="13" t="s">
        <v>164</v>
      </c>
      <c r="D289" s="13" t="s">
        <v>505</v>
      </c>
      <c r="E289" s="13" t="s">
        <v>131</v>
      </c>
      <c r="F289" s="13">
        <v>1</v>
      </c>
      <c r="G289" s="13" t="s">
        <v>233</v>
      </c>
      <c r="H289" s="13">
        <f t="shared" si="30"/>
        <v>1</v>
      </c>
      <c r="I289" s="60">
        <v>0</v>
      </c>
      <c r="J289" s="56">
        <f t="shared" si="31"/>
        <v>0</v>
      </c>
      <c r="K289" s="16" t="s">
        <v>252</v>
      </c>
    </row>
    <row r="290" spans="1:12">
      <c r="A290" s="290"/>
      <c r="B290" s="25" t="s">
        <v>72</v>
      </c>
      <c r="C290" s="13" t="s">
        <v>164</v>
      </c>
      <c r="D290" s="13" t="s">
        <v>509</v>
      </c>
      <c r="E290" s="13" t="s">
        <v>132</v>
      </c>
      <c r="F290" s="13">
        <v>1</v>
      </c>
      <c r="G290" s="13" t="s">
        <v>681</v>
      </c>
      <c r="H290" s="13">
        <f t="shared" si="30"/>
        <v>1</v>
      </c>
      <c r="I290" s="60">
        <v>4150</v>
      </c>
      <c r="J290" s="56">
        <f t="shared" si="31"/>
        <v>4150</v>
      </c>
      <c r="K290" s="16"/>
    </row>
    <row r="291" spans="1:12">
      <c r="A291" s="290"/>
      <c r="B291" s="25" t="s">
        <v>72</v>
      </c>
      <c r="C291" s="13" t="s">
        <v>164</v>
      </c>
      <c r="D291" s="13" t="s">
        <v>512</v>
      </c>
      <c r="E291" s="13" t="s">
        <v>620</v>
      </c>
      <c r="F291" s="13">
        <v>1</v>
      </c>
      <c r="G291" s="13" t="s">
        <v>233</v>
      </c>
      <c r="H291" s="13">
        <f t="shared" si="30"/>
        <v>1</v>
      </c>
      <c r="I291" s="60">
        <v>45000</v>
      </c>
      <c r="J291" s="56">
        <f t="shared" si="31"/>
        <v>45000</v>
      </c>
      <c r="K291" s="16"/>
    </row>
    <row r="292" spans="1:12">
      <c r="A292" s="290"/>
      <c r="B292" s="25" t="s">
        <v>72</v>
      </c>
      <c r="C292" s="13" t="s">
        <v>164</v>
      </c>
      <c r="D292" s="13" t="s">
        <v>514</v>
      </c>
      <c r="E292" s="13" t="s">
        <v>133</v>
      </c>
      <c r="F292" s="13">
        <v>1</v>
      </c>
      <c r="G292" s="13" t="s">
        <v>571</v>
      </c>
      <c r="H292" s="13">
        <f t="shared" si="30"/>
        <v>1</v>
      </c>
      <c r="I292" s="60">
        <v>1903</v>
      </c>
      <c r="J292" s="56">
        <f t="shared" si="31"/>
        <v>1903</v>
      </c>
      <c r="K292" s="16"/>
    </row>
    <row r="293" spans="1:12" ht="17.5" thickBot="1">
      <c r="A293" s="290"/>
      <c r="B293" s="25" t="s">
        <v>72</v>
      </c>
      <c r="C293" s="13" t="s">
        <v>164</v>
      </c>
      <c r="D293" s="13" t="s">
        <v>136</v>
      </c>
      <c r="E293" s="13" t="s">
        <v>136</v>
      </c>
      <c r="F293" s="13">
        <v>2</v>
      </c>
      <c r="G293" s="13" t="s">
        <v>235</v>
      </c>
      <c r="H293" s="13">
        <f t="shared" si="30"/>
        <v>2</v>
      </c>
      <c r="I293" s="60">
        <f>(56*2700)+200000</f>
        <v>351200</v>
      </c>
      <c r="J293" s="56">
        <f t="shared" si="31"/>
        <v>702400</v>
      </c>
      <c r="K293" s="16"/>
    </row>
    <row r="294" spans="1:12" ht="21.5" thickBot="1">
      <c r="A294" s="290"/>
      <c r="B294" s="26" t="s">
        <v>72</v>
      </c>
      <c r="C294" s="9" t="s">
        <v>164</v>
      </c>
      <c r="D294" s="9" t="s">
        <v>113</v>
      </c>
      <c r="E294" s="9" t="s">
        <v>113</v>
      </c>
      <c r="F294" s="9">
        <v>1</v>
      </c>
      <c r="G294" s="9" t="s">
        <v>240</v>
      </c>
      <c r="H294" s="9">
        <f t="shared" si="30"/>
        <v>1</v>
      </c>
      <c r="I294" s="105">
        <v>13400</v>
      </c>
      <c r="J294" s="78">
        <f t="shared" si="31"/>
        <v>13400</v>
      </c>
      <c r="K294" s="14"/>
      <c r="L294" s="106">
        <f>SUM(J285:J294)</f>
        <v>1880373</v>
      </c>
    </row>
    <row r="295" spans="1:12">
      <c r="A295" s="290">
        <v>31</v>
      </c>
      <c r="B295" s="27" t="s">
        <v>71</v>
      </c>
      <c r="C295" s="10" t="s">
        <v>165</v>
      </c>
      <c r="D295" s="10" t="s">
        <v>118</v>
      </c>
      <c r="E295" s="10" t="s">
        <v>522</v>
      </c>
      <c r="F295" s="10">
        <v>4</v>
      </c>
      <c r="G295" s="10" t="s">
        <v>560</v>
      </c>
      <c r="H295" s="10">
        <f>$K$11*F295</f>
        <v>4</v>
      </c>
      <c r="I295" s="56">
        <v>88000</v>
      </c>
      <c r="J295" s="56">
        <f t="shared" si="31"/>
        <v>352000</v>
      </c>
      <c r="K295" s="17"/>
    </row>
    <row r="296" spans="1:12">
      <c r="A296" s="290"/>
      <c r="B296" s="25" t="s">
        <v>71</v>
      </c>
      <c r="C296" s="13" t="s">
        <v>165</v>
      </c>
      <c r="D296" s="13" t="s">
        <v>498</v>
      </c>
      <c r="E296" s="13" t="s">
        <v>607</v>
      </c>
      <c r="F296" s="13">
        <v>1</v>
      </c>
      <c r="G296" s="13" t="s">
        <v>233</v>
      </c>
      <c r="H296" s="13">
        <f t="shared" ref="H296:H304" si="32">$K$11*F296</f>
        <v>1</v>
      </c>
      <c r="I296" s="60">
        <v>710000</v>
      </c>
      <c r="J296" s="56">
        <f t="shared" si="31"/>
        <v>710000</v>
      </c>
      <c r="K296" s="16"/>
    </row>
    <row r="297" spans="1:12">
      <c r="A297" s="290"/>
      <c r="B297" s="25" t="s">
        <v>71</v>
      </c>
      <c r="C297" s="13" t="s">
        <v>165</v>
      </c>
      <c r="D297" s="13" t="s">
        <v>493</v>
      </c>
      <c r="E297" s="13" t="s">
        <v>115</v>
      </c>
      <c r="F297" s="13">
        <v>112</v>
      </c>
      <c r="G297" s="13" t="s">
        <v>251</v>
      </c>
      <c r="H297" s="13">
        <f t="shared" si="32"/>
        <v>112</v>
      </c>
      <c r="I297" s="60">
        <v>460</v>
      </c>
      <c r="J297" s="56">
        <f t="shared" si="31"/>
        <v>51520</v>
      </c>
      <c r="K297" s="16"/>
    </row>
    <row r="298" spans="1:12">
      <c r="A298" s="290"/>
      <c r="B298" s="25" t="s">
        <v>71</v>
      </c>
      <c r="C298" s="13" t="s">
        <v>165</v>
      </c>
      <c r="D298" s="13" t="s">
        <v>502</v>
      </c>
      <c r="E298" s="13" t="s">
        <v>130</v>
      </c>
      <c r="F298" s="13">
        <v>1</v>
      </c>
      <c r="G298" s="13" t="s">
        <v>233</v>
      </c>
      <c r="H298" s="13">
        <f t="shared" si="32"/>
        <v>1</v>
      </c>
      <c r="I298" s="60">
        <v>0</v>
      </c>
      <c r="J298" s="56">
        <f t="shared" si="31"/>
        <v>0</v>
      </c>
      <c r="K298" s="16"/>
    </row>
    <row r="299" spans="1:12">
      <c r="A299" s="290"/>
      <c r="B299" s="25" t="s">
        <v>71</v>
      </c>
      <c r="C299" s="13" t="s">
        <v>165</v>
      </c>
      <c r="D299" s="13" t="s">
        <v>505</v>
      </c>
      <c r="E299" s="13" t="s">
        <v>131</v>
      </c>
      <c r="F299" s="13">
        <v>1</v>
      </c>
      <c r="G299" s="13" t="s">
        <v>233</v>
      </c>
      <c r="H299" s="13">
        <f t="shared" si="32"/>
        <v>1</v>
      </c>
      <c r="I299" s="60">
        <v>0</v>
      </c>
      <c r="J299" s="56">
        <f t="shared" si="31"/>
        <v>0</v>
      </c>
      <c r="K299" s="16" t="s">
        <v>252</v>
      </c>
    </row>
    <row r="300" spans="1:12">
      <c r="A300" s="290"/>
      <c r="B300" s="25" t="s">
        <v>71</v>
      </c>
      <c r="C300" s="13" t="s">
        <v>165</v>
      </c>
      <c r="D300" s="13" t="s">
        <v>509</v>
      </c>
      <c r="E300" s="13" t="s">
        <v>132</v>
      </c>
      <c r="F300" s="13">
        <v>1</v>
      </c>
      <c r="G300" s="13" t="s">
        <v>681</v>
      </c>
      <c r="H300" s="13">
        <f t="shared" si="32"/>
        <v>1</v>
      </c>
      <c r="I300" s="60">
        <v>4150</v>
      </c>
      <c r="J300" s="56">
        <f t="shared" si="31"/>
        <v>4150</v>
      </c>
      <c r="K300" s="16"/>
    </row>
    <row r="301" spans="1:12">
      <c r="A301" s="290"/>
      <c r="B301" s="25" t="s">
        <v>71</v>
      </c>
      <c r="C301" s="13" t="s">
        <v>165</v>
      </c>
      <c r="D301" s="13" t="s">
        <v>512</v>
      </c>
      <c r="E301" s="13" t="s">
        <v>620</v>
      </c>
      <c r="F301" s="13">
        <v>1</v>
      </c>
      <c r="G301" s="13" t="s">
        <v>233</v>
      </c>
      <c r="H301" s="13">
        <f t="shared" si="32"/>
        <v>1</v>
      </c>
      <c r="I301" s="60">
        <v>45000</v>
      </c>
      <c r="J301" s="56">
        <f t="shared" si="31"/>
        <v>45000</v>
      </c>
      <c r="K301" s="16"/>
    </row>
    <row r="302" spans="1:12">
      <c r="A302" s="290"/>
      <c r="B302" s="25" t="s">
        <v>71</v>
      </c>
      <c r="C302" s="13" t="s">
        <v>165</v>
      </c>
      <c r="D302" s="13" t="s">
        <v>514</v>
      </c>
      <c r="E302" s="13" t="s">
        <v>133</v>
      </c>
      <c r="F302" s="13">
        <v>1</v>
      </c>
      <c r="G302" s="13" t="s">
        <v>571</v>
      </c>
      <c r="H302" s="13">
        <f t="shared" si="32"/>
        <v>1</v>
      </c>
      <c r="I302" s="60">
        <v>1903</v>
      </c>
      <c r="J302" s="56">
        <f t="shared" si="31"/>
        <v>1903</v>
      </c>
      <c r="K302" s="16"/>
    </row>
    <row r="303" spans="1:12" ht="17.5" thickBot="1">
      <c r="A303" s="290"/>
      <c r="B303" s="25" t="s">
        <v>71</v>
      </c>
      <c r="C303" s="13" t="s">
        <v>165</v>
      </c>
      <c r="D303" s="13" t="s">
        <v>136</v>
      </c>
      <c r="E303" s="13" t="s">
        <v>136</v>
      </c>
      <c r="F303" s="13">
        <v>2</v>
      </c>
      <c r="G303" s="13" t="s">
        <v>235</v>
      </c>
      <c r="H303" s="13">
        <f t="shared" si="32"/>
        <v>2</v>
      </c>
      <c r="I303" s="60">
        <f>(56*2700)+200000</f>
        <v>351200</v>
      </c>
      <c r="J303" s="56">
        <f t="shared" si="31"/>
        <v>702400</v>
      </c>
      <c r="K303" s="16"/>
    </row>
    <row r="304" spans="1:12" ht="21.5" thickBot="1">
      <c r="A304" s="290"/>
      <c r="B304" s="29" t="s">
        <v>71</v>
      </c>
      <c r="C304" s="15" t="s">
        <v>165</v>
      </c>
      <c r="D304" s="15" t="s">
        <v>113</v>
      </c>
      <c r="E304" s="15" t="s">
        <v>113</v>
      </c>
      <c r="F304" s="15">
        <v>1</v>
      </c>
      <c r="G304" s="15" t="s">
        <v>240</v>
      </c>
      <c r="H304" s="15">
        <f t="shared" si="32"/>
        <v>1</v>
      </c>
      <c r="I304" s="105">
        <v>13400</v>
      </c>
      <c r="J304" s="79">
        <f t="shared" si="31"/>
        <v>13400</v>
      </c>
      <c r="K304" s="22"/>
      <c r="L304" s="106">
        <f>SUM(J295:J304)</f>
        <v>1880373</v>
      </c>
    </row>
    <row r="305" spans="1:12">
      <c r="A305" s="290">
        <v>32</v>
      </c>
      <c r="B305" s="21" t="s">
        <v>71</v>
      </c>
      <c r="C305" s="11" t="s">
        <v>166</v>
      </c>
      <c r="D305" s="11" t="s">
        <v>118</v>
      </c>
      <c r="E305" s="11" t="s">
        <v>522</v>
      </c>
      <c r="F305" s="11">
        <v>4</v>
      </c>
      <c r="G305" s="11" t="s">
        <v>560</v>
      </c>
      <c r="H305" s="11">
        <f>$K$12*F305</f>
        <v>4</v>
      </c>
      <c r="I305" s="54">
        <v>88000</v>
      </c>
      <c r="J305" s="54">
        <f t="shared" si="31"/>
        <v>352000</v>
      </c>
      <c r="K305" s="12"/>
    </row>
    <row r="306" spans="1:12">
      <c r="A306" s="290"/>
      <c r="B306" s="25" t="s">
        <v>71</v>
      </c>
      <c r="C306" s="13" t="s">
        <v>166</v>
      </c>
      <c r="D306" s="13" t="s">
        <v>498</v>
      </c>
      <c r="E306" s="13" t="s">
        <v>608</v>
      </c>
      <c r="F306" s="13">
        <v>1</v>
      </c>
      <c r="G306" s="13" t="s">
        <v>233</v>
      </c>
      <c r="H306" s="13">
        <f t="shared" ref="H306:H314" si="33">$K$12*F306</f>
        <v>1</v>
      </c>
      <c r="I306" s="60">
        <v>710000</v>
      </c>
      <c r="J306" s="56">
        <f t="shared" si="31"/>
        <v>710000</v>
      </c>
      <c r="K306" s="16"/>
    </row>
    <row r="307" spans="1:12">
      <c r="A307" s="290"/>
      <c r="B307" s="25" t="s">
        <v>71</v>
      </c>
      <c r="C307" s="13" t="s">
        <v>166</v>
      </c>
      <c r="D307" s="13" t="s">
        <v>494</v>
      </c>
      <c r="E307" s="13" t="s">
        <v>116</v>
      </c>
      <c r="F307" s="13">
        <v>112</v>
      </c>
      <c r="G307" s="13" t="s">
        <v>251</v>
      </c>
      <c r="H307" s="13">
        <f t="shared" si="33"/>
        <v>112</v>
      </c>
      <c r="I307" s="60">
        <v>460</v>
      </c>
      <c r="J307" s="56">
        <f t="shared" si="31"/>
        <v>51520</v>
      </c>
      <c r="K307" s="16"/>
    </row>
    <row r="308" spans="1:12">
      <c r="A308" s="290"/>
      <c r="B308" s="25" t="s">
        <v>71</v>
      </c>
      <c r="C308" s="13" t="s">
        <v>166</v>
      </c>
      <c r="D308" s="13" t="s">
        <v>502</v>
      </c>
      <c r="E308" s="13" t="s">
        <v>130</v>
      </c>
      <c r="F308" s="13">
        <v>1</v>
      </c>
      <c r="G308" s="13" t="s">
        <v>233</v>
      </c>
      <c r="H308" s="13">
        <f t="shared" si="33"/>
        <v>1</v>
      </c>
      <c r="I308" s="60">
        <v>0</v>
      </c>
      <c r="J308" s="56">
        <f t="shared" si="31"/>
        <v>0</v>
      </c>
      <c r="K308" s="16"/>
    </row>
    <row r="309" spans="1:12">
      <c r="A309" s="290"/>
      <c r="B309" s="25" t="s">
        <v>71</v>
      </c>
      <c r="C309" s="13" t="s">
        <v>166</v>
      </c>
      <c r="D309" s="13" t="s">
        <v>505</v>
      </c>
      <c r="E309" s="13" t="s">
        <v>131</v>
      </c>
      <c r="F309" s="13">
        <v>1</v>
      </c>
      <c r="G309" s="13" t="s">
        <v>233</v>
      </c>
      <c r="H309" s="13">
        <f t="shared" si="33"/>
        <v>1</v>
      </c>
      <c r="I309" s="60">
        <v>0</v>
      </c>
      <c r="J309" s="56">
        <f t="shared" si="31"/>
        <v>0</v>
      </c>
      <c r="K309" s="16" t="s">
        <v>252</v>
      </c>
    </row>
    <row r="310" spans="1:12">
      <c r="A310" s="290"/>
      <c r="B310" s="25" t="s">
        <v>71</v>
      </c>
      <c r="C310" s="13" t="s">
        <v>166</v>
      </c>
      <c r="D310" s="13" t="s">
        <v>509</v>
      </c>
      <c r="E310" s="13" t="s">
        <v>132</v>
      </c>
      <c r="F310" s="13">
        <v>1</v>
      </c>
      <c r="G310" s="13" t="s">
        <v>681</v>
      </c>
      <c r="H310" s="13">
        <f t="shared" si="33"/>
        <v>1</v>
      </c>
      <c r="I310" s="60">
        <v>4150</v>
      </c>
      <c r="J310" s="56">
        <f t="shared" si="31"/>
        <v>4150</v>
      </c>
      <c r="K310" s="16"/>
    </row>
    <row r="311" spans="1:12">
      <c r="A311" s="290"/>
      <c r="B311" s="25" t="s">
        <v>71</v>
      </c>
      <c r="C311" s="13" t="s">
        <v>166</v>
      </c>
      <c r="D311" s="13" t="s">
        <v>512</v>
      </c>
      <c r="E311" s="13" t="s">
        <v>620</v>
      </c>
      <c r="F311" s="13">
        <v>1</v>
      </c>
      <c r="G311" s="13" t="s">
        <v>233</v>
      </c>
      <c r="H311" s="13">
        <f t="shared" si="33"/>
        <v>1</v>
      </c>
      <c r="I311" s="60">
        <v>45000</v>
      </c>
      <c r="J311" s="56">
        <f t="shared" si="31"/>
        <v>45000</v>
      </c>
      <c r="K311" s="16"/>
    </row>
    <row r="312" spans="1:12">
      <c r="A312" s="290"/>
      <c r="B312" s="25" t="s">
        <v>71</v>
      </c>
      <c r="C312" s="13" t="s">
        <v>166</v>
      </c>
      <c r="D312" s="13" t="s">
        <v>514</v>
      </c>
      <c r="E312" s="13" t="s">
        <v>133</v>
      </c>
      <c r="F312" s="13">
        <v>1</v>
      </c>
      <c r="G312" s="13" t="s">
        <v>571</v>
      </c>
      <c r="H312" s="13">
        <f t="shared" si="33"/>
        <v>1</v>
      </c>
      <c r="I312" s="60">
        <v>1903</v>
      </c>
      <c r="J312" s="56">
        <f t="shared" si="31"/>
        <v>1903</v>
      </c>
      <c r="K312" s="16"/>
    </row>
    <row r="313" spans="1:12" ht="17.5" thickBot="1">
      <c r="A313" s="290"/>
      <c r="B313" s="25" t="s">
        <v>71</v>
      </c>
      <c r="C313" s="13" t="s">
        <v>166</v>
      </c>
      <c r="D313" s="13" t="s">
        <v>593</v>
      </c>
      <c r="E313" s="13" t="s">
        <v>136</v>
      </c>
      <c r="F313" s="13">
        <v>2</v>
      </c>
      <c r="G313" s="13" t="s">
        <v>235</v>
      </c>
      <c r="H313" s="13">
        <f t="shared" si="33"/>
        <v>2</v>
      </c>
      <c r="I313" s="60">
        <f>(56*2700)+200000</f>
        <v>351200</v>
      </c>
      <c r="J313" s="56">
        <f t="shared" si="31"/>
        <v>702400</v>
      </c>
      <c r="K313" s="16"/>
    </row>
    <row r="314" spans="1:12" ht="21.5" thickBot="1">
      <c r="A314" s="290"/>
      <c r="B314" s="26" t="s">
        <v>71</v>
      </c>
      <c r="C314" s="9" t="s">
        <v>166</v>
      </c>
      <c r="D314" s="9" t="s">
        <v>113</v>
      </c>
      <c r="E314" s="9" t="s">
        <v>113</v>
      </c>
      <c r="F314" s="9">
        <v>1</v>
      </c>
      <c r="G314" s="9" t="s">
        <v>240</v>
      </c>
      <c r="H314" s="9">
        <f t="shared" si="33"/>
        <v>1</v>
      </c>
      <c r="I314" s="105">
        <v>13400</v>
      </c>
      <c r="J314" s="78">
        <f t="shared" si="31"/>
        <v>13400</v>
      </c>
      <c r="K314" s="14"/>
      <c r="L314" s="106">
        <f>SUM(J305:J314)</f>
        <v>1880373</v>
      </c>
    </row>
    <row r="315" spans="1:12">
      <c r="A315" s="290">
        <v>33</v>
      </c>
      <c r="B315" s="27" t="s">
        <v>71</v>
      </c>
      <c r="C315" s="10" t="s">
        <v>135</v>
      </c>
      <c r="D315" s="10" t="s">
        <v>118</v>
      </c>
      <c r="E315" s="10" t="s">
        <v>522</v>
      </c>
      <c r="F315" s="10">
        <v>4</v>
      </c>
      <c r="G315" s="10" t="s">
        <v>560</v>
      </c>
      <c r="H315" s="10">
        <f>$K$13*F315</f>
        <v>4</v>
      </c>
      <c r="I315" s="56">
        <v>88000</v>
      </c>
      <c r="J315" s="56">
        <f t="shared" si="31"/>
        <v>352000</v>
      </c>
      <c r="K315" s="17"/>
    </row>
    <row r="316" spans="1:12">
      <c r="A316" s="290"/>
      <c r="B316" s="25" t="s">
        <v>71</v>
      </c>
      <c r="C316" s="13" t="s">
        <v>135</v>
      </c>
      <c r="D316" s="13" t="s">
        <v>498</v>
      </c>
      <c r="E316" s="13" t="s">
        <v>608</v>
      </c>
      <c r="F316" s="13">
        <v>1</v>
      </c>
      <c r="G316" s="13" t="s">
        <v>233</v>
      </c>
      <c r="H316" s="13">
        <f t="shared" ref="H316:H323" si="34">$K$13*F316</f>
        <v>1</v>
      </c>
      <c r="I316" s="60">
        <v>710000</v>
      </c>
      <c r="J316" s="56">
        <f t="shared" si="31"/>
        <v>710000</v>
      </c>
      <c r="K316" s="16"/>
    </row>
    <row r="317" spans="1:12">
      <c r="A317" s="290"/>
      <c r="B317" s="25" t="s">
        <v>71</v>
      </c>
      <c r="C317" s="13" t="s">
        <v>135</v>
      </c>
      <c r="D317" s="13" t="s">
        <v>502</v>
      </c>
      <c r="E317" s="13" t="s">
        <v>130</v>
      </c>
      <c r="F317" s="13">
        <v>1</v>
      </c>
      <c r="G317" s="13" t="s">
        <v>233</v>
      </c>
      <c r="H317" s="13">
        <f t="shared" si="34"/>
        <v>1</v>
      </c>
      <c r="I317" s="60">
        <v>0</v>
      </c>
      <c r="J317" s="56">
        <f t="shared" si="31"/>
        <v>0</v>
      </c>
      <c r="K317" s="16"/>
    </row>
    <row r="318" spans="1:12">
      <c r="A318" s="290"/>
      <c r="B318" s="25" t="s">
        <v>71</v>
      </c>
      <c r="C318" s="13" t="s">
        <v>135</v>
      </c>
      <c r="D318" s="13" t="s">
        <v>505</v>
      </c>
      <c r="E318" s="13" t="s">
        <v>131</v>
      </c>
      <c r="F318" s="13">
        <v>1</v>
      </c>
      <c r="G318" s="13" t="s">
        <v>233</v>
      </c>
      <c r="H318" s="13">
        <f t="shared" si="34"/>
        <v>1</v>
      </c>
      <c r="I318" s="60">
        <v>0</v>
      </c>
      <c r="J318" s="56">
        <f t="shared" si="31"/>
        <v>0</v>
      </c>
      <c r="K318" s="16" t="s">
        <v>252</v>
      </c>
    </row>
    <row r="319" spans="1:12">
      <c r="A319" s="290"/>
      <c r="B319" s="25" t="s">
        <v>71</v>
      </c>
      <c r="C319" s="13" t="s">
        <v>135</v>
      </c>
      <c r="D319" s="13" t="s">
        <v>509</v>
      </c>
      <c r="E319" s="13" t="s">
        <v>132</v>
      </c>
      <c r="F319" s="13">
        <v>1</v>
      </c>
      <c r="G319" s="13" t="s">
        <v>681</v>
      </c>
      <c r="H319" s="13">
        <f t="shared" si="34"/>
        <v>1</v>
      </c>
      <c r="I319" s="60">
        <v>4150</v>
      </c>
      <c r="J319" s="56">
        <f t="shared" si="31"/>
        <v>4150</v>
      </c>
      <c r="K319" s="16"/>
    </row>
    <row r="320" spans="1:12">
      <c r="A320" s="290"/>
      <c r="B320" s="25" t="s">
        <v>71</v>
      </c>
      <c r="C320" s="13" t="s">
        <v>135</v>
      </c>
      <c r="D320" s="13" t="s">
        <v>512</v>
      </c>
      <c r="E320" s="13" t="s">
        <v>620</v>
      </c>
      <c r="F320" s="13">
        <v>1</v>
      </c>
      <c r="G320" s="13" t="s">
        <v>233</v>
      </c>
      <c r="H320" s="13">
        <f t="shared" si="34"/>
        <v>1</v>
      </c>
      <c r="I320" s="60">
        <v>45000</v>
      </c>
      <c r="J320" s="56">
        <f t="shared" si="31"/>
        <v>45000</v>
      </c>
      <c r="K320" s="16"/>
    </row>
    <row r="321" spans="1:12">
      <c r="A321" s="290"/>
      <c r="B321" s="25" t="s">
        <v>71</v>
      </c>
      <c r="C321" s="13" t="s">
        <v>135</v>
      </c>
      <c r="D321" s="13" t="s">
        <v>514</v>
      </c>
      <c r="E321" s="13" t="s">
        <v>133</v>
      </c>
      <c r="F321" s="13">
        <v>1</v>
      </c>
      <c r="G321" s="13" t="s">
        <v>571</v>
      </c>
      <c r="H321" s="13">
        <f t="shared" si="34"/>
        <v>1</v>
      </c>
      <c r="I321" s="60">
        <v>1903</v>
      </c>
      <c r="J321" s="56">
        <f t="shared" si="31"/>
        <v>1903</v>
      </c>
      <c r="K321" s="16"/>
    </row>
    <row r="322" spans="1:12" ht="17.5" thickBot="1">
      <c r="A322" s="290"/>
      <c r="B322" s="25" t="s">
        <v>71</v>
      </c>
      <c r="C322" s="13" t="s">
        <v>135</v>
      </c>
      <c r="D322" s="13" t="s">
        <v>136</v>
      </c>
      <c r="E322" s="13" t="s">
        <v>136</v>
      </c>
      <c r="F322" s="13">
        <v>2</v>
      </c>
      <c r="G322" s="13" t="s">
        <v>235</v>
      </c>
      <c r="H322" s="13">
        <f t="shared" si="34"/>
        <v>2</v>
      </c>
      <c r="I322" s="60">
        <f>(56*2700)+200000</f>
        <v>351200</v>
      </c>
      <c r="J322" s="56">
        <f t="shared" si="31"/>
        <v>702400</v>
      </c>
      <c r="K322" s="16"/>
    </row>
    <row r="323" spans="1:12" ht="21.5" thickBot="1">
      <c r="A323" s="290"/>
      <c r="B323" s="29" t="s">
        <v>71</v>
      </c>
      <c r="C323" s="15" t="s">
        <v>135</v>
      </c>
      <c r="D323" s="15" t="s">
        <v>113</v>
      </c>
      <c r="E323" s="15" t="s">
        <v>113</v>
      </c>
      <c r="F323" s="15">
        <v>1</v>
      </c>
      <c r="G323" s="15" t="s">
        <v>240</v>
      </c>
      <c r="H323" s="15">
        <f t="shared" si="34"/>
        <v>1</v>
      </c>
      <c r="I323" s="105">
        <v>13400</v>
      </c>
      <c r="J323" s="79">
        <f t="shared" si="31"/>
        <v>13400</v>
      </c>
      <c r="K323" s="22"/>
      <c r="L323" s="106">
        <f>SUM(J315:J323)</f>
        <v>1828853</v>
      </c>
    </row>
    <row r="324" spans="1:12">
      <c r="A324" s="290">
        <v>34</v>
      </c>
      <c r="B324" s="21" t="s">
        <v>75</v>
      </c>
      <c r="C324" s="11" t="s">
        <v>167</v>
      </c>
      <c r="D324" s="11" t="s">
        <v>463</v>
      </c>
      <c r="E324" s="11" t="s">
        <v>522</v>
      </c>
      <c r="F324" s="11">
        <v>4</v>
      </c>
      <c r="G324" s="11" t="s">
        <v>560</v>
      </c>
      <c r="H324" s="11">
        <f>$K$14*F324</f>
        <v>4</v>
      </c>
      <c r="I324" s="54">
        <v>99000</v>
      </c>
      <c r="J324" s="54">
        <f t="shared" si="31"/>
        <v>396000</v>
      </c>
      <c r="K324" s="12"/>
    </row>
    <row r="325" spans="1:12">
      <c r="A325" s="290"/>
      <c r="B325" s="25" t="s">
        <v>75</v>
      </c>
      <c r="C325" s="13" t="s">
        <v>167</v>
      </c>
      <c r="D325" s="13" t="s">
        <v>498</v>
      </c>
      <c r="E325" s="13" t="s">
        <v>608</v>
      </c>
      <c r="F325" s="13">
        <v>1</v>
      </c>
      <c r="G325" s="13" t="s">
        <v>233</v>
      </c>
      <c r="H325" s="13">
        <f t="shared" ref="H325:H333" si="35">$K$14*F325</f>
        <v>1</v>
      </c>
      <c r="I325" s="60">
        <v>710000</v>
      </c>
      <c r="J325" s="56">
        <f t="shared" si="31"/>
        <v>710000</v>
      </c>
      <c r="K325" s="16"/>
    </row>
    <row r="326" spans="1:12">
      <c r="A326" s="290"/>
      <c r="B326" s="25" t="s">
        <v>75</v>
      </c>
      <c r="C326" s="13" t="s">
        <v>167</v>
      </c>
      <c r="D326" s="13" t="s">
        <v>491</v>
      </c>
      <c r="E326" s="13" t="s">
        <v>107</v>
      </c>
      <c r="F326" s="13">
        <v>120</v>
      </c>
      <c r="G326" s="13" t="s">
        <v>251</v>
      </c>
      <c r="H326" s="13">
        <f t="shared" si="35"/>
        <v>120</v>
      </c>
      <c r="I326" s="60">
        <v>460</v>
      </c>
      <c r="J326" s="56">
        <f t="shared" si="31"/>
        <v>55200</v>
      </c>
      <c r="K326" s="16"/>
    </row>
    <row r="327" spans="1:12">
      <c r="A327" s="290"/>
      <c r="B327" s="25" t="s">
        <v>75</v>
      </c>
      <c r="C327" s="13" t="s">
        <v>167</v>
      </c>
      <c r="D327" s="13" t="s">
        <v>502</v>
      </c>
      <c r="E327" s="13" t="s">
        <v>130</v>
      </c>
      <c r="F327" s="13">
        <v>1</v>
      </c>
      <c r="G327" s="13" t="s">
        <v>233</v>
      </c>
      <c r="H327" s="13">
        <f t="shared" si="35"/>
        <v>1</v>
      </c>
      <c r="I327" s="60">
        <v>0</v>
      </c>
      <c r="J327" s="56">
        <f t="shared" si="31"/>
        <v>0</v>
      </c>
      <c r="K327" s="16"/>
    </row>
    <row r="328" spans="1:12">
      <c r="A328" s="290"/>
      <c r="B328" s="25" t="s">
        <v>75</v>
      </c>
      <c r="C328" s="13" t="s">
        <v>167</v>
      </c>
      <c r="D328" s="13" t="s">
        <v>505</v>
      </c>
      <c r="E328" s="13" t="s">
        <v>131</v>
      </c>
      <c r="F328" s="13">
        <v>1</v>
      </c>
      <c r="G328" s="13" t="s">
        <v>233</v>
      </c>
      <c r="H328" s="13">
        <f t="shared" si="35"/>
        <v>1</v>
      </c>
      <c r="I328" s="60">
        <v>0</v>
      </c>
      <c r="J328" s="56">
        <f t="shared" si="31"/>
        <v>0</v>
      </c>
      <c r="K328" s="16" t="s">
        <v>252</v>
      </c>
    </row>
    <row r="329" spans="1:12">
      <c r="A329" s="290"/>
      <c r="B329" s="25" t="s">
        <v>75</v>
      </c>
      <c r="C329" s="13" t="s">
        <v>167</v>
      </c>
      <c r="D329" s="13" t="s">
        <v>509</v>
      </c>
      <c r="E329" s="13" t="s">
        <v>132</v>
      </c>
      <c r="F329" s="13">
        <v>1</v>
      </c>
      <c r="G329" s="13" t="s">
        <v>681</v>
      </c>
      <c r="H329" s="13">
        <f t="shared" si="35"/>
        <v>1</v>
      </c>
      <c r="I329" s="60">
        <v>4150</v>
      </c>
      <c r="J329" s="56">
        <f t="shared" si="31"/>
        <v>4150</v>
      </c>
      <c r="K329" s="16"/>
    </row>
    <row r="330" spans="1:12">
      <c r="A330" s="290"/>
      <c r="B330" s="25" t="s">
        <v>75</v>
      </c>
      <c r="C330" s="13" t="s">
        <v>167</v>
      </c>
      <c r="D330" s="13" t="s">
        <v>512</v>
      </c>
      <c r="E330" s="13" t="s">
        <v>620</v>
      </c>
      <c r="F330" s="13">
        <v>1</v>
      </c>
      <c r="G330" s="13" t="s">
        <v>233</v>
      </c>
      <c r="H330" s="13">
        <f t="shared" si="35"/>
        <v>1</v>
      </c>
      <c r="I330" s="60">
        <v>45000</v>
      </c>
      <c r="J330" s="56">
        <f t="shared" si="31"/>
        <v>45000</v>
      </c>
      <c r="K330" s="16"/>
    </row>
    <row r="331" spans="1:12">
      <c r="A331" s="290"/>
      <c r="B331" s="25" t="s">
        <v>75</v>
      </c>
      <c r="C331" s="13" t="s">
        <v>167</v>
      </c>
      <c r="D331" s="13" t="s">
        <v>514</v>
      </c>
      <c r="E331" s="13" t="s">
        <v>133</v>
      </c>
      <c r="F331" s="13">
        <v>1</v>
      </c>
      <c r="G331" s="13" t="s">
        <v>571</v>
      </c>
      <c r="H331" s="13">
        <f t="shared" si="35"/>
        <v>1</v>
      </c>
      <c r="I331" s="60">
        <v>1903</v>
      </c>
      <c r="J331" s="56">
        <f t="shared" si="31"/>
        <v>1903</v>
      </c>
      <c r="K331" s="16"/>
    </row>
    <row r="332" spans="1:12" ht="17.5" thickBot="1">
      <c r="A332" s="290"/>
      <c r="B332" s="25" t="s">
        <v>75</v>
      </c>
      <c r="C332" s="13" t="s">
        <v>167</v>
      </c>
      <c r="D332" s="13" t="s">
        <v>138</v>
      </c>
      <c r="E332" s="13" t="s">
        <v>138</v>
      </c>
      <c r="F332" s="13">
        <v>2</v>
      </c>
      <c r="G332" s="13" t="s">
        <v>235</v>
      </c>
      <c r="H332" s="13">
        <f t="shared" si="35"/>
        <v>2</v>
      </c>
      <c r="I332" s="60">
        <f>(60*2700)+200000</f>
        <v>362000</v>
      </c>
      <c r="J332" s="56">
        <f t="shared" si="31"/>
        <v>724000</v>
      </c>
      <c r="K332" s="16"/>
    </row>
    <row r="333" spans="1:12" ht="21.5" thickBot="1">
      <c r="A333" s="290"/>
      <c r="B333" s="26" t="s">
        <v>75</v>
      </c>
      <c r="C333" s="9" t="s">
        <v>167</v>
      </c>
      <c r="D333" s="9" t="s">
        <v>113</v>
      </c>
      <c r="E333" s="9" t="s">
        <v>113</v>
      </c>
      <c r="F333" s="9">
        <v>1</v>
      </c>
      <c r="G333" s="9" t="s">
        <v>240</v>
      </c>
      <c r="H333" s="9">
        <f t="shared" si="35"/>
        <v>1</v>
      </c>
      <c r="I333" s="105">
        <v>13400</v>
      </c>
      <c r="J333" s="78">
        <f t="shared" si="31"/>
        <v>13400</v>
      </c>
      <c r="K333" s="14"/>
      <c r="L333" s="106">
        <f>SUM(J324:J333)</f>
        <v>1949653</v>
      </c>
    </row>
    <row r="334" spans="1:12">
      <c r="A334" s="290">
        <v>35</v>
      </c>
      <c r="B334" s="27" t="s">
        <v>75</v>
      </c>
      <c r="C334" s="10" t="s">
        <v>168</v>
      </c>
      <c r="D334" s="10" t="s">
        <v>463</v>
      </c>
      <c r="E334" s="10" t="s">
        <v>522</v>
      </c>
      <c r="F334" s="10">
        <v>4</v>
      </c>
      <c r="G334" s="10" t="s">
        <v>560</v>
      </c>
      <c r="H334" s="10">
        <f>$K$15*F334</f>
        <v>4</v>
      </c>
      <c r="I334" s="56">
        <v>99000</v>
      </c>
      <c r="J334" s="56">
        <f t="shared" si="31"/>
        <v>396000</v>
      </c>
      <c r="K334" s="17"/>
    </row>
    <row r="335" spans="1:12">
      <c r="A335" s="290"/>
      <c r="B335" s="25" t="s">
        <v>75</v>
      </c>
      <c r="C335" s="13" t="s">
        <v>168</v>
      </c>
      <c r="D335" s="13" t="s">
        <v>498</v>
      </c>
      <c r="E335" s="13" t="s">
        <v>608</v>
      </c>
      <c r="F335" s="13">
        <v>1</v>
      </c>
      <c r="G335" s="13" t="s">
        <v>233</v>
      </c>
      <c r="H335" s="13">
        <f t="shared" ref="H335:H343" si="36">$K$15*F335</f>
        <v>1</v>
      </c>
      <c r="I335" s="60">
        <v>710000</v>
      </c>
      <c r="J335" s="56">
        <f t="shared" si="31"/>
        <v>710000</v>
      </c>
      <c r="K335" s="16"/>
    </row>
    <row r="336" spans="1:12">
      <c r="A336" s="290"/>
      <c r="B336" s="25" t="s">
        <v>75</v>
      </c>
      <c r="C336" s="13" t="s">
        <v>168</v>
      </c>
      <c r="D336" s="13" t="s">
        <v>492</v>
      </c>
      <c r="E336" s="13" t="s">
        <v>114</v>
      </c>
      <c r="F336" s="13">
        <v>120</v>
      </c>
      <c r="G336" s="13" t="s">
        <v>251</v>
      </c>
      <c r="H336" s="13">
        <f t="shared" si="36"/>
        <v>120</v>
      </c>
      <c r="I336" s="60">
        <v>460</v>
      </c>
      <c r="J336" s="56">
        <f t="shared" si="31"/>
        <v>55200</v>
      </c>
      <c r="K336" s="16"/>
    </row>
    <row r="337" spans="1:12">
      <c r="A337" s="290"/>
      <c r="B337" s="25" t="s">
        <v>75</v>
      </c>
      <c r="C337" s="13" t="s">
        <v>168</v>
      </c>
      <c r="D337" s="13" t="s">
        <v>502</v>
      </c>
      <c r="E337" s="13" t="s">
        <v>130</v>
      </c>
      <c r="F337" s="13">
        <v>1</v>
      </c>
      <c r="G337" s="13" t="s">
        <v>233</v>
      </c>
      <c r="H337" s="13">
        <f t="shared" si="36"/>
        <v>1</v>
      </c>
      <c r="I337" s="60">
        <v>0</v>
      </c>
      <c r="J337" s="56">
        <f t="shared" si="31"/>
        <v>0</v>
      </c>
      <c r="K337" s="16"/>
    </row>
    <row r="338" spans="1:12">
      <c r="A338" s="290"/>
      <c r="B338" s="25" t="s">
        <v>75</v>
      </c>
      <c r="C338" s="13" t="s">
        <v>168</v>
      </c>
      <c r="D338" s="13" t="s">
        <v>505</v>
      </c>
      <c r="E338" s="13" t="s">
        <v>131</v>
      </c>
      <c r="F338" s="13">
        <v>1</v>
      </c>
      <c r="G338" s="13" t="s">
        <v>233</v>
      </c>
      <c r="H338" s="13">
        <f t="shared" si="36"/>
        <v>1</v>
      </c>
      <c r="I338" s="60">
        <v>0</v>
      </c>
      <c r="J338" s="56">
        <f t="shared" si="31"/>
        <v>0</v>
      </c>
      <c r="K338" s="16" t="s">
        <v>252</v>
      </c>
    </row>
    <row r="339" spans="1:12">
      <c r="A339" s="290"/>
      <c r="B339" s="25" t="s">
        <v>75</v>
      </c>
      <c r="C339" s="13" t="s">
        <v>168</v>
      </c>
      <c r="D339" s="13" t="s">
        <v>509</v>
      </c>
      <c r="E339" s="13" t="s">
        <v>132</v>
      </c>
      <c r="F339" s="13">
        <v>1</v>
      </c>
      <c r="G339" s="13" t="s">
        <v>681</v>
      </c>
      <c r="H339" s="13">
        <f t="shared" si="36"/>
        <v>1</v>
      </c>
      <c r="I339" s="60">
        <v>4150</v>
      </c>
      <c r="J339" s="56">
        <f t="shared" si="31"/>
        <v>4150</v>
      </c>
      <c r="K339" s="16"/>
    </row>
    <row r="340" spans="1:12">
      <c r="A340" s="290"/>
      <c r="B340" s="25" t="s">
        <v>75</v>
      </c>
      <c r="C340" s="13" t="s">
        <v>168</v>
      </c>
      <c r="D340" s="13" t="s">
        <v>512</v>
      </c>
      <c r="E340" s="13" t="s">
        <v>620</v>
      </c>
      <c r="F340" s="13">
        <v>1</v>
      </c>
      <c r="G340" s="13" t="s">
        <v>233</v>
      </c>
      <c r="H340" s="13">
        <f t="shared" si="36"/>
        <v>1</v>
      </c>
      <c r="I340" s="60">
        <v>45000</v>
      </c>
      <c r="J340" s="56">
        <f t="shared" si="31"/>
        <v>45000</v>
      </c>
      <c r="K340" s="16"/>
    </row>
    <row r="341" spans="1:12">
      <c r="A341" s="290"/>
      <c r="B341" s="25" t="s">
        <v>75</v>
      </c>
      <c r="C341" s="13" t="s">
        <v>168</v>
      </c>
      <c r="D341" s="13" t="s">
        <v>514</v>
      </c>
      <c r="E341" s="13" t="s">
        <v>133</v>
      </c>
      <c r="F341" s="13">
        <v>1</v>
      </c>
      <c r="G341" s="13" t="s">
        <v>571</v>
      </c>
      <c r="H341" s="13">
        <f t="shared" si="36"/>
        <v>1</v>
      </c>
      <c r="I341" s="60">
        <v>1903</v>
      </c>
      <c r="J341" s="56">
        <f t="shared" si="31"/>
        <v>1903</v>
      </c>
      <c r="K341" s="16"/>
    </row>
    <row r="342" spans="1:12" ht="17.5" thickBot="1">
      <c r="A342" s="290"/>
      <c r="B342" s="25" t="s">
        <v>75</v>
      </c>
      <c r="C342" s="13" t="s">
        <v>168</v>
      </c>
      <c r="D342" s="13" t="s">
        <v>594</v>
      </c>
      <c r="E342" s="13" t="s">
        <v>138</v>
      </c>
      <c r="F342" s="13">
        <v>2</v>
      </c>
      <c r="G342" s="13" t="s">
        <v>235</v>
      </c>
      <c r="H342" s="13">
        <f t="shared" si="36"/>
        <v>2</v>
      </c>
      <c r="I342" s="60">
        <f>(60*2700)+200000</f>
        <v>362000</v>
      </c>
      <c r="J342" s="56">
        <f t="shared" si="31"/>
        <v>724000</v>
      </c>
      <c r="K342" s="16"/>
    </row>
    <row r="343" spans="1:12" ht="21.5" thickBot="1">
      <c r="A343" s="290"/>
      <c r="B343" s="29" t="s">
        <v>75</v>
      </c>
      <c r="C343" s="15" t="s">
        <v>168</v>
      </c>
      <c r="D343" s="15" t="s">
        <v>113</v>
      </c>
      <c r="E343" s="15" t="s">
        <v>113</v>
      </c>
      <c r="F343" s="15">
        <v>1</v>
      </c>
      <c r="G343" s="15" t="s">
        <v>240</v>
      </c>
      <c r="H343" s="15">
        <f t="shared" si="36"/>
        <v>1</v>
      </c>
      <c r="I343" s="105">
        <v>13400</v>
      </c>
      <c r="J343" s="79">
        <f t="shared" si="31"/>
        <v>13400</v>
      </c>
      <c r="K343" s="22"/>
      <c r="L343" s="106">
        <f>SUM(J334:J343)</f>
        <v>1949653</v>
      </c>
    </row>
    <row r="344" spans="1:12">
      <c r="A344" s="290">
        <v>36</v>
      </c>
      <c r="B344" s="21" t="s">
        <v>75</v>
      </c>
      <c r="C344" s="11" t="s">
        <v>169</v>
      </c>
      <c r="D344" s="11" t="s">
        <v>463</v>
      </c>
      <c r="E344" s="11" t="s">
        <v>522</v>
      </c>
      <c r="F344" s="11">
        <v>4</v>
      </c>
      <c r="G344" s="11" t="s">
        <v>560</v>
      </c>
      <c r="H344" s="11">
        <f>$K$16*F344</f>
        <v>4</v>
      </c>
      <c r="I344" s="54">
        <v>99000</v>
      </c>
      <c r="J344" s="54">
        <f t="shared" si="31"/>
        <v>396000</v>
      </c>
      <c r="K344" s="12"/>
    </row>
    <row r="345" spans="1:12">
      <c r="A345" s="290"/>
      <c r="B345" s="25" t="s">
        <v>75</v>
      </c>
      <c r="C345" s="13" t="s">
        <v>169</v>
      </c>
      <c r="D345" s="13" t="s">
        <v>498</v>
      </c>
      <c r="E345" s="13" t="s">
        <v>608</v>
      </c>
      <c r="F345" s="13">
        <v>1</v>
      </c>
      <c r="G345" s="13" t="s">
        <v>233</v>
      </c>
      <c r="H345" s="13">
        <f t="shared" ref="H345:H353" si="37">$K$16*F345</f>
        <v>1</v>
      </c>
      <c r="I345" s="60">
        <v>710000</v>
      </c>
      <c r="J345" s="56">
        <f t="shared" si="31"/>
        <v>710000</v>
      </c>
      <c r="K345" s="16"/>
    </row>
    <row r="346" spans="1:12">
      <c r="A346" s="290"/>
      <c r="B346" s="25" t="s">
        <v>75</v>
      </c>
      <c r="C346" s="13" t="s">
        <v>169</v>
      </c>
      <c r="D346" s="13" t="s">
        <v>493</v>
      </c>
      <c r="E346" s="13" t="s">
        <v>115</v>
      </c>
      <c r="F346" s="13">
        <v>120</v>
      </c>
      <c r="G346" s="13" t="s">
        <v>251</v>
      </c>
      <c r="H346" s="13">
        <f t="shared" si="37"/>
        <v>120</v>
      </c>
      <c r="I346" s="60">
        <v>460</v>
      </c>
      <c r="J346" s="56">
        <f t="shared" si="31"/>
        <v>55200</v>
      </c>
      <c r="K346" s="16"/>
    </row>
    <row r="347" spans="1:12">
      <c r="A347" s="290"/>
      <c r="B347" s="25" t="s">
        <v>75</v>
      </c>
      <c r="C347" s="13" t="s">
        <v>169</v>
      </c>
      <c r="D347" s="13" t="s">
        <v>502</v>
      </c>
      <c r="E347" s="13" t="s">
        <v>130</v>
      </c>
      <c r="F347" s="13">
        <v>1</v>
      </c>
      <c r="G347" s="13" t="s">
        <v>233</v>
      </c>
      <c r="H347" s="13">
        <f t="shared" si="37"/>
        <v>1</v>
      </c>
      <c r="I347" s="60">
        <v>0</v>
      </c>
      <c r="J347" s="56">
        <f t="shared" si="31"/>
        <v>0</v>
      </c>
      <c r="K347" s="16"/>
    </row>
    <row r="348" spans="1:12">
      <c r="A348" s="290"/>
      <c r="B348" s="25" t="s">
        <v>75</v>
      </c>
      <c r="C348" s="13" t="s">
        <v>169</v>
      </c>
      <c r="D348" s="13" t="s">
        <v>505</v>
      </c>
      <c r="E348" s="13" t="s">
        <v>131</v>
      </c>
      <c r="F348" s="13">
        <v>1</v>
      </c>
      <c r="G348" s="13" t="s">
        <v>233</v>
      </c>
      <c r="H348" s="13">
        <f t="shared" si="37"/>
        <v>1</v>
      </c>
      <c r="I348" s="60">
        <v>0</v>
      </c>
      <c r="J348" s="56">
        <f t="shared" si="31"/>
        <v>0</v>
      </c>
      <c r="K348" s="16" t="s">
        <v>252</v>
      </c>
    </row>
    <row r="349" spans="1:12">
      <c r="A349" s="290"/>
      <c r="B349" s="25" t="s">
        <v>75</v>
      </c>
      <c r="C349" s="13" t="s">
        <v>169</v>
      </c>
      <c r="D349" s="13" t="s">
        <v>509</v>
      </c>
      <c r="E349" s="13" t="s">
        <v>132</v>
      </c>
      <c r="F349" s="13">
        <v>1</v>
      </c>
      <c r="G349" s="13" t="s">
        <v>681</v>
      </c>
      <c r="H349" s="13">
        <f t="shared" si="37"/>
        <v>1</v>
      </c>
      <c r="I349" s="60">
        <v>4150</v>
      </c>
      <c r="J349" s="56">
        <f t="shared" si="31"/>
        <v>4150</v>
      </c>
      <c r="K349" s="16"/>
    </row>
    <row r="350" spans="1:12">
      <c r="A350" s="290"/>
      <c r="B350" s="25" t="s">
        <v>75</v>
      </c>
      <c r="C350" s="13" t="s">
        <v>169</v>
      </c>
      <c r="D350" s="13" t="s">
        <v>512</v>
      </c>
      <c r="E350" s="13" t="s">
        <v>620</v>
      </c>
      <c r="F350" s="13">
        <v>1</v>
      </c>
      <c r="G350" s="13" t="s">
        <v>233</v>
      </c>
      <c r="H350" s="13">
        <f t="shared" si="37"/>
        <v>1</v>
      </c>
      <c r="I350" s="60">
        <v>45000</v>
      </c>
      <c r="J350" s="56">
        <f t="shared" si="31"/>
        <v>45000</v>
      </c>
      <c r="K350" s="16"/>
    </row>
    <row r="351" spans="1:12">
      <c r="A351" s="290"/>
      <c r="B351" s="25" t="s">
        <v>75</v>
      </c>
      <c r="C351" s="13" t="s">
        <v>169</v>
      </c>
      <c r="D351" s="13" t="s">
        <v>514</v>
      </c>
      <c r="E351" s="13" t="s">
        <v>133</v>
      </c>
      <c r="F351" s="13">
        <v>1</v>
      </c>
      <c r="G351" s="13" t="s">
        <v>571</v>
      </c>
      <c r="H351" s="13">
        <f t="shared" si="37"/>
        <v>1</v>
      </c>
      <c r="I351" s="60">
        <v>1903</v>
      </c>
      <c r="J351" s="56">
        <f t="shared" ref="J351:J413" si="38">H351*I351</f>
        <v>1903</v>
      </c>
      <c r="K351" s="16"/>
    </row>
    <row r="352" spans="1:12" ht="17.5" thickBot="1">
      <c r="A352" s="290"/>
      <c r="B352" s="25" t="s">
        <v>75</v>
      </c>
      <c r="C352" s="13" t="s">
        <v>169</v>
      </c>
      <c r="D352" s="13" t="s">
        <v>138</v>
      </c>
      <c r="E352" s="13" t="s">
        <v>138</v>
      </c>
      <c r="F352" s="13">
        <v>2</v>
      </c>
      <c r="G352" s="13" t="s">
        <v>235</v>
      </c>
      <c r="H352" s="13">
        <f t="shared" si="37"/>
        <v>2</v>
      </c>
      <c r="I352" s="60">
        <f>(60*2700)+200000</f>
        <v>362000</v>
      </c>
      <c r="J352" s="56">
        <f t="shared" si="38"/>
        <v>724000</v>
      </c>
      <c r="K352" s="16"/>
    </row>
    <row r="353" spans="1:12" ht="21.5" thickBot="1">
      <c r="A353" s="290"/>
      <c r="B353" s="26" t="s">
        <v>75</v>
      </c>
      <c r="C353" s="9" t="s">
        <v>169</v>
      </c>
      <c r="D353" s="9" t="s">
        <v>113</v>
      </c>
      <c r="E353" s="9" t="s">
        <v>113</v>
      </c>
      <c r="F353" s="9">
        <v>1</v>
      </c>
      <c r="G353" s="9" t="s">
        <v>240</v>
      </c>
      <c r="H353" s="9">
        <f t="shared" si="37"/>
        <v>1</v>
      </c>
      <c r="I353" s="105">
        <v>13400</v>
      </c>
      <c r="J353" s="78">
        <f t="shared" si="38"/>
        <v>13400</v>
      </c>
      <c r="K353" s="14"/>
      <c r="L353" s="106">
        <f>SUM(J344:J353)</f>
        <v>1949653</v>
      </c>
    </row>
    <row r="354" spans="1:12">
      <c r="A354" s="290">
        <v>37</v>
      </c>
      <c r="B354" s="27" t="s">
        <v>75</v>
      </c>
      <c r="C354" s="10" t="s">
        <v>170</v>
      </c>
      <c r="D354" s="10" t="s">
        <v>463</v>
      </c>
      <c r="E354" s="10" t="s">
        <v>522</v>
      </c>
      <c r="F354" s="10">
        <v>4</v>
      </c>
      <c r="G354" s="10" t="s">
        <v>560</v>
      </c>
      <c r="H354" s="10">
        <f>$K$17*F354</f>
        <v>4</v>
      </c>
      <c r="I354" s="56">
        <v>99000</v>
      </c>
      <c r="J354" s="56">
        <f t="shared" si="38"/>
        <v>396000</v>
      </c>
      <c r="K354" s="17"/>
    </row>
    <row r="355" spans="1:12">
      <c r="A355" s="290"/>
      <c r="B355" s="25" t="s">
        <v>75</v>
      </c>
      <c r="C355" s="13" t="s">
        <v>170</v>
      </c>
      <c r="D355" s="13" t="s">
        <v>498</v>
      </c>
      <c r="E355" s="13" t="s">
        <v>608</v>
      </c>
      <c r="F355" s="13">
        <v>1</v>
      </c>
      <c r="G355" s="13" t="s">
        <v>233</v>
      </c>
      <c r="H355" s="13">
        <f t="shared" ref="H355:H363" si="39">$K$17*F355</f>
        <v>1</v>
      </c>
      <c r="I355" s="60">
        <v>710000</v>
      </c>
      <c r="J355" s="56">
        <f t="shared" si="38"/>
        <v>710000</v>
      </c>
      <c r="K355" s="16"/>
    </row>
    <row r="356" spans="1:12">
      <c r="A356" s="290"/>
      <c r="B356" s="25" t="s">
        <v>75</v>
      </c>
      <c r="C356" s="13" t="s">
        <v>170</v>
      </c>
      <c r="D356" s="13" t="s">
        <v>494</v>
      </c>
      <c r="E356" s="13" t="s">
        <v>116</v>
      </c>
      <c r="F356" s="13">
        <v>120</v>
      </c>
      <c r="G356" s="13" t="s">
        <v>251</v>
      </c>
      <c r="H356" s="13">
        <f t="shared" si="39"/>
        <v>120</v>
      </c>
      <c r="I356" s="60">
        <v>460</v>
      </c>
      <c r="J356" s="56">
        <f t="shared" si="38"/>
        <v>55200</v>
      </c>
      <c r="K356" s="16"/>
    </row>
    <row r="357" spans="1:12">
      <c r="A357" s="290"/>
      <c r="B357" s="25" t="s">
        <v>75</v>
      </c>
      <c r="C357" s="13" t="s">
        <v>170</v>
      </c>
      <c r="D357" s="13" t="s">
        <v>502</v>
      </c>
      <c r="E357" s="13" t="s">
        <v>130</v>
      </c>
      <c r="F357" s="13">
        <v>1</v>
      </c>
      <c r="G357" s="13" t="s">
        <v>233</v>
      </c>
      <c r="H357" s="13">
        <f t="shared" si="39"/>
        <v>1</v>
      </c>
      <c r="I357" s="60">
        <v>0</v>
      </c>
      <c r="J357" s="56">
        <f t="shared" si="38"/>
        <v>0</v>
      </c>
      <c r="K357" s="16"/>
    </row>
    <row r="358" spans="1:12">
      <c r="A358" s="290"/>
      <c r="B358" s="25" t="s">
        <v>75</v>
      </c>
      <c r="C358" s="13" t="s">
        <v>170</v>
      </c>
      <c r="D358" s="13" t="s">
        <v>505</v>
      </c>
      <c r="E358" s="13" t="s">
        <v>131</v>
      </c>
      <c r="F358" s="13">
        <v>1</v>
      </c>
      <c r="G358" s="13" t="s">
        <v>233</v>
      </c>
      <c r="H358" s="13">
        <f t="shared" si="39"/>
        <v>1</v>
      </c>
      <c r="I358" s="60">
        <v>0</v>
      </c>
      <c r="J358" s="56">
        <f t="shared" si="38"/>
        <v>0</v>
      </c>
      <c r="K358" s="16" t="s">
        <v>252</v>
      </c>
    </row>
    <row r="359" spans="1:12">
      <c r="A359" s="290"/>
      <c r="B359" s="25" t="s">
        <v>75</v>
      </c>
      <c r="C359" s="13" t="s">
        <v>170</v>
      </c>
      <c r="D359" s="13" t="s">
        <v>509</v>
      </c>
      <c r="E359" s="13" t="s">
        <v>132</v>
      </c>
      <c r="F359" s="13">
        <v>1</v>
      </c>
      <c r="G359" s="13" t="s">
        <v>681</v>
      </c>
      <c r="H359" s="13">
        <f t="shared" si="39"/>
        <v>1</v>
      </c>
      <c r="I359" s="60">
        <v>4150</v>
      </c>
      <c r="J359" s="56">
        <f t="shared" si="38"/>
        <v>4150</v>
      </c>
      <c r="K359" s="16"/>
    </row>
    <row r="360" spans="1:12">
      <c r="A360" s="290"/>
      <c r="B360" s="25" t="s">
        <v>75</v>
      </c>
      <c r="C360" s="13" t="s">
        <v>170</v>
      </c>
      <c r="D360" s="13" t="s">
        <v>512</v>
      </c>
      <c r="E360" s="13" t="s">
        <v>620</v>
      </c>
      <c r="F360" s="13">
        <v>1</v>
      </c>
      <c r="G360" s="13" t="s">
        <v>233</v>
      </c>
      <c r="H360" s="13">
        <f t="shared" si="39"/>
        <v>1</v>
      </c>
      <c r="I360" s="60">
        <v>45000</v>
      </c>
      <c r="J360" s="56">
        <f t="shared" si="38"/>
        <v>45000</v>
      </c>
      <c r="K360" s="16"/>
    </row>
    <row r="361" spans="1:12">
      <c r="A361" s="290"/>
      <c r="B361" s="25" t="s">
        <v>75</v>
      </c>
      <c r="C361" s="13" t="s">
        <v>170</v>
      </c>
      <c r="D361" s="13" t="s">
        <v>514</v>
      </c>
      <c r="E361" s="13" t="s">
        <v>133</v>
      </c>
      <c r="F361" s="13">
        <v>1</v>
      </c>
      <c r="G361" s="13" t="s">
        <v>571</v>
      </c>
      <c r="H361" s="13">
        <f t="shared" si="39"/>
        <v>1</v>
      </c>
      <c r="I361" s="60">
        <v>1903</v>
      </c>
      <c r="J361" s="56">
        <f t="shared" si="38"/>
        <v>1903</v>
      </c>
      <c r="K361" s="16"/>
    </row>
    <row r="362" spans="1:12" ht="17.5" thickBot="1">
      <c r="A362" s="290"/>
      <c r="B362" s="25" t="s">
        <v>75</v>
      </c>
      <c r="C362" s="13" t="s">
        <v>170</v>
      </c>
      <c r="D362" s="13" t="s">
        <v>138</v>
      </c>
      <c r="E362" s="13" t="s">
        <v>138</v>
      </c>
      <c r="F362" s="13">
        <v>2</v>
      </c>
      <c r="G362" s="13" t="s">
        <v>235</v>
      </c>
      <c r="H362" s="13">
        <f t="shared" si="39"/>
        <v>2</v>
      </c>
      <c r="I362" s="60">
        <f>(60*2700)+200000</f>
        <v>362000</v>
      </c>
      <c r="J362" s="56">
        <f t="shared" si="38"/>
        <v>724000</v>
      </c>
      <c r="K362" s="16"/>
    </row>
    <row r="363" spans="1:12" ht="21.5" thickBot="1">
      <c r="A363" s="290"/>
      <c r="B363" s="29" t="s">
        <v>75</v>
      </c>
      <c r="C363" s="15" t="s">
        <v>170</v>
      </c>
      <c r="D363" s="15" t="s">
        <v>113</v>
      </c>
      <c r="E363" s="15" t="s">
        <v>113</v>
      </c>
      <c r="F363" s="15">
        <v>1</v>
      </c>
      <c r="G363" s="15" t="s">
        <v>240</v>
      </c>
      <c r="H363" s="15">
        <f t="shared" si="39"/>
        <v>1</v>
      </c>
      <c r="I363" s="105">
        <v>13400</v>
      </c>
      <c r="J363" s="79">
        <f t="shared" si="38"/>
        <v>13400</v>
      </c>
      <c r="K363" s="22"/>
      <c r="L363" s="106">
        <f>SUM(J354:J363)</f>
        <v>1949653</v>
      </c>
    </row>
    <row r="364" spans="1:12">
      <c r="A364" s="290">
        <v>38</v>
      </c>
      <c r="B364" s="21" t="s">
        <v>75</v>
      </c>
      <c r="C364" s="11" t="s">
        <v>137</v>
      </c>
      <c r="D364" s="11" t="s">
        <v>463</v>
      </c>
      <c r="E364" s="11" t="s">
        <v>522</v>
      </c>
      <c r="F364" s="11">
        <v>4</v>
      </c>
      <c r="G364" s="11" t="s">
        <v>560</v>
      </c>
      <c r="H364" s="11">
        <f>$K$18*F364</f>
        <v>4</v>
      </c>
      <c r="I364" s="54">
        <v>99000</v>
      </c>
      <c r="J364" s="54">
        <f t="shared" si="38"/>
        <v>396000</v>
      </c>
      <c r="K364" s="12"/>
    </row>
    <row r="365" spans="1:12">
      <c r="A365" s="290"/>
      <c r="B365" s="25" t="s">
        <v>75</v>
      </c>
      <c r="C365" s="13" t="s">
        <v>137</v>
      </c>
      <c r="D365" s="13" t="s">
        <v>498</v>
      </c>
      <c r="E365" s="13" t="s">
        <v>608</v>
      </c>
      <c r="F365" s="13">
        <v>1</v>
      </c>
      <c r="G365" s="13" t="s">
        <v>233</v>
      </c>
      <c r="H365" s="13">
        <f t="shared" ref="H365:H372" si="40">$K$18*F365</f>
        <v>1</v>
      </c>
      <c r="I365" s="60">
        <v>710000</v>
      </c>
      <c r="J365" s="56">
        <f t="shared" si="38"/>
        <v>710000</v>
      </c>
      <c r="K365" s="16"/>
    </row>
    <row r="366" spans="1:12">
      <c r="A366" s="290"/>
      <c r="B366" s="25" t="s">
        <v>75</v>
      </c>
      <c r="C366" s="13" t="s">
        <v>137</v>
      </c>
      <c r="D366" s="13" t="s">
        <v>502</v>
      </c>
      <c r="E366" s="13" t="s">
        <v>130</v>
      </c>
      <c r="F366" s="13">
        <v>1</v>
      </c>
      <c r="G366" s="13" t="s">
        <v>233</v>
      </c>
      <c r="H366" s="13">
        <f t="shared" si="40"/>
        <v>1</v>
      </c>
      <c r="I366" s="60">
        <v>0</v>
      </c>
      <c r="J366" s="56">
        <f t="shared" si="38"/>
        <v>0</v>
      </c>
      <c r="K366" s="16"/>
    </row>
    <row r="367" spans="1:12">
      <c r="A367" s="290"/>
      <c r="B367" s="25" t="s">
        <v>75</v>
      </c>
      <c r="C367" s="13" t="s">
        <v>137</v>
      </c>
      <c r="D367" s="13" t="s">
        <v>505</v>
      </c>
      <c r="E367" s="13" t="s">
        <v>131</v>
      </c>
      <c r="F367" s="13">
        <v>1</v>
      </c>
      <c r="G367" s="13" t="s">
        <v>233</v>
      </c>
      <c r="H367" s="13">
        <f t="shared" si="40"/>
        <v>1</v>
      </c>
      <c r="I367" s="60">
        <v>0</v>
      </c>
      <c r="J367" s="56">
        <f t="shared" si="38"/>
        <v>0</v>
      </c>
      <c r="K367" s="16" t="s">
        <v>252</v>
      </c>
    </row>
    <row r="368" spans="1:12">
      <c r="A368" s="290"/>
      <c r="B368" s="25" t="s">
        <v>75</v>
      </c>
      <c r="C368" s="13" t="s">
        <v>137</v>
      </c>
      <c r="D368" s="13" t="s">
        <v>509</v>
      </c>
      <c r="E368" s="13" t="s">
        <v>132</v>
      </c>
      <c r="F368" s="13">
        <v>1</v>
      </c>
      <c r="G368" s="13" t="s">
        <v>681</v>
      </c>
      <c r="H368" s="13">
        <f t="shared" si="40"/>
        <v>1</v>
      </c>
      <c r="I368" s="60">
        <v>4150</v>
      </c>
      <c r="J368" s="56">
        <f t="shared" si="38"/>
        <v>4150</v>
      </c>
      <c r="K368" s="16"/>
    </row>
    <row r="369" spans="1:12">
      <c r="A369" s="290"/>
      <c r="B369" s="25" t="s">
        <v>75</v>
      </c>
      <c r="C369" s="13" t="s">
        <v>137</v>
      </c>
      <c r="D369" s="13" t="s">
        <v>512</v>
      </c>
      <c r="E369" s="13" t="s">
        <v>620</v>
      </c>
      <c r="F369" s="13">
        <v>1</v>
      </c>
      <c r="G369" s="13" t="s">
        <v>233</v>
      </c>
      <c r="H369" s="13">
        <f t="shared" si="40"/>
        <v>1</v>
      </c>
      <c r="I369" s="60">
        <v>45000</v>
      </c>
      <c r="J369" s="56">
        <f t="shared" si="38"/>
        <v>45000</v>
      </c>
      <c r="K369" s="16"/>
    </row>
    <row r="370" spans="1:12">
      <c r="A370" s="290"/>
      <c r="B370" s="25" t="s">
        <v>75</v>
      </c>
      <c r="C370" s="13" t="s">
        <v>137</v>
      </c>
      <c r="D370" s="13" t="s">
        <v>514</v>
      </c>
      <c r="E370" s="13" t="s">
        <v>133</v>
      </c>
      <c r="F370" s="13">
        <v>1</v>
      </c>
      <c r="G370" s="13" t="s">
        <v>571</v>
      </c>
      <c r="H370" s="13">
        <f t="shared" si="40"/>
        <v>1</v>
      </c>
      <c r="I370" s="60">
        <v>1903</v>
      </c>
      <c r="J370" s="56">
        <f t="shared" si="38"/>
        <v>1903</v>
      </c>
      <c r="K370" s="16"/>
    </row>
    <row r="371" spans="1:12" ht="17.5" thickBot="1">
      <c r="A371" s="290"/>
      <c r="B371" s="25" t="s">
        <v>75</v>
      </c>
      <c r="C371" s="13" t="s">
        <v>137</v>
      </c>
      <c r="D371" s="13" t="s">
        <v>138</v>
      </c>
      <c r="E371" s="13" t="s">
        <v>138</v>
      </c>
      <c r="F371" s="13">
        <v>2</v>
      </c>
      <c r="G371" s="13" t="s">
        <v>235</v>
      </c>
      <c r="H371" s="13">
        <f t="shared" si="40"/>
        <v>2</v>
      </c>
      <c r="I371" s="60">
        <f>(60*2700)+200000</f>
        <v>362000</v>
      </c>
      <c r="J371" s="56">
        <f t="shared" si="38"/>
        <v>724000</v>
      </c>
      <c r="K371" s="16"/>
    </row>
    <row r="372" spans="1:12" ht="21.5" thickBot="1">
      <c r="A372" s="290"/>
      <c r="B372" s="26" t="s">
        <v>75</v>
      </c>
      <c r="C372" s="9" t="s">
        <v>137</v>
      </c>
      <c r="D372" s="9" t="s">
        <v>113</v>
      </c>
      <c r="E372" s="9" t="s">
        <v>113</v>
      </c>
      <c r="F372" s="9">
        <v>1</v>
      </c>
      <c r="G372" s="9" t="s">
        <v>240</v>
      </c>
      <c r="H372" s="9">
        <f t="shared" si="40"/>
        <v>1</v>
      </c>
      <c r="I372" s="105">
        <v>13400</v>
      </c>
      <c r="J372" s="78">
        <f t="shared" si="38"/>
        <v>13400</v>
      </c>
      <c r="K372" s="14"/>
      <c r="L372" s="106">
        <f>SUM(J364:J372)</f>
        <v>1894453</v>
      </c>
    </row>
    <row r="373" spans="1:12">
      <c r="A373" s="290">
        <v>39</v>
      </c>
      <c r="B373" s="27" t="s">
        <v>61</v>
      </c>
      <c r="C373" s="10" t="s">
        <v>171</v>
      </c>
      <c r="D373" s="10" t="s">
        <v>105</v>
      </c>
      <c r="E373" s="10" t="s">
        <v>522</v>
      </c>
      <c r="F373" s="10">
        <v>2</v>
      </c>
      <c r="G373" s="10" t="s">
        <v>560</v>
      </c>
      <c r="H373" s="10">
        <f>$K$19*F373</f>
        <v>2</v>
      </c>
      <c r="I373" s="56">
        <v>63000</v>
      </c>
      <c r="J373" s="56">
        <f t="shared" si="38"/>
        <v>126000</v>
      </c>
      <c r="K373" s="17"/>
    </row>
    <row r="374" spans="1:12">
      <c r="A374" s="290"/>
      <c r="B374" s="25" t="s">
        <v>61</v>
      </c>
      <c r="C374" s="13" t="s">
        <v>171</v>
      </c>
      <c r="D374" s="13" t="s">
        <v>499</v>
      </c>
      <c r="E374" s="13" t="s">
        <v>589</v>
      </c>
      <c r="F374" s="13">
        <v>1</v>
      </c>
      <c r="G374" s="13" t="s">
        <v>233</v>
      </c>
      <c r="H374" s="13">
        <f t="shared" ref="H374:H382" si="41">$K$19*F374</f>
        <v>1</v>
      </c>
      <c r="I374" s="60">
        <v>430000</v>
      </c>
      <c r="J374" s="56">
        <f t="shared" si="38"/>
        <v>430000</v>
      </c>
      <c r="K374" s="16"/>
    </row>
    <row r="375" spans="1:12">
      <c r="A375" s="290"/>
      <c r="B375" s="25" t="s">
        <v>61</v>
      </c>
      <c r="C375" s="13" t="s">
        <v>171</v>
      </c>
      <c r="D375" s="13" t="s">
        <v>491</v>
      </c>
      <c r="E375" s="13" t="s">
        <v>107</v>
      </c>
      <c r="F375" s="13">
        <v>48</v>
      </c>
      <c r="G375" s="13" t="s">
        <v>251</v>
      </c>
      <c r="H375" s="13">
        <f t="shared" si="41"/>
        <v>48</v>
      </c>
      <c r="I375" s="60">
        <v>460</v>
      </c>
      <c r="J375" s="56">
        <f t="shared" si="38"/>
        <v>22080</v>
      </c>
      <c r="K375" s="16"/>
    </row>
    <row r="376" spans="1:12">
      <c r="A376" s="290"/>
      <c r="B376" s="25" t="s">
        <v>61</v>
      </c>
      <c r="C376" s="13" t="s">
        <v>171</v>
      </c>
      <c r="D376" s="13" t="s">
        <v>501</v>
      </c>
      <c r="E376" s="13" t="s">
        <v>124</v>
      </c>
      <c r="F376" s="13">
        <v>1</v>
      </c>
      <c r="G376" s="13" t="s">
        <v>233</v>
      </c>
      <c r="H376" s="13">
        <f t="shared" si="41"/>
        <v>1</v>
      </c>
      <c r="I376" s="60">
        <v>0</v>
      </c>
      <c r="J376" s="56">
        <f t="shared" si="38"/>
        <v>0</v>
      </c>
      <c r="K376" s="16"/>
    </row>
    <row r="377" spans="1:12">
      <c r="A377" s="290"/>
      <c r="B377" s="25" t="s">
        <v>61</v>
      </c>
      <c r="C377" s="13" t="s">
        <v>171</v>
      </c>
      <c r="D377" s="13" t="s">
        <v>504</v>
      </c>
      <c r="E377" s="13" t="s">
        <v>125</v>
      </c>
      <c r="F377" s="13">
        <v>1</v>
      </c>
      <c r="G377" s="13" t="s">
        <v>233</v>
      </c>
      <c r="H377" s="13">
        <f t="shared" si="41"/>
        <v>1</v>
      </c>
      <c r="I377" s="60">
        <v>0</v>
      </c>
      <c r="J377" s="56">
        <f t="shared" si="38"/>
        <v>0</v>
      </c>
      <c r="K377" s="16" t="s">
        <v>252</v>
      </c>
    </row>
    <row r="378" spans="1:12">
      <c r="A378" s="290"/>
      <c r="B378" s="25" t="s">
        <v>61</v>
      </c>
      <c r="C378" s="13" t="s">
        <v>171</v>
      </c>
      <c r="D378" s="13" t="s">
        <v>508</v>
      </c>
      <c r="E378" s="13" t="s">
        <v>110</v>
      </c>
      <c r="F378" s="13">
        <v>1</v>
      </c>
      <c r="G378" s="13" t="s">
        <v>681</v>
      </c>
      <c r="H378" s="13">
        <f t="shared" si="41"/>
        <v>1</v>
      </c>
      <c r="I378" s="60">
        <v>4150</v>
      </c>
      <c r="J378" s="56">
        <f t="shared" si="38"/>
        <v>4150</v>
      </c>
      <c r="K378" s="16"/>
    </row>
    <row r="379" spans="1:12">
      <c r="A379" s="290"/>
      <c r="B379" s="25" t="s">
        <v>61</v>
      </c>
      <c r="C379" s="13" t="s">
        <v>171</v>
      </c>
      <c r="D379" s="13" t="s">
        <v>511</v>
      </c>
      <c r="E379" s="13" t="s">
        <v>947</v>
      </c>
      <c r="F379" s="13">
        <v>1</v>
      </c>
      <c r="G379" s="13" t="s">
        <v>233</v>
      </c>
      <c r="H379" s="13">
        <f t="shared" si="41"/>
        <v>1</v>
      </c>
      <c r="I379" s="60">
        <v>0</v>
      </c>
      <c r="J379" s="56">
        <f t="shared" si="38"/>
        <v>0</v>
      </c>
      <c r="K379" s="16"/>
    </row>
    <row r="380" spans="1:12">
      <c r="A380" s="290"/>
      <c r="B380" s="25" t="s">
        <v>61</v>
      </c>
      <c r="C380" s="13" t="s">
        <v>171</v>
      </c>
      <c r="D380" s="13" t="s">
        <v>513</v>
      </c>
      <c r="E380" s="13" t="s">
        <v>111</v>
      </c>
      <c r="F380" s="13">
        <v>1</v>
      </c>
      <c r="G380" s="13" t="s">
        <v>571</v>
      </c>
      <c r="H380" s="13">
        <f t="shared" si="41"/>
        <v>1</v>
      </c>
      <c r="I380" s="60">
        <v>1903</v>
      </c>
      <c r="J380" s="56">
        <f t="shared" si="38"/>
        <v>1903</v>
      </c>
      <c r="K380" s="16"/>
    </row>
    <row r="381" spans="1:12" ht="17.5" thickBot="1">
      <c r="A381" s="290"/>
      <c r="B381" s="25" t="s">
        <v>61</v>
      </c>
      <c r="C381" s="13" t="s">
        <v>171</v>
      </c>
      <c r="D381" s="13" t="s">
        <v>219</v>
      </c>
      <c r="E381" s="13" t="s">
        <v>219</v>
      </c>
      <c r="F381" s="13">
        <v>2</v>
      </c>
      <c r="G381" s="13" t="s">
        <v>235</v>
      </c>
      <c r="H381" s="13">
        <f t="shared" si="41"/>
        <v>2</v>
      </c>
      <c r="I381" s="60">
        <f>(24*2700)+200000</f>
        <v>264800</v>
      </c>
      <c r="J381" s="56">
        <f t="shared" si="38"/>
        <v>529600</v>
      </c>
      <c r="K381" s="16"/>
    </row>
    <row r="382" spans="1:12" ht="21.5" thickBot="1">
      <c r="A382" s="296"/>
      <c r="B382" s="66" t="s">
        <v>61</v>
      </c>
      <c r="C382" s="15" t="s">
        <v>171</v>
      </c>
      <c r="D382" s="15" t="s">
        <v>113</v>
      </c>
      <c r="E382" s="15" t="s">
        <v>113</v>
      </c>
      <c r="F382" s="15">
        <v>1</v>
      </c>
      <c r="G382" s="15" t="s">
        <v>240</v>
      </c>
      <c r="H382" s="15">
        <f t="shared" si="41"/>
        <v>1</v>
      </c>
      <c r="I382" s="105">
        <v>13400</v>
      </c>
      <c r="J382" s="79">
        <f t="shared" si="38"/>
        <v>13400</v>
      </c>
      <c r="K382" s="22"/>
      <c r="L382" s="106">
        <f>SUM(J373:J382)</f>
        <v>1127133</v>
      </c>
    </row>
    <row r="383" spans="1:12">
      <c r="A383" s="293">
        <v>40</v>
      </c>
      <c r="B383" s="21" t="s">
        <v>61</v>
      </c>
      <c r="C383" s="11" t="s">
        <v>172</v>
      </c>
      <c r="D383" s="11" t="s">
        <v>105</v>
      </c>
      <c r="E383" s="11" t="s">
        <v>522</v>
      </c>
      <c r="F383" s="11">
        <v>2</v>
      </c>
      <c r="G383" s="11" t="s">
        <v>560</v>
      </c>
      <c r="H383" s="11">
        <f>$K$20*F383</f>
        <v>2</v>
      </c>
      <c r="I383" s="54">
        <v>63000</v>
      </c>
      <c r="J383" s="54">
        <f t="shared" si="38"/>
        <v>126000</v>
      </c>
      <c r="K383" s="12"/>
    </row>
    <row r="384" spans="1:12">
      <c r="A384" s="294"/>
      <c r="B384" s="25" t="s">
        <v>61</v>
      </c>
      <c r="C384" s="13" t="s">
        <v>172</v>
      </c>
      <c r="D384" s="13" t="s">
        <v>499</v>
      </c>
      <c r="E384" s="13" t="s">
        <v>140</v>
      </c>
      <c r="F384" s="13">
        <v>1</v>
      </c>
      <c r="G384" s="13" t="s">
        <v>233</v>
      </c>
      <c r="H384" s="13">
        <f t="shared" ref="H384:H389" si="42">$K$20*F384</f>
        <v>1</v>
      </c>
      <c r="I384" s="60">
        <v>430000</v>
      </c>
      <c r="J384" s="56">
        <f t="shared" si="38"/>
        <v>430000</v>
      </c>
      <c r="K384" s="16"/>
    </row>
    <row r="385" spans="1:12">
      <c r="A385" s="294"/>
      <c r="B385" s="25" t="s">
        <v>61</v>
      </c>
      <c r="C385" s="13" t="s">
        <v>172</v>
      </c>
      <c r="D385" s="13" t="s">
        <v>492</v>
      </c>
      <c r="E385" s="13" t="s">
        <v>114</v>
      </c>
      <c r="F385" s="13">
        <v>48</v>
      </c>
      <c r="G385" s="13" t="s">
        <v>251</v>
      </c>
      <c r="H385" s="13">
        <f t="shared" si="42"/>
        <v>48</v>
      </c>
      <c r="I385" s="60">
        <v>460</v>
      </c>
      <c r="J385" s="56">
        <f t="shared" si="38"/>
        <v>22080</v>
      </c>
      <c r="K385" s="16"/>
    </row>
    <row r="386" spans="1:12">
      <c r="A386" s="294"/>
      <c r="B386" s="25" t="s">
        <v>61</v>
      </c>
      <c r="C386" s="13" t="s">
        <v>172</v>
      </c>
      <c r="D386" s="13" t="s">
        <v>501</v>
      </c>
      <c r="E386" s="13" t="s">
        <v>124</v>
      </c>
      <c r="F386" s="13">
        <v>1</v>
      </c>
      <c r="G386" s="13" t="s">
        <v>233</v>
      </c>
      <c r="H386" s="13">
        <f t="shared" si="42"/>
        <v>1</v>
      </c>
      <c r="I386" s="60">
        <v>0</v>
      </c>
      <c r="J386" s="56">
        <f t="shared" si="38"/>
        <v>0</v>
      </c>
      <c r="K386" s="16"/>
    </row>
    <row r="387" spans="1:12">
      <c r="A387" s="294"/>
      <c r="B387" s="25" t="s">
        <v>61</v>
      </c>
      <c r="C387" s="13" t="s">
        <v>172</v>
      </c>
      <c r="D387" s="13" t="s">
        <v>504</v>
      </c>
      <c r="E387" s="13" t="s">
        <v>125</v>
      </c>
      <c r="F387" s="13">
        <v>1</v>
      </c>
      <c r="G387" s="13" t="s">
        <v>233</v>
      </c>
      <c r="H387" s="13">
        <f t="shared" si="42"/>
        <v>1</v>
      </c>
      <c r="I387" s="60">
        <v>0</v>
      </c>
      <c r="J387" s="56">
        <f t="shared" si="38"/>
        <v>0</v>
      </c>
      <c r="K387" s="16" t="s">
        <v>252</v>
      </c>
    </row>
    <row r="388" spans="1:12">
      <c r="A388" s="294"/>
      <c r="B388" s="25" t="s">
        <v>61</v>
      </c>
      <c r="C388" s="13" t="s">
        <v>172</v>
      </c>
      <c r="D388" s="13" t="s">
        <v>508</v>
      </c>
      <c r="E388" s="13" t="s">
        <v>110</v>
      </c>
      <c r="F388" s="13">
        <v>1</v>
      </c>
      <c r="G388" s="13" t="s">
        <v>681</v>
      </c>
      <c r="H388" s="13">
        <f t="shared" si="42"/>
        <v>1</v>
      </c>
      <c r="I388" s="60">
        <v>4150</v>
      </c>
      <c r="J388" s="56">
        <f t="shared" si="38"/>
        <v>4150</v>
      </c>
      <c r="K388" s="16"/>
    </row>
    <row r="389" spans="1:12">
      <c r="A389" s="294"/>
      <c r="B389" s="25" t="s">
        <v>61</v>
      </c>
      <c r="C389" s="13" t="s">
        <v>172</v>
      </c>
      <c r="D389" s="13" t="s">
        <v>511</v>
      </c>
      <c r="E389" s="13" t="s">
        <v>947</v>
      </c>
      <c r="F389" s="13">
        <v>1</v>
      </c>
      <c r="G389" s="13" t="s">
        <v>233</v>
      </c>
      <c r="H389" s="13">
        <f t="shared" si="42"/>
        <v>1</v>
      </c>
      <c r="I389" s="60">
        <v>0</v>
      </c>
      <c r="J389" s="56">
        <f t="shared" si="38"/>
        <v>0</v>
      </c>
      <c r="K389" s="16"/>
    </row>
    <row r="390" spans="1:12">
      <c r="A390" s="294"/>
      <c r="B390" s="25" t="s">
        <v>61</v>
      </c>
      <c r="C390" s="13" t="s">
        <v>172</v>
      </c>
      <c r="D390" s="13" t="s">
        <v>513</v>
      </c>
      <c r="E390" s="13" t="s">
        <v>111</v>
      </c>
      <c r="F390" s="13">
        <v>1</v>
      </c>
      <c r="G390" s="13" t="s">
        <v>571</v>
      </c>
      <c r="H390" s="13">
        <f t="shared" ref="H390" si="43">$K$20*F390</f>
        <v>1</v>
      </c>
      <c r="I390" s="60">
        <v>1903</v>
      </c>
      <c r="J390" s="56">
        <f t="shared" ref="J390" si="44">H390*I390</f>
        <v>1903</v>
      </c>
      <c r="K390" s="16"/>
    </row>
    <row r="391" spans="1:12" ht="17.5" thickBot="1">
      <c r="A391" s="294"/>
      <c r="B391" s="25" t="s">
        <v>61</v>
      </c>
      <c r="C391" s="13" t="s">
        <v>172</v>
      </c>
      <c r="D391" s="13" t="s">
        <v>616</v>
      </c>
      <c r="E391" s="13" t="s">
        <v>616</v>
      </c>
      <c r="F391" s="13">
        <v>2</v>
      </c>
      <c r="G391" s="13" t="s">
        <v>235</v>
      </c>
      <c r="H391" s="13">
        <f>$K$20*F391</f>
        <v>2</v>
      </c>
      <c r="I391" s="60">
        <f>(24*2700)+200000</f>
        <v>264800</v>
      </c>
      <c r="J391" s="56">
        <f t="shared" si="38"/>
        <v>529600</v>
      </c>
      <c r="K391" s="16"/>
    </row>
    <row r="392" spans="1:12" ht="21.5" thickBot="1">
      <c r="A392" s="295"/>
      <c r="B392" s="26" t="s">
        <v>61</v>
      </c>
      <c r="C392" s="53" t="s">
        <v>172</v>
      </c>
      <c r="D392" s="85" t="s">
        <v>113</v>
      </c>
      <c r="E392" s="85" t="s">
        <v>113</v>
      </c>
      <c r="F392" s="85">
        <v>1</v>
      </c>
      <c r="G392" s="85" t="s">
        <v>240</v>
      </c>
      <c r="H392" s="85">
        <f t="shared" ref="H392" si="45">$K$21*F392</f>
        <v>1</v>
      </c>
      <c r="I392" s="86">
        <v>13400</v>
      </c>
      <c r="J392" s="65">
        <f t="shared" si="38"/>
        <v>13400</v>
      </c>
      <c r="K392" s="14"/>
      <c r="L392" s="106">
        <f>SUM(J383:J392)</f>
        <v>1127133</v>
      </c>
    </row>
    <row r="393" spans="1:12">
      <c r="A393" s="291">
        <v>41</v>
      </c>
      <c r="B393" s="27" t="s">
        <v>734</v>
      </c>
      <c r="C393" s="10" t="s">
        <v>173</v>
      </c>
      <c r="D393" s="10" t="s">
        <v>105</v>
      </c>
      <c r="E393" s="10" t="s">
        <v>735</v>
      </c>
      <c r="F393" s="10">
        <v>2</v>
      </c>
      <c r="G393" s="10" t="s">
        <v>736</v>
      </c>
      <c r="H393" s="10">
        <f>$K$21*F393</f>
        <v>2</v>
      </c>
      <c r="I393" s="56">
        <v>63000</v>
      </c>
      <c r="J393" s="54">
        <f t="shared" si="38"/>
        <v>126000</v>
      </c>
      <c r="K393" s="17"/>
    </row>
    <row r="394" spans="1:12">
      <c r="A394" s="290"/>
      <c r="B394" s="25" t="s">
        <v>734</v>
      </c>
      <c r="C394" s="13" t="s">
        <v>748</v>
      </c>
      <c r="D394" s="13" t="s">
        <v>742</v>
      </c>
      <c r="E394" s="13" t="s">
        <v>140</v>
      </c>
      <c r="F394" s="13">
        <v>1</v>
      </c>
      <c r="G394" s="13" t="s">
        <v>737</v>
      </c>
      <c r="H394" s="13">
        <f t="shared" ref="H394:H402" si="46">$K$21*F394</f>
        <v>1</v>
      </c>
      <c r="I394" s="60">
        <v>430000</v>
      </c>
      <c r="J394" s="56">
        <f t="shared" si="38"/>
        <v>430000</v>
      </c>
      <c r="K394" s="16"/>
    </row>
    <row r="395" spans="1:12">
      <c r="A395" s="290"/>
      <c r="B395" s="25" t="s">
        <v>734</v>
      </c>
      <c r="C395" s="13" t="s">
        <v>748</v>
      </c>
      <c r="D395" s="13" t="s">
        <v>738</v>
      </c>
      <c r="E395" s="13" t="s">
        <v>115</v>
      </c>
      <c r="F395" s="13">
        <v>48</v>
      </c>
      <c r="G395" s="13" t="s">
        <v>739</v>
      </c>
      <c r="H395" s="13">
        <f t="shared" si="46"/>
        <v>48</v>
      </c>
      <c r="I395" s="60">
        <v>460</v>
      </c>
      <c r="J395" s="56">
        <f t="shared" si="38"/>
        <v>22080</v>
      </c>
      <c r="K395" s="16"/>
    </row>
    <row r="396" spans="1:12">
      <c r="A396" s="290"/>
      <c r="B396" s="25" t="s">
        <v>734</v>
      </c>
      <c r="C396" s="13" t="s">
        <v>748</v>
      </c>
      <c r="D396" s="13" t="s">
        <v>743</v>
      </c>
      <c r="E396" s="13" t="s">
        <v>124</v>
      </c>
      <c r="F396" s="13">
        <v>1</v>
      </c>
      <c r="G396" s="13" t="s">
        <v>737</v>
      </c>
      <c r="H396" s="13">
        <f t="shared" si="46"/>
        <v>1</v>
      </c>
      <c r="I396" s="60">
        <v>0</v>
      </c>
      <c r="J396" s="56">
        <v>0</v>
      </c>
      <c r="K396" s="16"/>
    </row>
    <row r="397" spans="1:12">
      <c r="A397" s="290"/>
      <c r="B397" s="25" t="s">
        <v>734</v>
      </c>
      <c r="C397" s="13" t="s">
        <v>748</v>
      </c>
      <c r="D397" s="13" t="s">
        <v>744</v>
      </c>
      <c r="E397" s="13" t="s">
        <v>125</v>
      </c>
      <c r="F397" s="13">
        <v>1</v>
      </c>
      <c r="G397" s="13" t="s">
        <v>737</v>
      </c>
      <c r="H397" s="13">
        <f t="shared" si="46"/>
        <v>1</v>
      </c>
      <c r="I397" s="60">
        <v>0</v>
      </c>
      <c r="J397" s="56">
        <v>0</v>
      </c>
      <c r="K397" s="16" t="s">
        <v>740</v>
      </c>
    </row>
    <row r="398" spans="1:12">
      <c r="A398" s="290"/>
      <c r="B398" s="25" t="s">
        <v>734</v>
      </c>
      <c r="C398" s="13" t="s">
        <v>748</v>
      </c>
      <c r="D398" s="13" t="s">
        <v>745</v>
      </c>
      <c r="E398" s="13" t="s">
        <v>110</v>
      </c>
      <c r="F398" s="13">
        <v>1</v>
      </c>
      <c r="G398" s="13" t="s">
        <v>681</v>
      </c>
      <c r="H398" s="13">
        <f t="shared" si="46"/>
        <v>1</v>
      </c>
      <c r="I398" s="60">
        <v>4150</v>
      </c>
      <c r="J398" s="56">
        <f t="shared" si="38"/>
        <v>4150</v>
      </c>
      <c r="K398" s="16"/>
    </row>
    <row r="399" spans="1:12">
      <c r="A399" s="290"/>
      <c r="B399" s="25" t="s">
        <v>734</v>
      </c>
      <c r="C399" s="13" t="s">
        <v>748</v>
      </c>
      <c r="D399" s="13" t="s">
        <v>746</v>
      </c>
      <c r="E399" s="13" t="s">
        <v>947</v>
      </c>
      <c r="F399" s="13">
        <v>1</v>
      </c>
      <c r="G399" s="13" t="s">
        <v>737</v>
      </c>
      <c r="H399" s="13">
        <f t="shared" si="46"/>
        <v>1</v>
      </c>
      <c r="I399" s="60">
        <v>0</v>
      </c>
      <c r="J399" s="56">
        <v>0</v>
      </c>
      <c r="K399" s="16"/>
    </row>
    <row r="400" spans="1:12">
      <c r="A400" s="290"/>
      <c r="B400" s="25" t="s">
        <v>734</v>
      </c>
      <c r="C400" s="13" t="s">
        <v>748</v>
      </c>
      <c r="D400" s="13" t="s">
        <v>747</v>
      </c>
      <c r="E400" s="13" t="s">
        <v>111</v>
      </c>
      <c r="F400" s="13">
        <v>1</v>
      </c>
      <c r="G400" s="13" t="s">
        <v>684</v>
      </c>
      <c r="H400" s="13">
        <f t="shared" si="46"/>
        <v>1</v>
      </c>
      <c r="I400" s="60">
        <v>1903</v>
      </c>
      <c r="J400" s="56">
        <f t="shared" si="38"/>
        <v>1903</v>
      </c>
      <c r="K400" s="16"/>
    </row>
    <row r="401" spans="1:12" ht="17.5" thickBot="1">
      <c r="A401" s="290"/>
      <c r="B401" s="25" t="s">
        <v>734</v>
      </c>
      <c r="C401" s="13" t="s">
        <v>748</v>
      </c>
      <c r="D401" s="13" t="s">
        <v>219</v>
      </c>
      <c r="E401" s="13" t="s">
        <v>219</v>
      </c>
      <c r="F401" s="13">
        <v>2</v>
      </c>
      <c r="G401" s="13" t="s">
        <v>643</v>
      </c>
      <c r="H401" s="13">
        <f t="shared" si="46"/>
        <v>2</v>
      </c>
      <c r="I401" s="60">
        <f>(24*2700)+200000</f>
        <v>264800</v>
      </c>
      <c r="J401" s="56">
        <f t="shared" si="38"/>
        <v>529600</v>
      </c>
      <c r="K401" s="16"/>
    </row>
    <row r="402" spans="1:12" ht="21.5" thickBot="1">
      <c r="A402" s="290"/>
      <c r="B402" s="29" t="s">
        <v>734</v>
      </c>
      <c r="C402" s="15" t="s">
        <v>173</v>
      </c>
      <c r="D402" s="15" t="s">
        <v>113</v>
      </c>
      <c r="E402" s="15" t="s">
        <v>113</v>
      </c>
      <c r="F402" s="15">
        <v>1</v>
      </c>
      <c r="G402" s="15" t="s">
        <v>240</v>
      </c>
      <c r="H402" s="15">
        <f t="shared" si="46"/>
        <v>1</v>
      </c>
      <c r="I402" s="105">
        <v>13400</v>
      </c>
      <c r="J402" s="79">
        <f t="shared" si="38"/>
        <v>13400</v>
      </c>
      <c r="K402" s="22"/>
      <c r="L402" s="106">
        <f>SUM(J393:J402)</f>
        <v>1127133</v>
      </c>
    </row>
    <row r="403" spans="1:12">
      <c r="A403" s="290">
        <v>42</v>
      </c>
      <c r="B403" s="21" t="s">
        <v>734</v>
      </c>
      <c r="C403" s="11" t="s">
        <v>174</v>
      </c>
      <c r="D403" s="11" t="s">
        <v>105</v>
      </c>
      <c r="E403" s="11" t="s">
        <v>735</v>
      </c>
      <c r="F403" s="11">
        <v>2</v>
      </c>
      <c r="G403" s="11" t="s">
        <v>736</v>
      </c>
      <c r="H403" s="11">
        <f>$K$22*F403</f>
        <v>2</v>
      </c>
      <c r="I403" s="54">
        <v>63000</v>
      </c>
      <c r="J403" s="54">
        <f t="shared" si="38"/>
        <v>126000</v>
      </c>
      <c r="K403" s="12"/>
    </row>
    <row r="404" spans="1:12">
      <c r="A404" s="290"/>
      <c r="B404" s="25" t="s">
        <v>734</v>
      </c>
      <c r="C404" s="13" t="s">
        <v>749</v>
      </c>
      <c r="D404" s="13" t="s">
        <v>742</v>
      </c>
      <c r="E404" s="13" t="s">
        <v>140</v>
      </c>
      <c r="F404" s="13">
        <v>1</v>
      </c>
      <c r="G404" s="13" t="s">
        <v>737</v>
      </c>
      <c r="H404" s="13">
        <f t="shared" ref="H404:H412" si="47">$K$22*F404</f>
        <v>1</v>
      </c>
      <c r="I404" s="60">
        <v>430000</v>
      </c>
      <c r="J404" s="56">
        <f t="shared" si="38"/>
        <v>430000</v>
      </c>
      <c r="K404" s="16"/>
    </row>
    <row r="405" spans="1:12">
      <c r="A405" s="290"/>
      <c r="B405" s="25" t="s">
        <v>734</v>
      </c>
      <c r="C405" s="13" t="s">
        <v>749</v>
      </c>
      <c r="D405" s="13" t="s">
        <v>741</v>
      </c>
      <c r="E405" s="13" t="s">
        <v>116</v>
      </c>
      <c r="F405" s="13">
        <v>48</v>
      </c>
      <c r="G405" s="13" t="s">
        <v>739</v>
      </c>
      <c r="H405" s="13">
        <f t="shared" si="47"/>
        <v>48</v>
      </c>
      <c r="I405" s="60">
        <v>460</v>
      </c>
      <c r="J405" s="56">
        <f t="shared" si="38"/>
        <v>22080</v>
      </c>
      <c r="K405" s="16"/>
    </row>
    <row r="406" spans="1:12">
      <c r="A406" s="290"/>
      <c r="B406" s="25" t="s">
        <v>734</v>
      </c>
      <c r="C406" s="13" t="s">
        <v>749</v>
      </c>
      <c r="D406" s="13" t="s">
        <v>743</v>
      </c>
      <c r="E406" s="13" t="s">
        <v>124</v>
      </c>
      <c r="F406" s="13">
        <v>1</v>
      </c>
      <c r="G406" s="13" t="s">
        <v>737</v>
      </c>
      <c r="H406" s="13">
        <f t="shared" si="47"/>
        <v>1</v>
      </c>
      <c r="I406" s="60">
        <v>0</v>
      </c>
      <c r="J406" s="56">
        <v>0</v>
      </c>
      <c r="K406" s="16"/>
    </row>
    <row r="407" spans="1:12">
      <c r="A407" s="290"/>
      <c r="B407" s="25" t="s">
        <v>734</v>
      </c>
      <c r="C407" s="13" t="s">
        <v>749</v>
      </c>
      <c r="D407" s="13" t="s">
        <v>744</v>
      </c>
      <c r="E407" s="13" t="s">
        <v>125</v>
      </c>
      <c r="F407" s="13">
        <v>1</v>
      </c>
      <c r="G407" s="13" t="s">
        <v>737</v>
      </c>
      <c r="H407" s="13">
        <f t="shared" si="47"/>
        <v>1</v>
      </c>
      <c r="I407" s="60">
        <v>0</v>
      </c>
      <c r="J407" s="56">
        <v>0</v>
      </c>
      <c r="K407" s="16" t="s">
        <v>740</v>
      </c>
    </row>
    <row r="408" spans="1:12">
      <c r="A408" s="290"/>
      <c r="B408" s="25" t="s">
        <v>734</v>
      </c>
      <c r="C408" s="13" t="s">
        <v>749</v>
      </c>
      <c r="D408" s="13" t="s">
        <v>745</v>
      </c>
      <c r="E408" s="13" t="s">
        <v>110</v>
      </c>
      <c r="F408" s="13">
        <v>1</v>
      </c>
      <c r="G408" s="13" t="s">
        <v>681</v>
      </c>
      <c r="H408" s="13">
        <f t="shared" si="47"/>
        <v>1</v>
      </c>
      <c r="I408" s="60">
        <v>4150</v>
      </c>
      <c r="J408" s="56">
        <f t="shared" si="38"/>
        <v>4150</v>
      </c>
      <c r="K408" s="16"/>
    </row>
    <row r="409" spans="1:12">
      <c r="A409" s="290"/>
      <c r="B409" s="25" t="s">
        <v>734</v>
      </c>
      <c r="C409" s="13" t="s">
        <v>749</v>
      </c>
      <c r="D409" s="13" t="s">
        <v>746</v>
      </c>
      <c r="E409" s="13" t="s">
        <v>947</v>
      </c>
      <c r="F409" s="13">
        <v>1</v>
      </c>
      <c r="G409" s="13" t="s">
        <v>737</v>
      </c>
      <c r="H409" s="13">
        <f t="shared" si="47"/>
        <v>1</v>
      </c>
      <c r="I409" s="60">
        <v>0</v>
      </c>
      <c r="J409" s="56">
        <v>0</v>
      </c>
      <c r="K409" s="16"/>
    </row>
    <row r="410" spans="1:12">
      <c r="A410" s="290"/>
      <c r="B410" s="25" t="s">
        <v>734</v>
      </c>
      <c r="C410" s="13" t="s">
        <v>749</v>
      </c>
      <c r="D410" s="13" t="s">
        <v>747</v>
      </c>
      <c r="E410" s="13" t="s">
        <v>111</v>
      </c>
      <c r="F410" s="13">
        <v>1</v>
      </c>
      <c r="G410" s="13" t="s">
        <v>684</v>
      </c>
      <c r="H410" s="13">
        <f t="shared" si="47"/>
        <v>1</v>
      </c>
      <c r="I410" s="60">
        <v>1903</v>
      </c>
      <c r="J410" s="56">
        <f t="shared" si="38"/>
        <v>1903</v>
      </c>
      <c r="K410" s="16"/>
    </row>
    <row r="411" spans="1:12" ht="17.5" thickBot="1">
      <c r="A411" s="290"/>
      <c r="B411" s="25" t="s">
        <v>734</v>
      </c>
      <c r="C411" s="13" t="s">
        <v>749</v>
      </c>
      <c r="D411" s="13" t="s">
        <v>219</v>
      </c>
      <c r="E411" s="13" t="s">
        <v>219</v>
      </c>
      <c r="F411" s="13">
        <v>2</v>
      </c>
      <c r="G411" s="13" t="s">
        <v>643</v>
      </c>
      <c r="H411" s="13">
        <f t="shared" si="47"/>
        <v>2</v>
      </c>
      <c r="I411" s="60">
        <f>(24*2700)+200000</f>
        <v>264800</v>
      </c>
      <c r="J411" s="56">
        <f t="shared" si="38"/>
        <v>529600</v>
      </c>
      <c r="K411" s="16"/>
    </row>
    <row r="412" spans="1:12" ht="21.5" thickBot="1">
      <c r="A412" s="290"/>
      <c r="B412" s="26" t="s">
        <v>734</v>
      </c>
      <c r="C412" s="9" t="s">
        <v>749</v>
      </c>
      <c r="D412" s="9" t="s">
        <v>113</v>
      </c>
      <c r="E412" s="9" t="s">
        <v>113</v>
      </c>
      <c r="F412" s="9">
        <v>1</v>
      </c>
      <c r="G412" s="9" t="s">
        <v>240</v>
      </c>
      <c r="H412" s="9">
        <f t="shared" si="47"/>
        <v>1</v>
      </c>
      <c r="I412" s="105">
        <v>13400</v>
      </c>
      <c r="J412" s="79">
        <f t="shared" si="38"/>
        <v>13400</v>
      </c>
      <c r="K412" s="14"/>
      <c r="L412" s="106">
        <f>SUM(J403:J412)</f>
        <v>1127133</v>
      </c>
    </row>
    <row r="413" spans="1:12">
      <c r="A413" s="290">
        <v>43</v>
      </c>
      <c r="B413" s="27" t="s">
        <v>734</v>
      </c>
      <c r="C413" s="10" t="s">
        <v>139</v>
      </c>
      <c r="D413" s="10" t="s">
        <v>105</v>
      </c>
      <c r="E413" s="10" t="s">
        <v>735</v>
      </c>
      <c r="F413" s="10">
        <v>2</v>
      </c>
      <c r="G413" s="10" t="s">
        <v>736</v>
      </c>
      <c r="H413" s="11">
        <f>$K$23*F413</f>
        <v>2</v>
      </c>
      <c r="I413" s="56">
        <v>63000</v>
      </c>
      <c r="J413" s="54">
        <f t="shared" si="38"/>
        <v>126000</v>
      </c>
      <c r="K413" s="17"/>
    </row>
    <row r="414" spans="1:12">
      <c r="A414" s="290"/>
      <c r="B414" s="25" t="s">
        <v>734</v>
      </c>
      <c r="C414" s="13" t="s">
        <v>750</v>
      </c>
      <c r="D414" s="13" t="s">
        <v>742</v>
      </c>
      <c r="E414" s="13" t="s">
        <v>140</v>
      </c>
      <c r="F414" s="13">
        <v>1</v>
      </c>
      <c r="G414" s="13" t="s">
        <v>737</v>
      </c>
      <c r="H414" s="13">
        <f t="shared" ref="H414:H421" si="48">$K$23*F414</f>
        <v>1</v>
      </c>
      <c r="I414" s="60">
        <v>430000</v>
      </c>
      <c r="J414" s="56">
        <f t="shared" ref="J414" si="49">H414*I414</f>
        <v>430000</v>
      </c>
      <c r="K414" s="16"/>
    </row>
    <row r="415" spans="1:12">
      <c r="A415" s="290"/>
      <c r="B415" s="25" t="s">
        <v>734</v>
      </c>
      <c r="C415" s="13" t="s">
        <v>750</v>
      </c>
      <c r="D415" s="13" t="s">
        <v>743</v>
      </c>
      <c r="E415" s="13" t="s">
        <v>124</v>
      </c>
      <c r="F415" s="13">
        <v>1</v>
      </c>
      <c r="G415" s="13" t="s">
        <v>737</v>
      </c>
      <c r="H415" s="13">
        <f t="shared" si="48"/>
        <v>1</v>
      </c>
      <c r="I415" s="60">
        <v>0</v>
      </c>
      <c r="J415" s="56">
        <v>0</v>
      </c>
      <c r="K415" s="16"/>
    </row>
    <row r="416" spans="1:12">
      <c r="A416" s="290"/>
      <c r="B416" s="25" t="s">
        <v>734</v>
      </c>
      <c r="C416" s="13" t="s">
        <v>750</v>
      </c>
      <c r="D416" s="13" t="s">
        <v>744</v>
      </c>
      <c r="E416" s="13" t="s">
        <v>125</v>
      </c>
      <c r="F416" s="13">
        <v>1</v>
      </c>
      <c r="G416" s="13" t="s">
        <v>737</v>
      </c>
      <c r="H416" s="13">
        <f t="shared" si="48"/>
        <v>1</v>
      </c>
      <c r="I416" s="60">
        <v>0</v>
      </c>
      <c r="J416" s="56">
        <v>0</v>
      </c>
      <c r="K416" s="16" t="s">
        <v>740</v>
      </c>
    </row>
    <row r="417" spans="1:12">
      <c r="A417" s="290"/>
      <c r="B417" s="25" t="s">
        <v>734</v>
      </c>
      <c r="C417" s="13" t="s">
        <v>750</v>
      </c>
      <c r="D417" s="13" t="s">
        <v>745</v>
      </c>
      <c r="E417" s="13" t="s">
        <v>110</v>
      </c>
      <c r="F417" s="13">
        <v>1</v>
      </c>
      <c r="G417" s="13" t="s">
        <v>681</v>
      </c>
      <c r="H417" s="13">
        <f t="shared" si="48"/>
        <v>1</v>
      </c>
      <c r="I417" s="60">
        <v>4150</v>
      </c>
      <c r="J417" s="56">
        <f t="shared" ref="J417" si="50">H417*I417</f>
        <v>4150</v>
      </c>
      <c r="K417" s="16"/>
    </row>
    <row r="418" spans="1:12">
      <c r="A418" s="290"/>
      <c r="B418" s="25" t="s">
        <v>734</v>
      </c>
      <c r="C418" s="13" t="s">
        <v>750</v>
      </c>
      <c r="D418" s="13" t="s">
        <v>746</v>
      </c>
      <c r="E418" s="13" t="s">
        <v>947</v>
      </c>
      <c r="F418" s="13">
        <v>1</v>
      </c>
      <c r="G418" s="13" t="s">
        <v>737</v>
      </c>
      <c r="H418" s="13">
        <f t="shared" si="48"/>
        <v>1</v>
      </c>
      <c r="I418" s="60">
        <v>0</v>
      </c>
      <c r="J418" s="56">
        <v>0</v>
      </c>
      <c r="K418" s="16"/>
    </row>
    <row r="419" spans="1:12">
      <c r="A419" s="290"/>
      <c r="B419" s="25" t="s">
        <v>734</v>
      </c>
      <c r="C419" s="13" t="s">
        <v>750</v>
      </c>
      <c r="D419" s="13" t="s">
        <v>747</v>
      </c>
      <c r="E419" s="13" t="s">
        <v>111</v>
      </c>
      <c r="F419" s="13">
        <v>1</v>
      </c>
      <c r="G419" s="13" t="s">
        <v>684</v>
      </c>
      <c r="H419" s="13">
        <f t="shared" si="48"/>
        <v>1</v>
      </c>
      <c r="I419" s="60">
        <v>1903</v>
      </c>
      <c r="J419" s="56">
        <f t="shared" ref="J419:J420" si="51">H419*I419</f>
        <v>1903</v>
      </c>
      <c r="K419" s="16"/>
    </row>
    <row r="420" spans="1:12" ht="17.5" thickBot="1">
      <c r="A420" s="290"/>
      <c r="B420" s="25" t="s">
        <v>734</v>
      </c>
      <c r="C420" s="13" t="s">
        <v>750</v>
      </c>
      <c r="D420" s="13" t="s">
        <v>219</v>
      </c>
      <c r="E420" s="13" t="s">
        <v>219</v>
      </c>
      <c r="F420" s="13">
        <v>2</v>
      </c>
      <c r="G420" s="13" t="s">
        <v>643</v>
      </c>
      <c r="H420" s="13">
        <f t="shared" si="48"/>
        <v>2</v>
      </c>
      <c r="I420" s="60">
        <f>(24*2700)+200000</f>
        <v>264800</v>
      </c>
      <c r="J420" s="56">
        <f t="shared" si="51"/>
        <v>529600</v>
      </c>
      <c r="K420" s="16"/>
    </row>
    <row r="421" spans="1:12" ht="21.5" thickBot="1">
      <c r="A421" s="290"/>
      <c r="B421" s="26" t="s">
        <v>734</v>
      </c>
      <c r="C421" s="9" t="s">
        <v>750</v>
      </c>
      <c r="D421" s="9" t="s">
        <v>113</v>
      </c>
      <c r="E421" s="9" t="s">
        <v>113</v>
      </c>
      <c r="F421" s="9">
        <v>1</v>
      </c>
      <c r="G421" s="9" t="s">
        <v>240</v>
      </c>
      <c r="H421" s="9">
        <f t="shared" si="48"/>
        <v>1</v>
      </c>
      <c r="I421" s="105">
        <v>13400</v>
      </c>
      <c r="J421" s="78">
        <v>12300</v>
      </c>
      <c r="K421" s="14"/>
      <c r="L421" s="106">
        <f>SUM(J413:J421)</f>
        <v>1103953</v>
      </c>
    </row>
    <row r="422" spans="1:12" ht="17.5" thickBot="1"/>
    <row r="423" spans="1:12" ht="27" customHeight="1" thickBot="1">
      <c r="C423" s="119"/>
      <c r="D423" s="120"/>
      <c r="E423" s="275"/>
      <c r="F423" s="270"/>
      <c r="G423" s="120" t="s">
        <v>763</v>
      </c>
      <c r="H423" s="276" t="s">
        <v>764</v>
      </c>
      <c r="I423" s="276"/>
      <c r="J423" s="277"/>
    </row>
    <row r="424" spans="1:12" ht="27" customHeight="1">
      <c r="C424" s="117" t="s">
        <v>760</v>
      </c>
      <c r="D424" s="121">
        <v>3000000</v>
      </c>
      <c r="E424" s="278" t="s">
        <v>762</v>
      </c>
      <c r="F424" s="279"/>
      <c r="G424" s="122">
        <f>D424/22</f>
        <v>136363.63636363635</v>
      </c>
      <c r="H424" s="280" t="s">
        <v>767</v>
      </c>
      <c r="I424" s="280"/>
      <c r="J424" s="281"/>
    </row>
    <row r="425" spans="1:12" ht="27" customHeight="1" thickBot="1">
      <c r="C425" s="118" t="s">
        <v>761</v>
      </c>
      <c r="D425" s="123">
        <v>3500000</v>
      </c>
      <c r="E425" s="282" t="s">
        <v>762</v>
      </c>
      <c r="F425" s="283"/>
      <c r="G425" s="124">
        <f>D425/22</f>
        <v>159090.90909090909</v>
      </c>
      <c r="H425" s="284" t="s">
        <v>768</v>
      </c>
      <c r="I425" s="284"/>
      <c r="J425" s="285"/>
    </row>
    <row r="426" spans="1:12" ht="27" customHeight="1" thickBot="1">
      <c r="C426" s="268" t="s">
        <v>265</v>
      </c>
      <c r="D426" s="269"/>
      <c r="E426" s="269"/>
      <c r="F426" s="270"/>
      <c r="G426" s="125">
        <f>SUM(G424:G425)</f>
        <v>295454.54545454541</v>
      </c>
      <c r="H426" s="271">
        <f>98485+114899</f>
        <v>213384</v>
      </c>
      <c r="I426" s="272"/>
      <c r="J426" s="273"/>
    </row>
  </sheetData>
  <autoFilter ref="A26:K421"/>
  <mergeCells count="92">
    <mergeCell ref="C426:F426"/>
    <mergeCell ref="H426:J426"/>
    <mergeCell ref="H423:J423"/>
    <mergeCell ref="H424:J424"/>
    <mergeCell ref="H425:J425"/>
    <mergeCell ref="E423:F423"/>
    <mergeCell ref="E424:F424"/>
    <mergeCell ref="E425:F425"/>
    <mergeCell ref="E1:H1"/>
    <mergeCell ref="A148:A157"/>
    <mergeCell ref="A158:A167"/>
    <mergeCell ref="A285:A294"/>
    <mergeCell ref="A177:A186"/>
    <mergeCell ref="A187:A196"/>
    <mergeCell ref="A197:A206"/>
    <mergeCell ref="A207:A216"/>
    <mergeCell ref="A217:A225"/>
    <mergeCell ref="A226:A235"/>
    <mergeCell ref="A236:A245"/>
    <mergeCell ref="A246:A255"/>
    <mergeCell ref="A256:A265"/>
    <mergeCell ref="A266:A274"/>
    <mergeCell ref="A275:A284"/>
    <mergeCell ref="A168:A176"/>
    <mergeCell ref="A99:A108"/>
    <mergeCell ref="A109:A118"/>
    <mergeCell ref="A119:A127"/>
    <mergeCell ref="A128:A137"/>
    <mergeCell ref="A138:A147"/>
    <mergeCell ref="A50:A59"/>
    <mergeCell ref="A70:A78"/>
    <mergeCell ref="A60:A69"/>
    <mergeCell ref="A79:A88"/>
    <mergeCell ref="A89:A98"/>
    <mergeCell ref="A305:A314"/>
    <mergeCell ref="A413:A421"/>
    <mergeCell ref="A403:A412"/>
    <mergeCell ref="A393:A402"/>
    <mergeCell ref="A383:A392"/>
    <mergeCell ref="A373:A382"/>
    <mergeCell ref="A364:A372"/>
    <mergeCell ref="A354:A363"/>
    <mergeCell ref="A344:A353"/>
    <mergeCell ref="A334:A343"/>
    <mergeCell ref="A324:A333"/>
    <mergeCell ref="A315:A323"/>
    <mergeCell ref="H8:J8"/>
    <mergeCell ref="H9:J9"/>
    <mergeCell ref="A295:A304"/>
    <mergeCell ref="A30:A39"/>
    <mergeCell ref="H3:J3"/>
    <mergeCell ref="H4:J4"/>
    <mergeCell ref="H5:J5"/>
    <mergeCell ref="H10:J10"/>
    <mergeCell ref="H11:J11"/>
    <mergeCell ref="H12:J12"/>
    <mergeCell ref="H13:J13"/>
    <mergeCell ref="H14:J14"/>
    <mergeCell ref="H24:J24"/>
    <mergeCell ref="H6:J6"/>
    <mergeCell ref="H7:J7"/>
    <mergeCell ref="A40:A49"/>
    <mergeCell ref="H15:J15"/>
    <mergeCell ref="H21:J21"/>
    <mergeCell ref="H22:J22"/>
    <mergeCell ref="H23:J23"/>
    <mergeCell ref="H16:J16"/>
    <mergeCell ref="H17:J17"/>
    <mergeCell ref="H18:J18"/>
    <mergeCell ref="H19:J19"/>
    <mergeCell ref="H20:J20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23:F23"/>
    <mergeCell ref="D18:F18"/>
    <mergeCell ref="D19:F19"/>
    <mergeCell ref="D20:F20"/>
    <mergeCell ref="D21:F21"/>
    <mergeCell ref="D22:F2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5" orientation="portrait" horizontalDpi="1200" verticalDpi="1200" r:id="rId1"/>
  <headerFooter>
    <oddFooter>&amp;C(주)매그나텍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7"/>
  <sheetViews>
    <sheetView zoomScale="70" zoomScaleNormal="70" workbookViewId="0">
      <pane xSplit="1" ySplit="21" topLeftCell="B31" activePane="bottomRight" state="frozen"/>
      <selection pane="topRight" activeCell="B1" sqref="B1"/>
      <selection pane="bottomLeft" activeCell="A21" sqref="A21"/>
      <selection pane="bottomRight" activeCell="G246" sqref="G246"/>
    </sheetView>
  </sheetViews>
  <sheetFormatPr defaultColWidth="9" defaultRowHeight="17"/>
  <cols>
    <col min="1" max="1" width="3.5" style="1" customWidth="1"/>
    <col min="2" max="2" width="12.58203125" style="1" customWidth="1"/>
    <col min="3" max="3" width="17.58203125" style="1" customWidth="1"/>
    <col min="4" max="4" width="18.83203125" style="1" customWidth="1"/>
    <col min="5" max="5" width="20.75" style="1" customWidth="1"/>
    <col min="6" max="6" width="5.33203125" style="1" customWidth="1"/>
    <col min="7" max="7" width="30.83203125" style="1" customWidth="1"/>
    <col min="8" max="8" width="6.33203125" style="1" customWidth="1"/>
    <col min="9" max="9" width="9.58203125" style="1" customWidth="1"/>
    <col min="10" max="10" width="11.58203125" style="1" customWidth="1"/>
    <col min="11" max="11" width="29.25" style="1" customWidth="1"/>
    <col min="12" max="12" width="15" style="1" customWidth="1"/>
    <col min="13" max="16384" width="9" style="1"/>
  </cols>
  <sheetData>
    <row r="1" spans="4:11" ht="44">
      <c r="E1" s="260" t="s">
        <v>477</v>
      </c>
      <c r="F1" s="260"/>
      <c r="G1" s="260"/>
      <c r="H1" s="4"/>
      <c r="I1" s="4"/>
      <c r="J1" s="4"/>
    </row>
    <row r="3" spans="4:11" s="52" customFormat="1" ht="16">
      <c r="D3" s="286" t="s">
        <v>257</v>
      </c>
      <c r="E3" s="287"/>
      <c r="F3" s="288"/>
      <c r="G3" s="51" t="s">
        <v>258</v>
      </c>
      <c r="H3" s="286" t="s">
        <v>257</v>
      </c>
      <c r="I3" s="287"/>
      <c r="J3" s="288"/>
      <c r="K3" s="51" t="s">
        <v>258</v>
      </c>
    </row>
    <row r="4" spans="4:11" s="52" customFormat="1" ht="16" hidden="1">
      <c r="D4" s="286" t="s">
        <v>291</v>
      </c>
      <c r="E4" s="287"/>
      <c r="F4" s="288"/>
      <c r="G4" s="51">
        <v>1</v>
      </c>
      <c r="H4" s="286" t="s">
        <v>306</v>
      </c>
      <c r="I4" s="287"/>
      <c r="J4" s="288"/>
      <c r="K4" s="51">
        <v>1</v>
      </c>
    </row>
    <row r="5" spans="4:11" s="52" customFormat="1" ht="16" hidden="1">
      <c r="D5" s="286" t="s">
        <v>292</v>
      </c>
      <c r="E5" s="287"/>
      <c r="F5" s="288"/>
      <c r="G5" s="51">
        <v>1</v>
      </c>
      <c r="H5" s="286" t="s">
        <v>307</v>
      </c>
      <c r="I5" s="287"/>
      <c r="J5" s="288"/>
      <c r="K5" s="51">
        <v>1</v>
      </c>
    </row>
    <row r="6" spans="4:11" s="52" customFormat="1" ht="16" hidden="1">
      <c r="D6" s="286" t="s">
        <v>293</v>
      </c>
      <c r="E6" s="287"/>
      <c r="F6" s="288"/>
      <c r="G6" s="51">
        <v>1</v>
      </c>
      <c r="H6" s="286" t="s">
        <v>308</v>
      </c>
      <c r="I6" s="287"/>
      <c r="J6" s="288"/>
      <c r="K6" s="51">
        <v>1</v>
      </c>
    </row>
    <row r="7" spans="4:11" s="52" customFormat="1" ht="16" hidden="1">
      <c r="D7" s="286" t="s">
        <v>294</v>
      </c>
      <c r="E7" s="287"/>
      <c r="F7" s="288"/>
      <c r="G7" s="51">
        <v>1</v>
      </c>
      <c r="H7" s="286" t="s">
        <v>309</v>
      </c>
      <c r="I7" s="287"/>
      <c r="J7" s="288"/>
      <c r="K7" s="51">
        <v>1</v>
      </c>
    </row>
    <row r="8" spans="4:11" s="52" customFormat="1" ht="16" hidden="1">
      <c r="D8" s="286" t="s">
        <v>295</v>
      </c>
      <c r="E8" s="287"/>
      <c r="F8" s="288"/>
      <c r="G8" s="51">
        <v>1</v>
      </c>
      <c r="H8" s="286" t="s">
        <v>310</v>
      </c>
      <c r="I8" s="287"/>
      <c r="J8" s="288"/>
      <c r="K8" s="51">
        <v>1</v>
      </c>
    </row>
    <row r="9" spans="4:11" s="52" customFormat="1" ht="16" hidden="1">
      <c r="D9" s="286" t="s">
        <v>296</v>
      </c>
      <c r="E9" s="287"/>
      <c r="F9" s="288"/>
      <c r="G9" s="51">
        <v>1</v>
      </c>
      <c r="H9" s="286" t="s">
        <v>311</v>
      </c>
      <c r="I9" s="287"/>
      <c r="J9" s="288"/>
      <c r="K9" s="51">
        <v>1</v>
      </c>
    </row>
    <row r="10" spans="4:11" s="52" customFormat="1" ht="16" hidden="1">
      <c r="D10" s="286" t="s">
        <v>297</v>
      </c>
      <c r="E10" s="287"/>
      <c r="F10" s="288"/>
      <c r="G10" s="51">
        <v>1</v>
      </c>
      <c r="H10" s="286" t="s">
        <v>312</v>
      </c>
      <c r="I10" s="287"/>
      <c r="J10" s="288"/>
      <c r="K10" s="51">
        <v>1</v>
      </c>
    </row>
    <row r="11" spans="4:11" s="52" customFormat="1" ht="16" hidden="1">
      <c r="D11" s="286" t="s">
        <v>298</v>
      </c>
      <c r="E11" s="287"/>
      <c r="F11" s="288"/>
      <c r="G11" s="51">
        <v>1</v>
      </c>
      <c r="H11" s="286" t="s">
        <v>313</v>
      </c>
      <c r="I11" s="287"/>
      <c r="J11" s="288"/>
      <c r="K11" s="51">
        <v>1</v>
      </c>
    </row>
    <row r="12" spans="4:11" s="52" customFormat="1" ht="16" hidden="1">
      <c r="D12" s="286" t="s">
        <v>299</v>
      </c>
      <c r="E12" s="287"/>
      <c r="F12" s="288"/>
      <c r="G12" s="51">
        <v>1</v>
      </c>
      <c r="H12" s="286" t="s">
        <v>314</v>
      </c>
      <c r="I12" s="287"/>
      <c r="J12" s="288"/>
      <c r="K12" s="51">
        <v>1</v>
      </c>
    </row>
    <row r="13" spans="4:11" s="52" customFormat="1" ht="16" hidden="1">
      <c r="D13" s="286" t="s">
        <v>300</v>
      </c>
      <c r="E13" s="287"/>
      <c r="F13" s="288"/>
      <c r="G13" s="51">
        <v>1</v>
      </c>
      <c r="H13" s="286" t="s">
        <v>315</v>
      </c>
      <c r="I13" s="287"/>
      <c r="J13" s="288"/>
      <c r="K13" s="51">
        <v>1</v>
      </c>
    </row>
    <row r="14" spans="4:11" s="52" customFormat="1" ht="16" hidden="1">
      <c r="D14" s="286" t="s">
        <v>301</v>
      </c>
      <c r="E14" s="287"/>
      <c r="F14" s="288"/>
      <c r="G14" s="51">
        <v>1</v>
      </c>
      <c r="H14" s="286" t="s">
        <v>316</v>
      </c>
      <c r="I14" s="287"/>
      <c r="J14" s="288"/>
      <c r="K14" s="51">
        <v>1</v>
      </c>
    </row>
    <row r="15" spans="4:11" s="52" customFormat="1" ht="16" hidden="1">
      <c r="D15" s="286" t="s">
        <v>302</v>
      </c>
      <c r="E15" s="287"/>
      <c r="F15" s="288"/>
      <c r="G15" s="51">
        <v>1</v>
      </c>
      <c r="H15" s="286" t="s">
        <v>317</v>
      </c>
      <c r="I15" s="287"/>
      <c r="J15" s="288"/>
      <c r="K15" s="51">
        <v>1</v>
      </c>
    </row>
    <row r="16" spans="4:11" s="52" customFormat="1" ht="16" hidden="1">
      <c r="D16" s="286" t="s">
        <v>303</v>
      </c>
      <c r="E16" s="287"/>
      <c r="F16" s="288"/>
      <c r="G16" s="51">
        <v>1</v>
      </c>
      <c r="H16" s="286" t="s">
        <v>318</v>
      </c>
      <c r="I16" s="287"/>
      <c r="J16" s="288"/>
      <c r="K16" s="51">
        <v>1</v>
      </c>
    </row>
    <row r="17" spans="1:12" s="52" customFormat="1" ht="16" hidden="1">
      <c r="D17" s="286" t="s">
        <v>304</v>
      </c>
      <c r="E17" s="287"/>
      <c r="F17" s="288"/>
      <c r="G17" s="51">
        <v>1</v>
      </c>
      <c r="H17" s="286" t="s">
        <v>319</v>
      </c>
      <c r="I17" s="287"/>
      <c r="J17" s="288"/>
      <c r="K17" s="51">
        <v>1</v>
      </c>
    </row>
    <row r="18" spans="1:12" s="52" customFormat="1" ht="16" hidden="1">
      <c r="D18" s="286" t="s">
        <v>305</v>
      </c>
      <c r="E18" s="287"/>
      <c r="F18" s="288"/>
      <c r="G18" s="51">
        <v>1</v>
      </c>
      <c r="H18" s="286" t="s">
        <v>320</v>
      </c>
      <c r="I18" s="287"/>
      <c r="J18" s="288"/>
      <c r="K18" s="51">
        <v>1</v>
      </c>
    </row>
    <row r="19" spans="1:12">
      <c r="H19" s="261" t="s">
        <v>265</v>
      </c>
      <c r="I19" s="262"/>
      <c r="J19" s="263"/>
      <c r="K19" s="2" cm="1">
        <f t="array" ref="K19">SUM(G4:G18+K4:K18)</f>
        <v>30</v>
      </c>
    </row>
    <row r="20" spans="1:12" ht="17.5" thickBot="1"/>
    <row r="21" spans="1:12" ht="17.5" thickBot="1">
      <c r="A21" s="18" t="s">
        <v>80</v>
      </c>
      <c r="B21" s="19" t="s">
        <v>0</v>
      </c>
      <c r="C21" s="19" t="s">
        <v>142</v>
      </c>
      <c r="D21" s="19" t="s">
        <v>103</v>
      </c>
      <c r="E21" s="19" t="s">
        <v>104</v>
      </c>
      <c r="F21" s="19" t="s">
        <v>83</v>
      </c>
      <c r="G21" s="19" t="s">
        <v>84</v>
      </c>
      <c r="H21" s="19" t="s">
        <v>254</v>
      </c>
      <c r="I21" s="19" t="s">
        <v>267</v>
      </c>
      <c r="J21" s="19" t="s">
        <v>266</v>
      </c>
      <c r="K21" s="20" t="s">
        <v>79</v>
      </c>
    </row>
    <row r="22" spans="1:12">
      <c r="A22" s="257">
        <v>1</v>
      </c>
      <c r="B22" s="11" t="s">
        <v>60</v>
      </c>
      <c r="C22" s="11" t="s">
        <v>209</v>
      </c>
      <c r="D22" s="11" t="s">
        <v>118</v>
      </c>
      <c r="E22" s="11" t="s">
        <v>522</v>
      </c>
      <c r="F22" s="11">
        <v>1</v>
      </c>
      <c r="G22" s="11" t="s">
        <v>560</v>
      </c>
      <c r="H22" s="11">
        <f>$G$4*F22</f>
        <v>1</v>
      </c>
      <c r="I22" s="103">
        <v>88000</v>
      </c>
      <c r="J22" s="103">
        <f>H22*I22</f>
        <v>88000</v>
      </c>
      <c r="K22" s="12"/>
    </row>
    <row r="23" spans="1:12">
      <c r="A23" s="258"/>
      <c r="B23" s="13" t="s">
        <v>60</v>
      </c>
      <c r="C23" s="13" t="s">
        <v>209</v>
      </c>
      <c r="D23" s="13" t="s">
        <v>495</v>
      </c>
      <c r="E23" s="13" t="s">
        <v>106</v>
      </c>
      <c r="F23" s="13">
        <v>1</v>
      </c>
      <c r="G23" s="13" t="s">
        <v>233</v>
      </c>
      <c r="H23" s="13">
        <f t="shared" ref="H23:H31" si="0">$G$4*F23</f>
        <v>1</v>
      </c>
      <c r="I23" s="130">
        <v>385000</v>
      </c>
      <c r="J23" s="130">
        <f t="shared" ref="J23:J86" si="1">H23*I23</f>
        <v>385000</v>
      </c>
      <c r="K23" s="16" t="s">
        <v>238</v>
      </c>
    </row>
    <row r="24" spans="1:12">
      <c r="A24" s="258"/>
      <c r="B24" s="13" t="s">
        <v>60</v>
      </c>
      <c r="C24" s="13" t="s">
        <v>209</v>
      </c>
      <c r="D24" s="13" t="s">
        <v>491</v>
      </c>
      <c r="E24" s="13" t="s">
        <v>107</v>
      </c>
      <c r="F24" s="13">
        <v>36</v>
      </c>
      <c r="G24" s="13" t="s">
        <v>251</v>
      </c>
      <c r="H24" s="13">
        <f t="shared" si="0"/>
        <v>36</v>
      </c>
      <c r="I24" s="130">
        <v>460</v>
      </c>
      <c r="J24" s="130">
        <f t="shared" si="1"/>
        <v>16560</v>
      </c>
      <c r="K24" s="16"/>
    </row>
    <row r="25" spans="1:12">
      <c r="A25" s="258"/>
      <c r="B25" s="13" t="s">
        <v>60</v>
      </c>
      <c r="C25" s="13" t="s">
        <v>209</v>
      </c>
      <c r="D25" s="13" t="s">
        <v>500</v>
      </c>
      <c r="E25" s="13" t="s">
        <v>108</v>
      </c>
      <c r="F25" s="13">
        <v>1</v>
      </c>
      <c r="G25" s="13" t="s">
        <v>233</v>
      </c>
      <c r="H25" s="13">
        <f t="shared" si="0"/>
        <v>1</v>
      </c>
      <c r="I25" s="13"/>
      <c r="J25" s="13">
        <f t="shared" si="1"/>
        <v>0</v>
      </c>
      <c r="K25" s="16"/>
    </row>
    <row r="26" spans="1:12">
      <c r="A26" s="258"/>
      <c r="B26" s="13" t="s">
        <v>60</v>
      </c>
      <c r="C26" s="13" t="s">
        <v>209</v>
      </c>
      <c r="D26" s="13" t="s">
        <v>503</v>
      </c>
      <c r="E26" s="13" t="s">
        <v>109</v>
      </c>
      <c r="F26" s="13">
        <v>1</v>
      </c>
      <c r="G26" s="13" t="s">
        <v>233</v>
      </c>
      <c r="H26" s="13">
        <f t="shared" si="0"/>
        <v>1</v>
      </c>
      <c r="I26" s="13"/>
      <c r="J26" s="13">
        <f t="shared" si="1"/>
        <v>0</v>
      </c>
      <c r="K26" s="16"/>
    </row>
    <row r="27" spans="1:12">
      <c r="A27" s="258"/>
      <c r="B27" s="13" t="s">
        <v>60</v>
      </c>
      <c r="C27" s="13" t="s">
        <v>209</v>
      </c>
      <c r="D27" s="13" t="s">
        <v>508</v>
      </c>
      <c r="E27" s="13" t="s">
        <v>110</v>
      </c>
      <c r="F27" s="13">
        <v>1</v>
      </c>
      <c r="G27" s="13" t="s">
        <v>681</v>
      </c>
      <c r="H27" s="13">
        <f t="shared" si="0"/>
        <v>1</v>
      </c>
      <c r="I27" s="130">
        <v>2400</v>
      </c>
      <c r="J27" s="130">
        <f t="shared" si="1"/>
        <v>2400</v>
      </c>
      <c r="K27" s="16"/>
    </row>
    <row r="28" spans="1:12">
      <c r="A28" s="258"/>
      <c r="B28" s="13" t="s">
        <v>60</v>
      </c>
      <c r="C28" s="13" t="s">
        <v>209</v>
      </c>
      <c r="D28" s="13" t="s">
        <v>510</v>
      </c>
      <c r="E28" s="13" t="s">
        <v>619</v>
      </c>
      <c r="F28" s="13">
        <v>1</v>
      </c>
      <c r="G28" s="13" t="s">
        <v>233</v>
      </c>
      <c r="H28" s="13">
        <f t="shared" si="0"/>
        <v>1</v>
      </c>
      <c r="I28" s="13"/>
      <c r="J28" s="13">
        <f t="shared" si="1"/>
        <v>0</v>
      </c>
      <c r="K28" s="16"/>
    </row>
    <row r="29" spans="1:12">
      <c r="A29" s="258"/>
      <c r="B29" s="13" t="s">
        <v>60</v>
      </c>
      <c r="C29" s="13" t="s">
        <v>209</v>
      </c>
      <c r="D29" s="13" t="s">
        <v>513</v>
      </c>
      <c r="E29" s="13" t="s">
        <v>111</v>
      </c>
      <c r="F29" s="13">
        <v>1</v>
      </c>
      <c r="G29" s="13" t="s">
        <v>684</v>
      </c>
      <c r="H29" s="13">
        <f t="shared" si="0"/>
        <v>1</v>
      </c>
      <c r="I29" s="130">
        <v>1903</v>
      </c>
      <c r="J29" s="130">
        <f t="shared" si="1"/>
        <v>1903</v>
      </c>
      <c r="K29" s="16"/>
    </row>
    <row r="30" spans="1:12" ht="17.5" thickBot="1">
      <c r="A30" s="258"/>
      <c r="B30" s="13" t="s">
        <v>60</v>
      </c>
      <c r="C30" s="13" t="s">
        <v>209</v>
      </c>
      <c r="D30" s="13" t="s">
        <v>121</v>
      </c>
      <c r="E30" s="13" t="s">
        <v>121</v>
      </c>
      <c r="F30" s="13">
        <v>1</v>
      </c>
      <c r="G30" s="13" t="s">
        <v>235</v>
      </c>
      <c r="H30" s="13">
        <f t="shared" si="0"/>
        <v>1</v>
      </c>
      <c r="I30" s="130">
        <f>(36*2700)+200000</f>
        <v>297200</v>
      </c>
      <c r="J30" s="130">
        <f t="shared" si="1"/>
        <v>297200</v>
      </c>
      <c r="K30" s="16"/>
    </row>
    <row r="31" spans="1:12" ht="21.75" customHeight="1" thickBot="1">
      <c r="A31" s="259"/>
      <c r="B31" s="9" t="s">
        <v>60</v>
      </c>
      <c r="C31" s="9" t="s">
        <v>209</v>
      </c>
      <c r="D31" s="9" t="s">
        <v>113</v>
      </c>
      <c r="E31" s="9" t="s">
        <v>113</v>
      </c>
      <c r="F31" s="9">
        <v>1</v>
      </c>
      <c r="G31" s="9" t="s">
        <v>240</v>
      </c>
      <c r="H31" s="9">
        <f t="shared" si="0"/>
        <v>1</v>
      </c>
      <c r="I31" s="135">
        <v>13400</v>
      </c>
      <c r="J31" s="135">
        <f t="shared" si="1"/>
        <v>13400</v>
      </c>
      <c r="K31" s="14"/>
      <c r="L31" s="106">
        <f>SUM(J22:J31)</f>
        <v>804463</v>
      </c>
    </row>
    <row r="32" spans="1:12">
      <c r="A32" s="274">
        <v>2</v>
      </c>
      <c r="B32" s="10" t="s">
        <v>60</v>
      </c>
      <c r="C32" s="10" t="s">
        <v>210</v>
      </c>
      <c r="D32" s="10" t="s">
        <v>118</v>
      </c>
      <c r="E32" s="10" t="s">
        <v>522</v>
      </c>
      <c r="F32" s="10">
        <v>1</v>
      </c>
      <c r="G32" s="10" t="s">
        <v>560</v>
      </c>
      <c r="H32" s="10">
        <f>$G$5*F32</f>
        <v>1</v>
      </c>
      <c r="I32" s="134">
        <v>88000</v>
      </c>
      <c r="J32" s="134">
        <f t="shared" si="1"/>
        <v>88000</v>
      </c>
      <c r="K32" s="17"/>
    </row>
    <row r="33" spans="1:12">
      <c r="A33" s="258"/>
      <c r="B33" s="13" t="s">
        <v>60</v>
      </c>
      <c r="C33" s="13" t="s">
        <v>210</v>
      </c>
      <c r="D33" s="13" t="s">
        <v>495</v>
      </c>
      <c r="E33" s="13" t="s">
        <v>106</v>
      </c>
      <c r="F33" s="13">
        <v>1</v>
      </c>
      <c r="G33" s="13" t="s">
        <v>233</v>
      </c>
      <c r="H33" s="13">
        <f t="shared" ref="H33:H41" si="2">$G$5*F33</f>
        <v>1</v>
      </c>
      <c r="I33" s="130">
        <v>385000</v>
      </c>
      <c r="J33" s="130">
        <f t="shared" si="1"/>
        <v>385000</v>
      </c>
      <c r="K33" s="16" t="s">
        <v>238</v>
      </c>
    </row>
    <row r="34" spans="1:12">
      <c r="A34" s="258"/>
      <c r="B34" s="13" t="s">
        <v>60</v>
      </c>
      <c r="C34" s="13" t="s">
        <v>210</v>
      </c>
      <c r="D34" s="13" t="s">
        <v>492</v>
      </c>
      <c r="E34" s="13" t="s">
        <v>114</v>
      </c>
      <c r="F34" s="13">
        <v>36</v>
      </c>
      <c r="G34" s="13" t="s">
        <v>251</v>
      </c>
      <c r="H34" s="13">
        <f t="shared" si="2"/>
        <v>36</v>
      </c>
      <c r="I34" s="130">
        <v>460</v>
      </c>
      <c r="J34" s="130">
        <f t="shared" si="1"/>
        <v>16560</v>
      </c>
      <c r="K34" s="16"/>
    </row>
    <row r="35" spans="1:12">
      <c r="A35" s="258"/>
      <c r="B35" s="13" t="s">
        <v>60</v>
      </c>
      <c r="C35" s="13" t="s">
        <v>210</v>
      </c>
      <c r="D35" s="13" t="s">
        <v>500</v>
      </c>
      <c r="E35" s="13" t="s">
        <v>108</v>
      </c>
      <c r="F35" s="13">
        <v>1</v>
      </c>
      <c r="G35" s="13" t="s">
        <v>233</v>
      </c>
      <c r="H35" s="13">
        <f t="shared" si="2"/>
        <v>1</v>
      </c>
      <c r="I35" s="13"/>
      <c r="J35" s="13">
        <f t="shared" si="1"/>
        <v>0</v>
      </c>
      <c r="K35" s="16"/>
    </row>
    <row r="36" spans="1:12">
      <c r="A36" s="258"/>
      <c r="B36" s="13" t="s">
        <v>60</v>
      </c>
      <c r="C36" s="13" t="s">
        <v>210</v>
      </c>
      <c r="D36" s="13" t="s">
        <v>503</v>
      </c>
      <c r="E36" s="13" t="s">
        <v>109</v>
      </c>
      <c r="F36" s="13">
        <v>1</v>
      </c>
      <c r="G36" s="13" t="s">
        <v>233</v>
      </c>
      <c r="H36" s="13">
        <f t="shared" si="2"/>
        <v>1</v>
      </c>
      <c r="I36" s="13"/>
      <c r="J36" s="13">
        <f t="shared" si="1"/>
        <v>0</v>
      </c>
      <c r="K36" s="16"/>
    </row>
    <row r="37" spans="1:12">
      <c r="A37" s="258"/>
      <c r="B37" s="13" t="s">
        <v>60</v>
      </c>
      <c r="C37" s="13" t="s">
        <v>210</v>
      </c>
      <c r="D37" s="13" t="s">
        <v>508</v>
      </c>
      <c r="E37" s="13" t="s">
        <v>110</v>
      </c>
      <c r="F37" s="13">
        <v>1</v>
      </c>
      <c r="G37" s="13" t="s">
        <v>975</v>
      </c>
      <c r="H37" s="13">
        <f t="shared" si="2"/>
        <v>1</v>
      </c>
      <c r="I37" s="130">
        <v>2400</v>
      </c>
      <c r="J37" s="130">
        <f t="shared" si="1"/>
        <v>2400</v>
      </c>
      <c r="K37" s="16"/>
    </row>
    <row r="38" spans="1:12">
      <c r="A38" s="258"/>
      <c r="B38" s="13" t="s">
        <v>60</v>
      </c>
      <c r="C38" s="13" t="s">
        <v>210</v>
      </c>
      <c r="D38" s="13" t="s">
        <v>510</v>
      </c>
      <c r="E38" s="13" t="s">
        <v>619</v>
      </c>
      <c r="F38" s="13">
        <v>1</v>
      </c>
      <c r="G38" s="13" t="s">
        <v>233</v>
      </c>
      <c r="H38" s="13">
        <f t="shared" si="2"/>
        <v>1</v>
      </c>
      <c r="I38" s="13"/>
      <c r="J38" s="13">
        <f t="shared" si="1"/>
        <v>0</v>
      </c>
      <c r="K38" s="16"/>
    </row>
    <row r="39" spans="1:12">
      <c r="A39" s="258"/>
      <c r="B39" s="13" t="s">
        <v>60</v>
      </c>
      <c r="C39" s="13" t="s">
        <v>210</v>
      </c>
      <c r="D39" s="13" t="s">
        <v>513</v>
      </c>
      <c r="E39" s="13" t="s">
        <v>111</v>
      </c>
      <c r="F39" s="13">
        <v>1</v>
      </c>
      <c r="G39" s="13" t="s">
        <v>684</v>
      </c>
      <c r="H39" s="13">
        <f t="shared" si="2"/>
        <v>1</v>
      </c>
      <c r="I39" s="130">
        <v>1903</v>
      </c>
      <c r="J39" s="130">
        <f t="shared" si="1"/>
        <v>1903</v>
      </c>
      <c r="K39" s="16"/>
    </row>
    <row r="40" spans="1:12" ht="17.5" thickBot="1">
      <c r="A40" s="258"/>
      <c r="B40" s="13" t="s">
        <v>60</v>
      </c>
      <c r="C40" s="13" t="s">
        <v>210</v>
      </c>
      <c r="D40" s="13" t="s">
        <v>121</v>
      </c>
      <c r="E40" s="13" t="s">
        <v>121</v>
      </c>
      <c r="F40" s="13">
        <v>1</v>
      </c>
      <c r="G40" s="13" t="s">
        <v>235</v>
      </c>
      <c r="H40" s="13">
        <f t="shared" si="2"/>
        <v>1</v>
      </c>
      <c r="I40" s="130">
        <f>(36*2700)+200000</f>
        <v>297200</v>
      </c>
      <c r="J40" s="130">
        <f t="shared" si="1"/>
        <v>297200</v>
      </c>
      <c r="K40" s="16"/>
    </row>
    <row r="41" spans="1:12" ht="21.5" thickBot="1">
      <c r="A41" s="297"/>
      <c r="B41" s="15" t="s">
        <v>60</v>
      </c>
      <c r="C41" s="15" t="s">
        <v>210</v>
      </c>
      <c r="D41" s="15" t="s">
        <v>113</v>
      </c>
      <c r="E41" s="15" t="s">
        <v>113</v>
      </c>
      <c r="F41" s="15">
        <v>1</v>
      </c>
      <c r="G41" s="15" t="s">
        <v>240</v>
      </c>
      <c r="H41" s="15">
        <f t="shared" si="2"/>
        <v>1</v>
      </c>
      <c r="I41" s="136">
        <v>13400</v>
      </c>
      <c r="J41" s="136">
        <f t="shared" si="1"/>
        <v>13400</v>
      </c>
      <c r="K41" s="22"/>
      <c r="L41" s="106">
        <f>SUM(J32:J41)</f>
        <v>804463</v>
      </c>
    </row>
    <row r="42" spans="1:12">
      <c r="A42" s="257">
        <v>3</v>
      </c>
      <c r="B42" s="11" t="s">
        <v>60</v>
      </c>
      <c r="C42" s="11" t="s">
        <v>211</v>
      </c>
      <c r="D42" s="11" t="s">
        <v>118</v>
      </c>
      <c r="E42" s="11" t="s">
        <v>522</v>
      </c>
      <c r="F42" s="11">
        <v>1</v>
      </c>
      <c r="G42" s="11" t="s">
        <v>560</v>
      </c>
      <c r="H42" s="11">
        <f>$G$6*F42</f>
        <v>1</v>
      </c>
      <c r="I42" s="103">
        <v>88000</v>
      </c>
      <c r="J42" s="103">
        <f t="shared" si="1"/>
        <v>88000</v>
      </c>
      <c r="K42" s="12"/>
    </row>
    <row r="43" spans="1:12">
      <c r="A43" s="258"/>
      <c r="B43" s="13" t="s">
        <v>60</v>
      </c>
      <c r="C43" s="13" t="s">
        <v>211</v>
      </c>
      <c r="D43" s="13" t="s">
        <v>495</v>
      </c>
      <c r="E43" s="13" t="s">
        <v>106</v>
      </c>
      <c r="F43" s="13">
        <v>1</v>
      </c>
      <c r="G43" s="13" t="s">
        <v>233</v>
      </c>
      <c r="H43" s="13">
        <f t="shared" ref="H43:H51" si="3">$G$6*F43</f>
        <v>1</v>
      </c>
      <c r="I43" s="130">
        <v>385000</v>
      </c>
      <c r="J43" s="130">
        <f t="shared" si="1"/>
        <v>385000</v>
      </c>
      <c r="K43" s="16" t="s">
        <v>238</v>
      </c>
    </row>
    <row r="44" spans="1:12">
      <c r="A44" s="258"/>
      <c r="B44" s="13" t="s">
        <v>60</v>
      </c>
      <c r="C44" s="13" t="s">
        <v>211</v>
      </c>
      <c r="D44" s="13" t="s">
        <v>493</v>
      </c>
      <c r="E44" s="13" t="s">
        <v>115</v>
      </c>
      <c r="F44" s="13">
        <v>36</v>
      </c>
      <c r="G44" s="13" t="s">
        <v>251</v>
      </c>
      <c r="H44" s="13">
        <f t="shared" si="3"/>
        <v>36</v>
      </c>
      <c r="I44" s="130">
        <v>460</v>
      </c>
      <c r="J44" s="130">
        <f t="shared" si="1"/>
        <v>16560</v>
      </c>
      <c r="K44" s="16"/>
    </row>
    <row r="45" spans="1:12">
      <c r="A45" s="258"/>
      <c r="B45" s="13" t="s">
        <v>60</v>
      </c>
      <c r="C45" s="13" t="s">
        <v>211</v>
      </c>
      <c r="D45" s="13" t="s">
        <v>500</v>
      </c>
      <c r="E45" s="13" t="s">
        <v>108</v>
      </c>
      <c r="F45" s="13">
        <v>1</v>
      </c>
      <c r="G45" s="13" t="s">
        <v>233</v>
      </c>
      <c r="H45" s="13">
        <f t="shared" si="3"/>
        <v>1</v>
      </c>
      <c r="I45" s="13"/>
      <c r="J45" s="13">
        <f t="shared" si="1"/>
        <v>0</v>
      </c>
      <c r="K45" s="16"/>
    </row>
    <row r="46" spans="1:12">
      <c r="A46" s="258"/>
      <c r="B46" s="13" t="s">
        <v>60</v>
      </c>
      <c r="C46" s="13" t="s">
        <v>211</v>
      </c>
      <c r="D46" s="13" t="s">
        <v>503</v>
      </c>
      <c r="E46" s="13" t="s">
        <v>109</v>
      </c>
      <c r="F46" s="13">
        <v>1</v>
      </c>
      <c r="G46" s="13" t="s">
        <v>233</v>
      </c>
      <c r="H46" s="13">
        <f t="shared" si="3"/>
        <v>1</v>
      </c>
      <c r="I46" s="13"/>
      <c r="J46" s="13">
        <f t="shared" si="1"/>
        <v>0</v>
      </c>
      <c r="K46" s="16"/>
    </row>
    <row r="47" spans="1:12">
      <c r="A47" s="258"/>
      <c r="B47" s="13" t="s">
        <v>60</v>
      </c>
      <c r="C47" s="13" t="s">
        <v>211</v>
      </c>
      <c r="D47" s="13" t="s">
        <v>508</v>
      </c>
      <c r="E47" s="13" t="s">
        <v>110</v>
      </c>
      <c r="F47" s="13">
        <v>1</v>
      </c>
      <c r="G47" s="13" t="s">
        <v>975</v>
      </c>
      <c r="H47" s="13">
        <f t="shared" si="3"/>
        <v>1</v>
      </c>
      <c r="I47" s="130">
        <v>2400</v>
      </c>
      <c r="J47" s="130">
        <f t="shared" si="1"/>
        <v>2400</v>
      </c>
      <c r="K47" s="16"/>
    </row>
    <row r="48" spans="1:12">
      <c r="A48" s="258"/>
      <c r="B48" s="13" t="s">
        <v>60</v>
      </c>
      <c r="C48" s="13" t="s">
        <v>211</v>
      </c>
      <c r="D48" s="13" t="s">
        <v>510</v>
      </c>
      <c r="E48" s="13" t="s">
        <v>621</v>
      </c>
      <c r="F48" s="13">
        <v>1</v>
      </c>
      <c r="G48" s="13" t="s">
        <v>233</v>
      </c>
      <c r="H48" s="13">
        <f t="shared" si="3"/>
        <v>1</v>
      </c>
      <c r="I48" s="13"/>
      <c r="J48" s="13">
        <f t="shared" si="1"/>
        <v>0</v>
      </c>
      <c r="K48" s="16"/>
    </row>
    <row r="49" spans="1:12">
      <c r="A49" s="258"/>
      <c r="B49" s="13" t="s">
        <v>60</v>
      </c>
      <c r="C49" s="13" t="s">
        <v>211</v>
      </c>
      <c r="D49" s="13" t="s">
        <v>513</v>
      </c>
      <c r="E49" s="13" t="s">
        <v>111</v>
      </c>
      <c r="F49" s="13">
        <v>1</v>
      </c>
      <c r="G49" s="13" t="s">
        <v>684</v>
      </c>
      <c r="H49" s="13">
        <f t="shared" si="3"/>
        <v>1</v>
      </c>
      <c r="I49" s="130">
        <v>1903</v>
      </c>
      <c r="J49" s="130">
        <f t="shared" si="1"/>
        <v>1903</v>
      </c>
      <c r="K49" s="16"/>
    </row>
    <row r="50" spans="1:12" ht="17.5" thickBot="1">
      <c r="A50" s="258"/>
      <c r="B50" s="13" t="s">
        <v>60</v>
      </c>
      <c r="C50" s="13" t="s">
        <v>211</v>
      </c>
      <c r="D50" s="13" t="s">
        <v>121</v>
      </c>
      <c r="E50" s="13" t="s">
        <v>121</v>
      </c>
      <c r="F50" s="13">
        <v>1</v>
      </c>
      <c r="G50" s="13" t="s">
        <v>235</v>
      </c>
      <c r="H50" s="13">
        <f t="shared" si="3"/>
        <v>1</v>
      </c>
      <c r="I50" s="130">
        <f>(36*2700)+200000</f>
        <v>297200</v>
      </c>
      <c r="J50" s="130">
        <f t="shared" si="1"/>
        <v>297200</v>
      </c>
      <c r="K50" s="16"/>
    </row>
    <row r="51" spans="1:12" ht="21.5" thickBot="1">
      <c r="A51" s="259"/>
      <c r="B51" s="9" t="s">
        <v>60</v>
      </c>
      <c r="C51" s="9" t="s">
        <v>211</v>
      </c>
      <c r="D51" s="9" t="s">
        <v>113</v>
      </c>
      <c r="E51" s="9" t="s">
        <v>113</v>
      </c>
      <c r="F51" s="9">
        <v>1</v>
      </c>
      <c r="G51" s="9" t="s">
        <v>240</v>
      </c>
      <c r="H51" s="9">
        <f t="shared" si="3"/>
        <v>1</v>
      </c>
      <c r="I51" s="135">
        <v>13400</v>
      </c>
      <c r="J51" s="135">
        <f t="shared" si="1"/>
        <v>13400</v>
      </c>
      <c r="K51" s="14"/>
      <c r="L51" s="106">
        <f>SUM(J42:J51)</f>
        <v>804463</v>
      </c>
    </row>
    <row r="52" spans="1:12">
      <c r="A52" s="274">
        <v>4</v>
      </c>
      <c r="B52" s="10" t="s">
        <v>60</v>
      </c>
      <c r="C52" s="10" t="s">
        <v>212</v>
      </c>
      <c r="D52" s="10" t="s">
        <v>118</v>
      </c>
      <c r="E52" s="10" t="s">
        <v>522</v>
      </c>
      <c r="F52" s="10">
        <v>1</v>
      </c>
      <c r="G52" s="10" t="s">
        <v>560</v>
      </c>
      <c r="H52" s="10">
        <f>$G$7*F52</f>
        <v>1</v>
      </c>
      <c r="I52" s="134">
        <v>88000</v>
      </c>
      <c r="J52" s="134">
        <f t="shared" si="1"/>
        <v>88000</v>
      </c>
      <c r="K52" s="17"/>
    </row>
    <row r="53" spans="1:12">
      <c r="A53" s="258"/>
      <c r="B53" s="13" t="s">
        <v>60</v>
      </c>
      <c r="C53" s="13" t="s">
        <v>212</v>
      </c>
      <c r="D53" s="13" t="s">
        <v>495</v>
      </c>
      <c r="E53" s="13" t="s">
        <v>106</v>
      </c>
      <c r="F53" s="13">
        <v>1</v>
      </c>
      <c r="G53" s="13" t="s">
        <v>233</v>
      </c>
      <c r="H53" s="13">
        <f t="shared" ref="H53:H61" si="4">$G$7*F53</f>
        <v>1</v>
      </c>
      <c r="I53" s="130">
        <v>385000</v>
      </c>
      <c r="J53" s="130">
        <f t="shared" si="1"/>
        <v>385000</v>
      </c>
      <c r="K53" s="16" t="s">
        <v>238</v>
      </c>
    </row>
    <row r="54" spans="1:12">
      <c r="A54" s="258"/>
      <c r="B54" s="13" t="s">
        <v>60</v>
      </c>
      <c r="C54" s="13" t="s">
        <v>212</v>
      </c>
      <c r="D54" s="13" t="s">
        <v>494</v>
      </c>
      <c r="E54" s="13" t="s">
        <v>116</v>
      </c>
      <c r="F54" s="13">
        <v>36</v>
      </c>
      <c r="G54" s="13" t="s">
        <v>251</v>
      </c>
      <c r="H54" s="13">
        <f t="shared" si="4"/>
        <v>36</v>
      </c>
      <c r="I54" s="130">
        <v>460</v>
      </c>
      <c r="J54" s="130">
        <f t="shared" si="1"/>
        <v>16560</v>
      </c>
      <c r="K54" s="16"/>
    </row>
    <row r="55" spans="1:12">
      <c r="A55" s="258"/>
      <c r="B55" s="13" t="s">
        <v>60</v>
      </c>
      <c r="C55" s="13" t="s">
        <v>212</v>
      </c>
      <c r="D55" s="13" t="s">
        <v>500</v>
      </c>
      <c r="E55" s="13" t="s">
        <v>108</v>
      </c>
      <c r="F55" s="13">
        <v>1</v>
      </c>
      <c r="G55" s="13" t="s">
        <v>233</v>
      </c>
      <c r="H55" s="13">
        <f t="shared" si="4"/>
        <v>1</v>
      </c>
      <c r="I55" s="13"/>
      <c r="J55" s="13">
        <f t="shared" si="1"/>
        <v>0</v>
      </c>
      <c r="K55" s="16"/>
    </row>
    <row r="56" spans="1:12">
      <c r="A56" s="258"/>
      <c r="B56" s="13" t="s">
        <v>60</v>
      </c>
      <c r="C56" s="13" t="s">
        <v>212</v>
      </c>
      <c r="D56" s="13" t="s">
        <v>503</v>
      </c>
      <c r="E56" s="13" t="s">
        <v>109</v>
      </c>
      <c r="F56" s="13">
        <v>1</v>
      </c>
      <c r="G56" s="13" t="s">
        <v>233</v>
      </c>
      <c r="H56" s="13">
        <f t="shared" si="4"/>
        <v>1</v>
      </c>
      <c r="I56" s="13"/>
      <c r="J56" s="13">
        <f t="shared" si="1"/>
        <v>0</v>
      </c>
      <c r="K56" s="16"/>
    </row>
    <row r="57" spans="1:12">
      <c r="A57" s="258"/>
      <c r="B57" s="13" t="s">
        <v>60</v>
      </c>
      <c r="C57" s="13" t="s">
        <v>212</v>
      </c>
      <c r="D57" s="13" t="s">
        <v>508</v>
      </c>
      <c r="E57" s="13" t="s">
        <v>110</v>
      </c>
      <c r="F57" s="13">
        <v>1</v>
      </c>
      <c r="G57" s="13" t="s">
        <v>975</v>
      </c>
      <c r="H57" s="13">
        <f t="shared" si="4"/>
        <v>1</v>
      </c>
      <c r="I57" s="130">
        <v>2400</v>
      </c>
      <c r="J57" s="130">
        <f t="shared" si="1"/>
        <v>2400</v>
      </c>
      <c r="K57" s="16"/>
    </row>
    <row r="58" spans="1:12">
      <c r="A58" s="258"/>
      <c r="B58" s="13" t="s">
        <v>60</v>
      </c>
      <c r="C58" s="13" t="s">
        <v>212</v>
      </c>
      <c r="D58" s="13" t="s">
        <v>510</v>
      </c>
      <c r="E58" s="13" t="s">
        <v>619</v>
      </c>
      <c r="F58" s="13">
        <v>1</v>
      </c>
      <c r="G58" s="13" t="s">
        <v>233</v>
      </c>
      <c r="H58" s="13">
        <f t="shared" si="4"/>
        <v>1</v>
      </c>
      <c r="I58" s="13"/>
      <c r="J58" s="13">
        <f t="shared" si="1"/>
        <v>0</v>
      </c>
      <c r="K58" s="16"/>
    </row>
    <row r="59" spans="1:12">
      <c r="A59" s="258"/>
      <c r="B59" s="13" t="s">
        <v>60</v>
      </c>
      <c r="C59" s="13" t="s">
        <v>212</v>
      </c>
      <c r="D59" s="13" t="s">
        <v>513</v>
      </c>
      <c r="E59" s="13" t="s">
        <v>111</v>
      </c>
      <c r="F59" s="13">
        <v>1</v>
      </c>
      <c r="G59" s="13" t="s">
        <v>684</v>
      </c>
      <c r="H59" s="13">
        <f t="shared" si="4"/>
        <v>1</v>
      </c>
      <c r="I59" s="130">
        <v>1903</v>
      </c>
      <c r="J59" s="130">
        <f t="shared" si="1"/>
        <v>1903</v>
      </c>
      <c r="K59" s="16"/>
    </row>
    <row r="60" spans="1:12" ht="17.5" thickBot="1">
      <c r="A60" s="258"/>
      <c r="B60" s="13" t="s">
        <v>60</v>
      </c>
      <c r="C60" s="13" t="s">
        <v>212</v>
      </c>
      <c r="D60" s="13" t="s">
        <v>121</v>
      </c>
      <c r="E60" s="13" t="s">
        <v>121</v>
      </c>
      <c r="F60" s="13">
        <v>1</v>
      </c>
      <c r="G60" s="13" t="s">
        <v>235</v>
      </c>
      <c r="H60" s="13">
        <f t="shared" si="4"/>
        <v>1</v>
      </c>
      <c r="I60" s="130">
        <f>(36*2700)+200000</f>
        <v>297200</v>
      </c>
      <c r="J60" s="130">
        <f t="shared" si="1"/>
        <v>297200</v>
      </c>
      <c r="K60" s="16"/>
    </row>
    <row r="61" spans="1:12" ht="21.5" thickBot="1">
      <c r="A61" s="297"/>
      <c r="B61" s="15" t="s">
        <v>60</v>
      </c>
      <c r="C61" s="15" t="s">
        <v>212</v>
      </c>
      <c r="D61" s="15" t="s">
        <v>113</v>
      </c>
      <c r="E61" s="15" t="s">
        <v>113</v>
      </c>
      <c r="F61" s="15">
        <v>1</v>
      </c>
      <c r="G61" s="15" t="s">
        <v>240</v>
      </c>
      <c r="H61" s="15">
        <f t="shared" si="4"/>
        <v>1</v>
      </c>
      <c r="I61" s="136">
        <v>13400</v>
      </c>
      <c r="J61" s="136">
        <f t="shared" si="1"/>
        <v>13400</v>
      </c>
      <c r="K61" s="22"/>
      <c r="L61" s="106">
        <f>SUM(J52:J61)</f>
        <v>804463</v>
      </c>
    </row>
    <row r="62" spans="1:12">
      <c r="A62" s="257">
        <v>5</v>
      </c>
      <c r="B62" s="11" t="s">
        <v>60</v>
      </c>
      <c r="C62" s="11" t="s">
        <v>213</v>
      </c>
      <c r="D62" s="11" t="s">
        <v>118</v>
      </c>
      <c r="E62" s="11" t="s">
        <v>522</v>
      </c>
      <c r="F62" s="11">
        <v>1</v>
      </c>
      <c r="G62" s="11" t="s">
        <v>560</v>
      </c>
      <c r="H62" s="11">
        <f>$G$8*F62</f>
        <v>1</v>
      </c>
      <c r="I62" s="103">
        <v>88000</v>
      </c>
      <c r="J62" s="103">
        <f t="shared" si="1"/>
        <v>88000</v>
      </c>
      <c r="K62" s="12"/>
    </row>
    <row r="63" spans="1:12">
      <c r="A63" s="258"/>
      <c r="B63" s="13" t="s">
        <v>60</v>
      </c>
      <c r="C63" s="13" t="s">
        <v>213</v>
      </c>
      <c r="D63" s="13" t="s">
        <v>495</v>
      </c>
      <c r="E63" s="13" t="s">
        <v>106</v>
      </c>
      <c r="F63" s="13">
        <v>1</v>
      </c>
      <c r="G63" s="13" t="s">
        <v>233</v>
      </c>
      <c r="H63" s="13">
        <f t="shared" ref="H63:H70" si="5">$G$8*F63</f>
        <v>1</v>
      </c>
      <c r="I63" s="130">
        <v>385000</v>
      </c>
      <c r="J63" s="130">
        <f t="shared" si="1"/>
        <v>385000</v>
      </c>
      <c r="K63" s="16" t="s">
        <v>238</v>
      </c>
    </row>
    <row r="64" spans="1:12">
      <c r="A64" s="258"/>
      <c r="B64" s="13" t="s">
        <v>60</v>
      </c>
      <c r="C64" s="13" t="s">
        <v>213</v>
      </c>
      <c r="D64" s="13" t="s">
        <v>500</v>
      </c>
      <c r="E64" s="13" t="s">
        <v>108</v>
      </c>
      <c r="F64" s="13">
        <v>1</v>
      </c>
      <c r="G64" s="13" t="s">
        <v>233</v>
      </c>
      <c r="H64" s="13">
        <f t="shared" si="5"/>
        <v>1</v>
      </c>
      <c r="I64" s="13"/>
      <c r="J64" s="13">
        <f t="shared" si="1"/>
        <v>0</v>
      </c>
      <c r="K64" s="16"/>
    </row>
    <row r="65" spans="1:12">
      <c r="A65" s="258"/>
      <c r="B65" s="13" t="s">
        <v>60</v>
      </c>
      <c r="C65" s="13" t="s">
        <v>213</v>
      </c>
      <c r="D65" s="13" t="s">
        <v>503</v>
      </c>
      <c r="E65" s="13" t="s">
        <v>109</v>
      </c>
      <c r="F65" s="13">
        <v>1</v>
      </c>
      <c r="G65" s="13" t="s">
        <v>233</v>
      </c>
      <c r="H65" s="13">
        <f t="shared" si="5"/>
        <v>1</v>
      </c>
      <c r="I65" s="13"/>
      <c r="J65" s="13">
        <f t="shared" si="1"/>
        <v>0</v>
      </c>
      <c r="K65" s="16"/>
    </row>
    <row r="66" spans="1:12">
      <c r="A66" s="258"/>
      <c r="B66" s="13" t="s">
        <v>60</v>
      </c>
      <c r="C66" s="13" t="s">
        <v>213</v>
      </c>
      <c r="D66" s="13" t="s">
        <v>508</v>
      </c>
      <c r="E66" s="13" t="s">
        <v>110</v>
      </c>
      <c r="F66" s="13">
        <v>1</v>
      </c>
      <c r="G66" s="13" t="s">
        <v>975</v>
      </c>
      <c r="H66" s="13">
        <f t="shared" si="5"/>
        <v>1</v>
      </c>
      <c r="I66" s="130">
        <v>2400</v>
      </c>
      <c r="J66" s="130">
        <f t="shared" si="1"/>
        <v>2400</v>
      </c>
      <c r="K66" s="16"/>
    </row>
    <row r="67" spans="1:12">
      <c r="A67" s="258"/>
      <c r="B67" s="13" t="s">
        <v>60</v>
      </c>
      <c r="C67" s="13" t="s">
        <v>213</v>
      </c>
      <c r="D67" s="13" t="s">
        <v>510</v>
      </c>
      <c r="E67" s="13" t="s">
        <v>972</v>
      </c>
      <c r="F67" s="13">
        <v>1</v>
      </c>
      <c r="G67" s="13" t="s">
        <v>233</v>
      </c>
      <c r="H67" s="13">
        <f t="shared" si="5"/>
        <v>1</v>
      </c>
      <c r="I67" s="13"/>
      <c r="J67" s="13">
        <f t="shared" si="1"/>
        <v>0</v>
      </c>
      <c r="K67" s="16"/>
    </row>
    <row r="68" spans="1:12">
      <c r="A68" s="258"/>
      <c r="B68" s="13" t="s">
        <v>60</v>
      </c>
      <c r="C68" s="13" t="s">
        <v>213</v>
      </c>
      <c r="D68" s="13" t="s">
        <v>513</v>
      </c>
      <c r="E68" s="13" t="s">
        <v>111</v>
      </c>
      <c r="F68" s="13">
        <v>1</v>
      </c>
      <c r="G68" s="13" t="s">
        <v>684</v>
      </c>
      <c r="H68" s="13">
        <f t="shared" si="5"/>
        <v>1</v>
      </c>
      <c r="I68" s="130">
        <v>1903</v>
      </c>
      <c r="J68" s="130">
        <f t="shared" si="1"/>
        <v>1903</v>
      </c>
      <c r="K68" s="16"/>
    </row>
    <row r="69" spans="1:12" ht="17.5" thickBot="1">
      <c r="A69" s="258"/>
      <c r="B69" s="13" t="s">
        <v>60</v>
      </c>
      <c r="C69" s="13" t="s">
        <v>213</v>
      </c>
      <c r="D69" s="13" t="s">
        <v>121</v>
      </c>
      <c r="E69" s="13" t="s">
        <v>121</v>
      </c>
      <c r="F69" s="13">
        <v>1</v>
      </c>
      <c r="G69" s="13" t="s">
        <v>235</v>
      </c>
      <c r="H69" s="13">
        <f t="shared" si="5"/>
        <v>1</v>
      </c>
      <c r="I69" s="130">
        <f>(36*2700)+200000</f>
        <v>297200</v>
      </c>
      <c r="J69" s="130">
        <f t="shared" si="1"/>
        <v>297200</v>
      </c>
      <c r="K69" s="16"/>
    </row>
    <row r="70" spans="1:12" ht="21.5" thickBot="1">
      <c r="A70" s="259"/>
      <c r="B70" s="9" t="s">
        <v>60</v>
      </c>
      <c r="C70" s="9" t="s">
        <v>213</v>
      </c>
      <c r="D70" s="9" t="s">
        <v>113</v>
      </c>
      <c r="E70" s="9" t="s">
        <v>113</v>
      </c>
      <c r="F70" s="9">
        <v>1</v>
      </c>
      <c r="G70" s="9" t="s">
        <v>240</v>
      </c>
      <c r="H70" s="9">
        <f t="shared" si="5"/>
        <v>1</v>
      </c>
      <c r="I70" s="135">
        <v>13400</v>
      </c>
      <c r="J70" s="135">
        <f t="shared" si="1"/>
        <v>13400</v>
      </c>
      <c r="K70" s="14"/>
      <c r="L70" s="106">
        <f>SUM(J62:J70)</f>
        <v>787903</v>
      </c>
    </row>
    <row r="71" spans="1:12">
      <c r="A71" s="274">
        <v>6</v>
      </c>
      <c r="B71" s="10" t="s">
        <v>59</v>
      </c>
      <c r="C71" s="10" t="s">
        <v>214</v>
      </c>
      <c r="D71" s="10" t="s">
        <v>552</v>
      </c>
      <c r="E71" s="10" t="s">
        <v>522</v>
      </c>
      <c r="F71" s="10">
        <v>2</v>
      </c>
      <c r="G71" s="10" t="s">
        <v>560</v>
      </c>
      <c r="H71" s="10">
        <f>$G$9*F71</f>
        <v>2</v>
      </c>
      <c r="I71" s="134">
        <v>63000</v>
      </c>
      <c r="J71" s="134">
        <f t="shared" si="1"/>
        <v>126000</v>
      </c>
      <c r="K71" s="17"/>
    </row>
    <row r="72" spans="1:12">
      <c r="A72" s="258"/>
      <c r="B72" s="13" t="s">
        <v>59</v>
      </c>
      <c r="C72" s="13" t="s">
        <v>214</v>
      </c>
      <c r="D72" s="13" t="s">
        <v>496</v>
      </c>
      <c r="E72" s="13" t="s">
        <v>119</v>
      </c>
      <c r="F72" s="13">
        <v>1</v>
      </c>
      <c r="G72" s="13" t="s">
        <v>233</v>
      </c>
      <c r="H72" s="13">
        <f t="shared" ref="H72:H80" si="6">$G$9*F72</f>
        <v>1</v>
      </c>
      <c r="I72" s="130">
        <v>450000</v>
      </c>
      <c r="J72" s="130">
        <f t="shared" si="1"/>
        <v>450000</v>
      </c>
      <c r="K72" s="16" t="s">
        <v>238</v>
      </c>
    </row>
    <row r="73" spans="1:12">
      <c r="A73" s="258"/>
      <c r="B73" s="13" t="s">
        <v>59</v>
      </c>
      <c r="C73" s="13" t="s">
        <v>214</v>
      </c>
      <c r="D73" s="13" t="s">
        <v>491</v>
      </c>
      <c r="E73" s="13" t="s">
        <v>107</v>
      </c>
      <c r="F73" s="13">
        <v>40</v>
      </c>
      <c r="G73" s="13" t="s">
        <v>251</v>
      </c>
      <c r="H73" s="13">
        <f t="shared" si="6"/>
        <v>40</v>
      </c>
      <c r="I73" s="130">
        <v>460</v>
      </c>
      <c r="J73" s="130">
        <f t="shared" si="1"/>
        <v>18400</v>
      </c>
      <c r="K73" s="16"/>
    </row>
    <row r="74" spans="1:12">
      <c r="A74" s="258"/>
      <c r="B74" s="13" t="s">
        <v>59</v>
      </c>
      <c r="C74" s="13" t="s">
        <v>214</v>
      </c>
      <c r="D74" s="13" t="s">
        <v>500</v>
      </c>
      <c r="E74" s="13" t="s">
        <v>660</v>
      </c>
      <c r="F74" s="13">
        <v>1</v>
      </c>
      <c r="G74" s="13" t="s">
        <v>233</v>
      </c>
      <c r="H74" s="13">
        <f t="shared" si="6"/>
        <v>1</v>
      </c>
      <c r="I74" s="13"/>
      <c r="J74" s="13">
        <f t="shared" si="1"/>
        <v>0</v>
      </c>
      <c r="K74" s="16"/>
    </row>
    <row r="75" spans="1:12">
      <c r="A75" s="258"/>
      <c r="B75" s="13" t="s">
        <v>59</v>
      </c>
      <c r="C75" s="13" t="s">
        <v>214</v>
      </c>
      <c r="D75" s="13" t="s">
        <v>506</v>
      </c>
      <c r="E75" s="13" t="s">
        <v>120</v>
      </c>
      <c r="F75" s="13">
        <v>1</v>
      </c>
      <c r="G75" s="13" t="s">
        <v>233</v>
      </c>
      <c r="H75" s="13">
        <f t="shared" si="6"/>
        <v>1</v>
      </c>
      <c r="I75" s="13"/>
      <c r="J75" s="13">
        <f t="shared" si="1"/>
        <v>0</v>
      </c>
      <c r="K75" s="16"/>
    </row>
    <row r="76" spans="1:12">
      <c r="A76" s="258"/>
      <c r="B76" s="13" t="s">
        <v>59</v>
      </c>
      <c r="C76" s="13" t="s">
        <v>214</v>
      </c>
      <c r="D76" s="13" t="s">
        <v>508</v>
      </c>
      <c r="E76" s="13" t="s">
        <v>110</v>
      </c>
      <c r="F76" s="13">
        <v>1</v>
      </c>
      <c r="G76" s="13" t="s">
        <v>975</v>
      </c>
      <c r="H76" s="13">
        <f t="shared" si="6"/>
        <v>1</v>
      </c>
      <c r="I76" s="130">
        <v>2400</v>
      </c>
      <c r="J76" s="130">
        <f t="shared" si="1"/>
        <v>2400</v>
      </c>
      <c r="K76" s="16"/>
    </row>
    <row r="77" spans="1:12">
      <c r="A77" s="258"/>
      <c r="B77" s="13" t="s">
        <v>59</v>
      </c>
      <c r="C77" s="13" t="s">
        <v>214</v>
      </c>
      <c r="D77" s="13" t="s">
        <v>511</v>
      </c>
      <c r="E77" s="13" t="s">
        <v>973</v>
      </c>
      <c r="F77" s="13">
        <v>1</v>
      </c>
      <c r="G77" s="13" t="s">
        <v>233</v>
      </c>
      <c r="H77" s="13">
        <f t="shared" si="6"/>
        <v>1</v>
      </c>
      <c r="I77" s="13"/>
      <c r="J77" s="13">
        <f t="shared" si="1"/>
        <v>0</v>
      </c>
      <c r="K77" s="16"/>
    </row>
    <row r="78" spans="1:12">
      <c r="A78" s="258"/>
      <c r="B78" s="13" t="s">
        <v>59</v>
      </c>
      <c r="C78" s="13" t="s">
        <v>214</v>
      </c>
      <c r="D78" s="13" t="s">
        <v>513</v>
      </c>
      <c r="E78" s="13" t="s">
        <v>111</v>
      </c>
      <c r="F78" s="13">
        <v>1</v>
      </c>
      <c r="G78" s="13" t="s">
        <v>684</v>
      </c>
      <c r="H78" s="13">
        <f t="shared" si="6"/>
        <v>1</v>
      </c>
      <c r="I78" s="130">
        <v>1903</v>
      </c>
      <c r="J78" s="130">
        <f t="shared" si="1"/>
        <v>1903</v>
      </c>
      <c r="K78" s="16"/>
    </row>
    <row r="79" spans="1:12" ht="17.5" thickBot="1">
      <c r="A79" s="258"/>
      <c r="B79" s="13" t="s">
        <v>59</v>
      </c>
      <c r="C79" s="13" t="s">
        <v>214</v>
      </c>
      <c r="D79" s="13" t="s">
        <v>618</v>
      </c>
      <c r="E79" s="13" t="s">
        <v>618</v>
      </c>
      <c r="F79" s="13">
        <v>1</v>
      </c>
      <c r="G79" s="13" t="s">
        <v>235</v>
      </c>
      <c r="H79" s="13">
        <f t="shared" si="6"/>
        <v>1</v>
      </c>
      <c r="I79" s="130">
        <f>(48*2700)+200000</f>
        <v>329600</v>
      </c>
      <c r="J79" s="130">
        <f t="shared" si="1"/>
        <v>329600</v>
      </c>
      <c r="K79" s="16"/>
    </row>
    <row r="80" spans="1:12" ht="21.5" thickBot="1">
      <c r="A80" s="297"/>
      <c r="B80" s="15" t="s">
        <v>59</v>
      </c>
      <c r="C80" s="15" t="s">
        <v>214</v>
      </c>
      <c r="D80" s="15" t="s">
        <v>113</v>
      </c>
      <c r="E80" s="15" t="s">
        <v>602</v>
      </c>
      <c r="F80" s="15">
        <v>1</v>
      </c>
      <c r="G80" s="15" t="s">
        <v>240</v>
      </c>
      <c r="H80" s="15">
        <f t="shared" si="6"/>
        <v>1</v>
      </c>
      <c r="I80" s="136">
        <v>13400</v>
      </c>
      <c r="J80" s="136">
        <f t="shared" si="1"/>
        <v>13400</v>
      </c>
      <c r="K80" s="22"/>
      <c r="L80" s="106">
        <f>SUM(J71:J80)</f>
        <v>941703</v>
      </c>
    </row>
    <row r="81" spans="1:12">
      <c r="A81" s="257">
        <v>7</v>
      </c>
      <c r="B81" s="11" t="s">
        <v>59</v>
      </c>
      <c r="C81" s="11" t="s">
        <v>215</v>
      </c>
      <c r="D81" s="11" t="s">
        <v>105</v>
      </c>
      <c r="E81" s="11" t="s">
        <v>522</v>
      </c>
      <c r="F81" s="11">
        <v>2</v>
      </c>
      <c r="G81" s="11" t="s">
        <v>560</v>
      </c>
      <c r="H81" s="11">
        <f>$G$10*F81</f>
        <v>2</v>
      </c>
      <c r="I81" s="103">
        <v>63000</v>
      </c>
      <c r="J81" s="103">
        <f t="shared" si="1"/>
        <v>126000</v>
      </c>
      <c r="K81" s="12"/>
    </row>
    <row r="82" spans="1:12">
      <c r="A82" s="258"/>
      <c r="B82" s="13" t="s">
        <v>59</v>
      </c>
      <c r="C82" s="13" t="s">
        <v>215</v>
      </c>
      <c r="D82" s="13" t="s">
        <v>496</v>
      </c>
      <c r="E82" s="13" t="s">
        <v>119</v>
      </c>
      <c r="F82" s="13">
        <v>1</v>
      </c>
      <c r="G82" s="13" t="s">
        <v>233</v>
      </c>
      <c r="H82" s="13">
        <f t="shared" ref="H82:H90" si="7">$G$10*F82</f>
        <v>1</v>
      </c>
      <c r="I82" s="130">
        <v>450000</v>
      </c>
      <c r="J82" s="130">
        <f t="shared" si="1"/>
        <v>450000</v>
      </c>
      <c r="K82" s="16" t="s">
        <v>238</v>
      </c>
    </row>
    <row r="83" spans="1:12">
      <c r="A83" s="258"/>
      <c r="B83" s="13" t="s">
        <v>59</v>
      </c>
      <c r="C83" s="13" t="s">
        <v>215</v>
      </c>
      <c r="D83" s="13" t="s">
        <v>492</v>
      </c>
      <c r="E83" s="13" t="s">
        <v>114</v>
      </c>
      <c r="F83" s="13">
        <v>40</v>
      </c>
      <c r="G83" s="13" t="s">
        <v>251</v>
      </c>
      <c r="H83" s="13">
        <f t="shared" si="7"/>
        <v>40</v>
      </c>
      <c r="I83" s="130">
        <v>460</v>
      </c>
      <c r="J83" s="130">
        <f t="shared" si="1"/>
        <v>18400</v>
      </c>
      <c r="K83" s="16"/>
    </row>
    <row r="84" spans="1:12">
      <c r="A84" s="258"/>
      <c r="B84" s="13" t="s">
        <v>59</v>
      </c>
      <c r="C84" s="13" t="s">
        <v>215</v>
      </c>
      <c r="D84" s="13" t="s">
        <v>500</v>
      </c>
      <c r="E84" s="13" t="s">
        <v>108</v>
      </c>
      <c r="F84" s="13">
        <v>1</v>
      </c>
      <c r="G84" s="13" t="s">
        <v>233</v>
      </c>
      <c r="H84" s="13">
        <f t="shared" si="7"/>
        <v>1</v>
      </c>
      <c r="I84" s="13"/>
      <c r="J84" s="13">
        <f t="shared" si="1"/>
        <v>0</v>
      </c>
      <c r="K84" s="16"/>
    </row>
    <row r="85" spans="1:12">
      <c r="A85" s="258"/>
      <c r="B85" s="13" t="s">
        <v>59</v>
      </c>
      <c r="C85" s="13" t="s">
        <v>215</v>
      </c>
      <c r="D85" s="13" t="s">
        <v>506</v>
      </c>
      <c r="E85" s="13" t="s">
        <v>120</v>
      </c>
      <c r="F85" s="13">
        <v>1</v>
      </c>
      <c r="G85" s="13" t="s">
        <v>233</v>
      </c>
      <c r="H85" s="13">
        <f t="shared" si="7"/>
        <v>1</v>
      </c>
      <c r="I85" s="13"/>
      <c r="J85" s="13">
        <f t="shared" si="1"/>
        <v>0</v>
      </c>
      <c r="K85" s="16"/>
    </row>
    <row r="86" spans="1:12">
      <c r="A86" s="258"/>
      <c r="B86" s="13" t="s">
        <v>59</v>
      </c>
      <c r="C86" s="13" t="s">
        <v>215</v>
      </c>
      <c r="D86" s="13" t="s">
        <v>508</v>
      </c>
      <c r="E86" s="13" t="s">
        <v>110</v>
      </c>
      <c r="F86" s="13">
        <v>1</v>
      </c>
      <c r="G86" s="13" t="s">
        <v>975</v>
      </c>
      <c r="H86" s="13">
        <f t="shared" si="7"/>
        <v>1</v>
      </c>
      <c r="I86" s="130">
        <v>2400</v>
      </c>
      <c r="J86" s="130">
        <f t="shared" si="1"/>
        <v>2400</v>
      </c>
      <c r="K86" s="16"/>
    </row>
    <row r="87" spans="1:12">
      <c r="A87" s="258"/>
      <c r="B87" s="13" t="s">
        <v>59</v>
      </c>
      <c r="C87" s="13" t="s">
        <v>215</v>
      </c>
      <c r="D87" s="13" t="s">
        <v>511</v>
      </c>
      <c r="E87" s="13" t="s">
        <v>973</v>
      </c>
      <c r="F87" s="13">
        <v>1</v>
      </c>
      <c r="G87" s="13" t="s">
        <v>233</v>
      </c>
      <c r="H87" s="13">
        <f t="shared" si="7"/>
        <v>1</v>
      </c>
      <c r="I87" s="13"/>
      <c r="J87" s="13">
        <f t="shared" ref="J87:J147" si="8">H87*I87</f>
        <v>0</v>
      </c>
      <c r="K87" s="16"/>
    </row>
    <row r="88" spans="1:12">
      <c r="A88" s="258"/>
      <c r="B88" s="13" t="s">
        <v>59</v>
      </c>
      <c r="C88" s="13" t="s">
        <v>215</v>
      </c>
      <c r="D88" s="13" t="s">
        <v>513</v>
      </c>
      <c r="E88" s="13" t="s">
        <v>572</v>
      </c>
      <c r="F88" s="13">
        <v>1</v>
      </c>
      <c r="G88" s="13" t="s">
        <v>684</v>
      </c>
      <c r="H88" s="13">
        <f t="shared" si="7"/>
        <v>1</v>
      </c>
      <c r="I88" s="130">
        <v>1903</v>
      </c>
      <c r="J88" s="130">
        <f t="shared" si="8"/>
        <v>1903</v>
      </c>
      <c r="K88" s="16"/>
    </row>
    <row r="89" spans="1:12" ht="17.5" thickBot="1">
      <c r="A89" s="258"/>
      <c r="B89" s="13" t="s">
        <v>59</v>
      </c>
      <c r="C89" s="13" t="s">
        <v>215</v>
      </c>
      <c r="D89" s="13" t="s">
        <v>618</v>
      </c>
      <c r="E89" s="13" t="s">
        <v>618</v>
      </c>
      <c r="F89" s="13">
        <v>1</v>
      </c>
      <c r="G89" s="13" t="s">
        <v>235</v>
      </c>
      <c r="H89" s="13">
        <f t="shared" si="7"/>
        <v>1</v>
      </c>
      <c r="I89" s="130">
        <f>(48*2700)+200000</f>
        <v>329600</v>
      </c>
      <c r="J89" s="130">
        <f t="shared" si="8"/>
        <v>329600</v>
      </c>
      <c r="K89" s="16"/>
    </row>
    <row r="90" spans="1:12" ht="21.5" thickBot="1">
      <c r="A90" s="259"/>
      <c r="B90" s="9" t="s">
        <v>59</v>
      </c>
      <c r="C90" s="9" t="s">
        <v>215</v>
      </c>
      <c r="D90" s="9" t="s">
        <v>113</v>
      </c>
      <c r="E90" s="9" t="s">
        <v>113</v>
      </c>
      <c r="F90" s="9">
        <v>1</v>
      </c>
      <c r="G90" s="9" t="s">
        <v>240</v>
      </c>
      <c r="H90" s="9">
        <f t="shared" si="7"/>
        <v>1</v>
      </c>
      <c r="I90" s="135">
        <v>13400</v>
      </c>
      <c r="J90" s="135">
        <f t="shared" si="8"/>
        <v>13400</v>
      </c>
      <c r="K90" s="14"/>
      <c r="L90" s="106">
        <f>SUM(J81:J90)</f>
        <v>941703</v>
      </c>
    </row>
    <row r="91" spans="1:12">
      <c r="A91" s="274">
        <v>8</v>
      </c>
      <c r="B91" s="10" t="s">
        <v>59</v>
      </c>
      <c r="C91" s="10" t="s">
        <v>216</v>
      </c>
      <c r="D91" s="10" t="s">
        <v>105</v>
      </c>
      <c r="E91" s="10" t="s">
        <v>522</v>
      </c>
      <c r="F91" s="10">
        <v>2</v>
      </c>
      <c r="G91" s="10" t="s">
        <v>560</v>
      </c>
      <c r="H91" s="10">
        <f>$G$11*F91</f>
        <v>2</v>
      </c>
      <c r="I91" s="134">
        <v>63000</v>
      </c>
      <c r="J91" s="134">
        <f t="shared" si="8"/>
        <v>126000</v>
      </c>
      <c r="K91" s="17"/>
    </row>
    <row r="92" spans="1:12">
      <c r="A92" s="258"/>
      <c r="B92" s="13" t="s">
        <v>59</v>
      </c>
      <c r="C92" s="13" t="s">
        <v>216</v>
      </c>
      <c r="D92" s="13" t="s">
        <v>496</v>
      </c>
      <c r="E92" s="13" t="s">
        <v>119</v>
      </c>
      <c r="F92" s="13">
        <v>1</v>
      </c>
      <c r="G92" s="13" t="s">
        <v>233</v>
      </c>
      <c r="H92" s="13">
        <f t="shared" ref="H92:H100" si="9">$G$11*F92</f>
        <v>1</v>
      </c>
      <c r="I92" s="130">
        <v>450000</v>
      </c>
      <c r="J92" s="130">
        <f t="shared" si="8"/>
        <v>450000</v>
      </c>
      <c r="K92" s="16" t="s">
        <v>238</v>
      </c>
    </row>
    <row r="93" spans="1:12">
      <c r="A93" s="258"/>
      <c r="B93" s="13" t="s">
        <v>59</v>
      </c>
      <c r="C93" s="13" t="s">
        <v>216</v>
      </c>
      <c r="D93" s="13" t="s">
        <v>493</v>
      </c>
      <c r="E93" s="13" t="s">
        <v>115</v>
      </c>
      <c r="F93" s="13">
        <v>40</v>
      </c>
      <c r="G93" s="13" t="s">
        <v>251</v>
      </c>
      <c r="H93" s="13">
        <f t="shared" si="9"/>
        <v>40</v>
      </c>
      <c r="I93" s="130">
        <v>460</v>
      </c>
      <c r="J93" s="130">
        <f t="shared" si="8"/>
        <v>18400</v>
      </c>
      <c r="K93" s="16"/>
    </row>
    <row r="94" spans="1:12">
      <c r="A94" s="258"/>
      <c r="B94" s="13" t="s">
        <v>59</v>
      </c>
      <c r="C94" s="13" t="s">
        <v>216</v>
      </c>
      <c r="D94" s="13" t="s">
        <v>500</v>
      </c>
      <c r="E94" s="13" t="s">
        <v>108</v>
      </c>
      <c r="F94" s="13">
        <v>1</v>
      </c>
      <c r="G94" s="13" t="s">
        <v>233</v>
      </c>
      <c r="H94" s="13">
        <f t="shared" si="9"/>
        <v>1</v>
      </c>
      <c r="I94" s="13"/>
      <c r="J94" s="13">
        <f t="shared" si="8"/>
        <v>0</v>
      </c>
      <c r="K94" s="16"/>
    </row>
    <row r="95" spans="1:12">
      <c r="A95" s="258"/>
      <c r="B95" s="13" t="s">
        <v>59</v>
      </c>
      <c r="C95" s="13" t="s">
        <v>216</v>
      </c>
      <c r="D95" s="13" t="s">
        <v>506</v>
      </c>
      <c r="E95" s="13" t="s">
        <v>120</v>
      </c>
      <c r="F95" s="13">
        <v>1</v>
      </c>
      <c r="G95" s="13" t="s">
        <v>233</v>
      </c>
      <c r="H95" s="13">
        <f t="shared" si="9"/>
        <v>1</v>
      </c>
      <c r="I95" s="13"/>
      <c r="J95" s="13">
        <f t="shared" si="8"/>
        <v>0</v>
      </c>
      <c r="K95" s="16"/>
    </row>
    <row r="96" spans="1:12">
      <c r="A96" s="258"/>
      <c r="B96" s="13" t="s">
        <v>59</v>
      </c>
      <c r="C96" s="13" t="s">
        <v>216</v>
      </c>
      <c r="D96" s="13" t="s">
        <v>508</v>
      </c>
      <c r="E96" s="13" t="s">
        <v>110</v>
      </c>
      <c r="F96" s="13">
        <v>1</v>
      </c>
      <c r="G96" s="13" t="s">
        <v>975</v>
      </c>
      <c r="H96" s="13">
        <f t="shared" si="9"/>
        <v>1</v>
      </c>
      <c r="I96" s="130">
        <v>2400</v>
      </c>
      <c r="J96" s="130">
        <f t="shared" si="8"/>
        <v>2400</v>
      </c>
      <c r="K96" s="16"/>
    </row>
    <row r="97" spans="1:12">
      <c r="A97" s="258"/>
      <c r="B97" s="13" t="s">
        <v>59</v>
      </c>
      <c r="C97" s="13" t="s">
        <v>216</v>
      </c>
      <c r="D97" s="13" t="s">
        <v>511</v>
      </c>
      <c r="E97" s="13" t="s">
        <v>622</v>
      </c>
      <c r="F97" s="13">
        <v>1</v>
      </c>
      <c r="G97" s="13" t="s">
        <v>233</v>
      </c>
      <c r="H97" s="13">
        <f t="shared" si="9"/>
        <v>1</v>
      </c>
      <c r="I97" s="13"/>
      <c r="J97" s="13">
        <f t="shared" si="8"/>
        <v>0</v>
      </c>
      <c r="K97" s="16"/>
    </row>
    <row r="98" spans="1:12">
      <c r="A98" s="258"/>
      <c r="B98" s="13" t="s">
        <v>59</v>
      </c>
      <c r="C98" s="13" t="s">
        <v>216</v>
      </c>
      <c r="D98" s="13" t="s">
        <v>513</v>
      </c>
      <c r="E98" s="13" t="s">
        <v>111</v>
      </c>
      <c r="F98" s="13">
        <v>1</v>
      </c>
      <c r="G98" s="13" t="s">
        <v>684</v>
      </c>
      <c r="H98" s="13">
        <f t="shared" si="9"/>
        <v>1</v>
      </c>
      <c r="I98" s="130">
        <v>1903</v>
      </c>
      <c r="J98" s="130">
        <f t="shared" si="8"/>
        <v>1903</v>
      </c>
      <c r="K98" s="16"/>
    </row>
    <row r="99" spans="1:12" ht="17.5" thickBot="1">
      <c r="A99" s="258"/>
      <c r="B99" s="13" t="s">
        <v>59</v>
      </c>
      <c r="C99" s="13" t="s">
        <v>216</v>
      </c>
      <c r="D99" s="13" t="s">
        <v>618</v>
      </c>
      <c r="E99" s="13" t="s">
        <v>618</v>
      </c>
      <c r="F99" s="13">
        <v>1</v>
      </c>
      <c r="G99" s="13" t="s">
        <v>235</v>
      </c>
      <c r="H99" s="13">
        <f t="shared" si="9"/>
        <v>1</v>
      </c>
      <c r="I99" s="130">
        <f>(48*2700)+200000</f>
        <v>329600</v>
      </c>
      <c r="J99" s="130">
        <f t="shared" si="8"/>
        <v>329600</v>
      </c>
      <c r="K99" s="16"/>
    </row>
    <row r="100" spans="1:12" ht="21.5" thickBot="1">
      <c r="A100" s="297"/>
      <c r="B100" s="15" t="s">
        <v>59</v>
      </c>
      <c r="C100" s="15" t="s">
        <v>216</v>
      </c>
      <c r="D100" s="15" t="s">
        <v>113</v>
      </c>
      <c r="E100" s="15" t="s">
        <v>113</v>
      </c>
      <c r="F100" s="15">
        <v>1</v>
      </c>
      <c r="G100" s="15" t="s">
        <v>240</v>
      </c>
      <c r="H100" s="15">
        <f t="shared" si="9"/>
        <v>1</v>
      </c>
      <c r="I100" s="136">
        <v>13400</v>
      </c>
      <c r="J100" s="136">
        <f t="shared" si="8"/>
        <v>13400</v>
      </c>
      <c r="K100" s="22"/>
      <c r="L100" s="106">
        <f>SUM(J91:J100)</f>
        <v>941703</v>
      </c>
    </row>
    <row r="101" spans="1:12">
      <c r="A101" s="257">
        <v>9</v>
      </c>
      <c r="B101" s="11" t="s">
        <v>59</v>
      </c>
      <c r="C101" s="11" t="s">
        <v>217</v>
      </c>
      <c r="D101" s="11" t="s">
        <v>105</v>
      </c>
      <c r="E101" s="11" t="s">
        <v>522</v>
      </c>
      <c r="F101" s="11">
        <v>2</v>
      </c>
      <c r="G101" s="11" t="s">
        <v>560</v>
      </c>
      <c r="H101" s="11">
        <f>$G$12*F101</f>
        <v>2</v>
      </c>
      <c r="I101" s="103">
        <v>63000</v>
      </c>
      <c r="J101" s="103">
        <f t="shared" si="8"/>
        <v>126000</v>
      </c>
      <c r="K101" s="12"/>
    </row>
    <row r="102" spans="1:12">
      <c r="A102" s="258"/>
      <c r="B102" s="13" t="s">
        <v>59</v>
      </c>
      <c r="C102" s="13" t="s">
        <v>217</v>
      </c>
      <c r="D102" s="13" t="s">
        <v>496</v>
      </c>
      <c r="E102" s="13" t="s">
        <v>119</v>
      </c>
      <c r="F102" s="13">
        <v>1</v>
      </c>
      <c r="G102" s="13" t="s">
        <v>233</v>
      </c>
      <c r="H102" s="13">
        <f t="shared" ref="H102:H110" si="10">$G$12*F102</f>
        <v>1</v>
      </c>
      <c r="I102" s="130">
        <v>450000</v>
      </c>
      <c r="J102" s="130">
        <f t="shared" si="8"/>
        <v>450000</v>
      </c>
      <c r="K102" s="16" t="s">
        <v>238</v>
      </c>
    </row>
    <row r="103" spans="1:12">
      <c r="A103" s="258"/>
      <c r="B103" s="13" t="s">
        <v>59</v>
      </c>
      <c r="C103" s="13" t="s">
        <v>217</v>
      </c>
      <c r="D103" s="13" t="s">
        <v>494</v>
      </c>
      <c r="E103" s="13" t="s">
        <v>116</v>
      </c>
      <c r="F103" s="13">
        <v>40</v>
      </c>
      <c r="G103" s="13" t="s">
        <v>251</v>
      </c>
      <c r="H103" s="13">
        <f t="shared" si="10"/>
        <v>40</v>
      </c>
      <c r="I103" s="130">
        <v>460</v>
      </c>
      <c r="J103" s="130">
        <f t="shared" si="8"/>
        <v>18400</v>
      </c>
      <c r="K103" s="16"/>
    </row>
    <row r="104" spans="1:12">
      <c r="A104" s="258"/>
      <c r="B104" s="13" t="s">
        <v>59</v>
      </c>
      <c r="C104" s="13" t="s">
        <v>217</v>
      </c>
      <c r="D104" s="13" t="s">
        <v>500</v>
      </c>
      <c r="E104" s="13" t="s">
        <v>108</v>
      </c>
      <c r="F104" s="13">
        <v>1</v>
      </c>
      <c r="G104" s="13" t="s">
        <v>233</v>
      </c>
      <c r="H104" s="13">
        <f t="shared" si="10"/>
        <v>1</v>
      </c>
      <c r="I104" s="13"/>
      <c r="J104" s="13">
        <f t="shared" si="8"/>
        <v>0</v>
      </c>
      <c r="K104" s="16"/>
    </row>
    <row r="105" spans="1:12">
      <c r="A105" s="258"/>
      <c r="B105" s="13" t="s">
        <v>59</v>
      </c>
      <c r="C105" s="13" t="s">
        <v>217</v>
      </c>
      <c r="D105" s="13" t="s">
        <v>506</v>
      </c>
      <c r="E105" s="13" t="s">
        <v>120</v>
      </c>
      <c r="F105" s="13">
        <v>1</v>
      </c>
      <c r="G105" s="13" t="s">
        <v>233</v>
      </c>
      <c r="H105" s="13">
        <f t="shared" si="10"/>
        <v>1</v>
      </c>
      <c r="I105" s="13"/>
      <c r="J105" s="13">
        <f t="shared" si="8"/>
        <v>0</v>
      </c>
      <c r="K105" s="16"/>
    </row>
    <row r="106" spans="1:12">
      <c r="A106" s="258"/>
      <c r="B106" s="13" t="s">
        <v>59</v>
      </c>
      <c r="C106" s="13" t="s">
        <v>217</v>
      </c>
      <c r="D106" s="13" t="s">
        <v>508</v>
      </c>
      <c r="E106" s="13" t="s">
        <v>110</v>
      </c>
      <c r="F106" s="13">
        <v>1</v>
      </c>
      <c r="G106" s="13" t="s">
        <v>975</v>
      </c>
      <c r="H106" s="13">
        <f t="shared" si="10"/>
        <v>1</v>
      </c>
      <c r="I106" s="130">
        <v>2400</v>
      </c>
      <c r="J106" s="130">
        <f t="shared" si="8"/>
        <v>2400</v>
      </c>
      <c r="K106" s="16"/>
    </row>
    <row r="107" spans="1:12">
      <c r="A107" s="258"/>
      <c r="B107" s="13" t="s">
        <v>59</v>
      </c>
      <c r="C107" s="13" t="s">
        <v>217</v>
      </c>
      <c r="D107" s="13" t="s">
        <v>511</v>
      </c>
      <c r="E107" s="13" t="s">
        <v>973</v>
      </c>
      <c r="F107" s="13">
        <v>1</v>
      </c>
      <c r="G107" s="13" t="s">
        <v>233</v>
      </c>
      <c r="H107" s="13">
        <f t="shared" si="10"/>
        <v>1</v>
      </c>
      <c r="I107" s="13"/>
      <c r="J107" s="13">
        <f t="shared" si="8"/>
        <v>0</v>
      </c>
      <c r="K107" s="16"/>
    </row>
    <row r="108" spans="1:12">
      <c r="A108" s="258"/>
      <c r="B108" s="13" t="s">
        <v>59</v>
      </c>
      <c r="C108" s="13" t="s">
        <v>217</v>
      </c>
      <c r="D108" s="13" t="s">
        <v>513</v>
      </c>
      <c r="E108" s="13" t="s">
        <v>111</v>
      </c>
      <c r="F108" s="13">
        <v>1</v>
      </c>
      <c r="G108" s="13" t="s">
        <v>684</v>
      </c>
      <c r="H108" s="13">
        <f t="shared" si="10"/>
        <v>1</v>
      </c>
      <c r="I108" s="130">
        <v>1903</v>
      </c>
      <c r="J108" s="130">
        <f t="shared" si="8"/>
        <v>1903</v>
      </c>
      <c r="K108" s="16"/>
    </row>
    <row r="109" spans="1:12" ht="17.5" thickBot="1">
      <c r="A109" s="258"/>
      <c r="B109" s="13" t="s">
        <v>59</v>
      </c>
      <c r="C109" s="13" t="s">
        <v>217</v>
      </c>
      <c r="D109" s="13" t="s">
        <v>618</v>
      </c>
      <c r="E109" s="13" t="s">
        <v>618</v>
      </c>
      <c r="F109" s="13">
        <v>1</v>
      </c>
      <c r="G109" s="13" t="s">
        <v>235</v>
      </c>
      <c r="H109" s="13">
        <f t="shared" si="10"/>
        <v>1</v>
      </c>
      <c r="I109" s="130">
        <f>(48*2700)+200000</f>
        <v>329600</v>
      </c>
      <c r="J109" s="130">
        <f t="shared" si="8"/>
        <v>329600</v>
      </c>
      <c r="K109" s="16"/>
    </row>
    <row r="110" spans="1:12" ht="21.5" thickBot="1">
      <c r="A110" s="259"/>
      <c r="B110" s="9" t="s">
        <v>59</v>
      </c>
      <c r="C110" s="9" t="s">
        <v>217</v>
      </c>
      <c r="D110" s="9" t="s">
        <v>113</v>
      </c>
      <c r="E110" s="9" t="s">
        <v>113</v>
      </c>
      <c r="F110" s="9">
        <v>1</v>
      </c>
      <c r="G110" s="9" t="s">
        <v>240</v>
      </c>
      <c r="H110" s="9">
        <f t="shared" si="10"/>
        <v>1</v>
      </c>
      <c r="I110" s="135">
        <v>13400</v>
      </c>
      <c r="J110" s="135">
        <f t="shared" si="8"/>
        <v>13400</v>
      </c>
      <c r="K110" s="14"/>
      <c r="L110" s="106">
        <f>SUM(J101:J110)</f>
        <v>941703</v>
      </c>
    </row>
    <row r="111" spans="1:12">
      <c r="A111" s="274">
        <v>10</v>
      </c>
      <c r="B111" s="10" t="s">
        <v>59</v>
      </c>
      <c r="C111" s="10" t="s">
        <v>218</v>
      </c>
      <c r="D111" s="10" t="s">
        <v>105</v>
      </c>
      <c r="E111" s="10" t="s">
        <v>522</v>
      </c>
      <c r="F111" s="10">
        <v>2</v>
      </c>
      <c r="G111" s="10" t="s">
        <v>560</v>
      </c>
      <c r="H111" s="10">
        <f>$G$13*F111</f>
        <v>2</v>
      </c>
      <c r="I111" s="134">
        <v>63000</v>
      </c>
      <c r="J111" s="134">
        <f t="shared" si="8"/>
        <v>126000</v>
      </c>
      <c r="K111" s="17"/>
    </row>
    <row r="112" spans="1:12">
      <c r="A112" s="258"/>
      <c r="B112" s="13" t="s">
        <v>59</v>
      </c>
      <c r="C112" s="13" t="s">
        <v>218</v>
      </c>
      <c r="D112" s="13" t="s">
        <v>496</v>
      </c>
      <c r="E112" s="13" t="s">
        <v>119</v>
      </c>
      <c r="F112" s="13">
        <v>1</v>
      </c>
      <c r="G112" s="13" t="s">
        <v>233</v>
      </c>
      <c r="H112" s="13">
        <f t="shared" ref="H112:H119" si="11">$G$13*F112</f>
        <v>1</v>
      </c>
      <c r="I112" s="130">
        <v>450000</v>
      </c>
      <c r="J112" s="130">
        <f t="shared" si="8"/>
        <v>450000</v>
      </c>
      <c r="K112" s="16" t="s">
        <v>238</v>
      </c>
    </row>
    <row r="113" spans="1:12">
      <c r="A113" s="258"/>
      <c r="B113" s="13" t="s">
        <v>59</v>
      </c>
      <c r="C113" s="13" t="s">
        <v>218</v>
      </c>
      <c r="D113" s="13" t="s">
        <v>500</v>
      </c>
      <c r="E113" s="13" t="s">
        <v>108</v>
      </c>
      <c r="F113" s="13">
        <v>1</v>
      </c>
      <c r="G113" s="13" t="s">
        <v>233</v>
      </c>
      <c r="H113" s="13">
        <f t="shared" si="11"/>
        <v>1</v>
      </c>
      <c r="I113" s="13"/>
      <c r="J113" s="13">
        <f t="shared" si="8"/>
        <v>0</v>
      </c>
      <c r="K113" s="16"/>
    </row>
    <row r="114" spans="1:12">
      <c r="A114" s="258"/>
      <c r="B114" s="13" t="s">
        <v>59</v>
      </c>
      <c r="C114" s="13" t="s">
        <v>218</v>
      </c>
      <c r="D114" s="13" t="s">
        <v>506</v>
      </c>
      <c r="E114" s="13" t="s">
        <v>120</v>
      </c>
      <c r="F114" s="13">
        <v>1</v>
      </c>
      <c r="G114" s="13" t="s">
        <v>233</v>
      </c>
      <c r="H114" s="13">
        <f t="shared" si="11"/>
        <v>1</v>
      </c>
      <c r="I114" s="13"/>
      <c r="J114" s="13">
        <f t="shared" si="8"/>
        <v>0</v>
      </c>
      <c r="K114" s="16"/>
    </row>
    <row r="115" spans="1:12">
      <c r="A115" s="258"/>
      <c r="B115" s="13" t="s">
        <v>59</v>
      </c>
      <c r="C115" s="13" t="s">
        <v>218</v>
      </c>
      <c r="D115" s="13" t="s">
        <v>508</v>
      </c>
      <c r="E115" s="13" t="s">
        <v>110</v>
      </c>
      <c r="F115" s="13">
        <v>1</v>
      </c>
      <c r="G115" s="13" t="s">
        <v>975</v>
      </c>
      <c r="H115" s="13">
        <f t="shared" si="11"/>
        <v>1</v>
      </c>
      <c r="I115" s="130">
        <v>2400</v>
      </c>
      <c r="J115" s="130">
        <f t="shared" si="8"/>
        <v>2400</v>
      </c>
      <c r="K115" s="16"/>
    </row>
    <row r="116" spans="1:12">
      <c r="A116" s="258"/>
      <c r="B116" s="13" t="s">
        <v>59</v>
      </c>
      <c r="C116" s="13" t="s">
        <v>218</v>
      </c>
      <c r="D116" s="13" t="s">
        <v>511</v>
      </c>
      <c r="E116" s="13" t="s">
        <v>973</v>
      </c>
      <c r="F116" s="13">
        <v>1</v>
      </c>
      <c r="G116" s="13" t="s">
        <v>233</v>
      </c>
      <c r="H116" s="13">
        <f t="shared" si="11"/>
        <v>1</v>
      </c>
      <c r="I116" s="13"/>
      <c r="J116" s="13">
        <f t="shared" si="8"/>
        <v>0</v>
      </c>
      <c r="K116" s="16"/>
    </row>
    <row r="117" spans="1:12">
      <c r="A117" s="258"/>
      <c r="B117" s="13" t="s">
        <v>59</v>
      </c>
      <c r="C117" s="13" t="s">
        <v>218</v>
      </c>
      <c r="D117" s="13" t="s">
        <v>513</v>
      </c>
      <c r="E117" s="13" t="s">
        <v>111</v>
      </c>
      <c r="F117" s="13">
        <v>1</v>
      </c>
      <c r="G117" s="13" t="s">
        <v>684</v>
      </c>
      <c r="H117" s="13">
        <f t="shared" si="11"/>
        <v>1</v>
      </c>
      <c r="I117" s="130">
        <v>1903</v>
      </c>
      <c r="J117" s="130">
        <f t="shared" si="8"/>
        <v>1903</v>
      </c>
      <c r="K117" s="16"/>
    </row>
    <row r="118" spans="1:12" ht="17.5" thickBot="1">
      <c r="A118" s="258"/>
      <c r="B118" s="13" t="s">
        <v>59</v>
      </c>
      <c r="C118" s="13" t="s">
        <v>218</v>
      </c>
      <c r="D118" s="13" t="s">
        <v>618</v>
      </c>
      <c r="E118" s="13" t="s">
        <v>618</v>
      </c>
      <c r="F118" s="13">
        <v>1</v>
      </c>
      <c r="G118" s="13" t="s">
        <v>235</v>
      </c>
      <c r="H118" s="13">
        <f t="shared" si="11"/>
        <v>1</v>
      </c>
      <c r="I118" s="130">
        <f>(48*2700)+200000</f>
        <v>329600</v>
      </c>
      <c r="J118" s="130">
        <f t="shared" si="8"/>
        <v>329600</v>
      </c>
      <c r="K118" s="16"/>
    </row>
    <row r="119" spans="1:12" ht="21.5" thickBot="1">
      <c r="A119" s="297"/>
      <c r="B119" s="15" t="s">
        <v>59</v>
      </c>
      <c r="C119" s="15" t="s">
        <v>218</v>
      </c>
      <c r="D119" s="15" t="s">
        <v>113</v>
      </c>
      <c r="E119" s="15" t="s">
        <v>113</v>
      </c>
      <c r="F119" s="15">
        <v>1</v>
      </c>
      <c r="G119" s="15" t="s">
        <v>240</v>
      </c>
      <c r="H119" s="15">
        <f t="shared" si="11"/>
        <v>1</v>
      </c>
      <c r="I119" s="136">
        <v>13400</v>
      </c>
      <c r="J119" s="136">
        <f t="shared" si="8"/>
        <v>13400</v>
      </c>
      <c r="K119" s="22"/>
      <c r="L119" s="106">
        <f>SUM(J111:J119)</f>
        <v>923303</v>
      </c>
    </row>
    <row r="120" spans="1:12">
      <c r="A120" s="257">
        <v>11</v>
      </c>
      <c r="B120" s="11" t="s">
        <v>66</v>
      </c>
      <c r="C120" s="11" t="s">
        <v>220</v>
      </c>
      <c r="D120" s="11" t="s">
        <v>118</v>
      </c>
      <c r="E120" s="11" t="s">
        <v>522</v>
      </c>
      <c r="F120" s="11">
        <v>2</v>
      </c>
      <c r="G120" s="11" t="s">
        <v>560</v>
      </c>
      <c r="H120" s="11">
        <f>$G$14*F120</f>
        <v>2</v>
      </c>
      <c r="I120" s="103">
        <v>88000</v>
      </c>
      <c r="J120" s="103">
        <f t="shared" si="8"/>
        <v>176000</v>
      </c>
      <c r="K120" s="12" t="s">
        <v>230</v>
      </c>
    </row>
    <row r="121" spans="1:12">
      <c r="A121" s="258"/>
      <c r="B121" s="13" t="s">
        <v>66</v>
      </c>
      <c r="C121" s="13" t="s">
        <v>220</v>
      </c>
      <c r="D121" s="13" t="s">
        <v>497</v>
      </c>
      <c r="E121" s="13" t="s">
        <v>123</v>
      </c>
      <c r="F121" s="13">
        <v>1</v>
      </c>
      <c r="G121" s="13" t="s">
        <v>233</v>
      </c>
      <c r="H121" s="13">
        <f t="shared" ref="H121:H129" si="12">$G$14*F121</f>
        <v>1</v>
      </c>
      <c r="I121" s="130">
        <v>548000</v>
      </c>
      <c r="J121" s="130">
        <f t="shared" si="8"/>
        <v>548000</v>
      </c>
      <c r="K121" s="16" t="s">
        <v>238</v>
      </c>
    </row>
    <row r="122" spans="1:12">
      <c r="A122" s="258"/>
      <c r="B122" s="13" t="s">
        <v>66</v>
      </c>
      <c r="C122" s="13" t="s">
        <v>220</v>
      </c>
      <c r="D122" s="13" t="s">
        <v>491</v>
      </c>
      <c r="E122" s="13" t="s">
        <v>107</v>
      </c>
      <c r="F122" s="13">
        <v>72</v>
      </c>
      <c r="G122" s="13" t="s">
        <v>251</v>
      </c>
      <c r="H122" s="13">
        <f t="shared" si="12"/>
        <v>72</v>
      </c>
      <c r="I122" s="130">
        <v>460</v>
      </c>
      <c r="J122" s="130">
        <f t="shared" si="8"/>
        <v>33120</v>
      </c>
      <c r="K122" s="16"/>
    </row>
    <row r="123" spans="1:12">
      <c r="A123" s="258"/>
      <c r="B123" s="13" t="s">
        <v>66</v>
      </c>
      <c r="C123" s="13" t="s">
        <v>220</v>
      </c>
      <c r="D123" s="13" t="s">
        <v>501</v>
      </c>
      <c r="E123" s="13" t="s">
        <v>124</v>
      </c>
      <c r="F123" s="13">
        <v>1</v>
      </c>
      <c r="G123" s="13" t="s">
        <v>233</v>
      </c>
      <c r="H123" s="13">
        <f>$G$14*F123</f>
        <v>1</v>
      </c>
      <c r="I123" s="13"/>
      <c r="J123" s="13">
        <f t="shared" si="8"/>
        <v>0</v>
      </c>
      <c r="K123" s="16" t="s">
        <v>232</v>
      </c>
    </row>
    <row r="124" spans="1:12">
      <c r="A124" s="258"/>
      <c r="B124" s="13" t="s">
        <v>66</v>
      </c>
      <c r="C124" s="13" t="s">
        <v>220</v>
      </c>
      <c r="D124" s="13" t="s">
        <v>504</v>
      </c>
      <c r="E124" s="13" t="s">
        <v>125</v>
      </c>
      <c r="F124" s="13">
        <v>1</v>
      </c>
      <c r="G124" s="13" t="s">
        <v>233</v>
      </c>
      <c r="H124" s="13">
        <f t="shared" si="12"/>
        <v>1</v>
      </c>
      <c r="I124" s="13"/>
      <c r="J124" s="13">
        <f t="shared" si="8"/>
        <v>0</v>
      </c>
      <c r="K124" s="16"/>
    </row>
    <row r="125" spans="1:12">
      <c r="A125" s="258"/>
      <c r="B125" s="13" t="s">
        <v>66</v>
      </c>
      <c r="C125" s="13" t="s">
        <v>220</v>
      </c>
      <c r="D125" s="13" t="s">
        <v>508</v>
      </c>
      <c r="E125" s="13" t="s">
        <v>110</v>
      </c>
      <c r="F125" s="13">
        <v>1</v>
      </c>
      <c r="G125" s="13" t="s">
        <v>975</v>
      </c>
      <c r="H125" s="13">
        <f t="shared" si="12"/>
        <v>1</v>
      </c>
      <c r="I125" s="130">
        <v>2400</v>
      </c>
      <c r="J125" s="130">
        <f t="shared" si="8"/>
        <v>2400</v>
      </c>
      <c r="K125" s="16"/>
    </row>
    <row r="126" spans="1:12">
      <c r="A126" s="258"/>
      <c r="B126" s="13" t="s">
        <v>66</v>
      </c>
      <c r="C126" s="13" t="s">
        <v>220</v>
      </c>
      <c r="D126" s="13" t="s">
        <v>511</v>
      </c>
      <c r="E126" s="13" t="s">
        <v>973</v>
      </c>
      <c r="F126" s="13">
        <v>1</v>
      </c>
      <c r="G126" s="13" t="s">
        <v>233</v>
      </c>
      <c r="H126" s="13">
        <f t="shared" si="12"/>
        <v>1</v>
      </c>
      <c r="I126" s="13"/>
      <c r="J126" s="13">
        <f t="shared" si="8"/>
        <v>0</v>
      </c>
      <c r="K126" s="16"/>
    </row>
    <row r="127" spans="1:12">
      <c r="A127" s="258"/>
      <c r="B127" s="13" t="s">
        <v>66</v>
      </c>
      <c r="C127" s="13" t="s">
        <v>220</v>
      </c>
      <c r="D127" s="13" t="s">
        <v>513</v>
      </c>
      <c r="E127" s="13" t="s">
        <v>111</v>
      </c>
      <c r="F127" s="13">
        <v>1</v>
      </c>
      <c r="G127" s="13" t="s">
        <v>684</v>
      </c>
      <c r="H127" s="13">
        <f t="shared" si="12"/>
        <v>1</v>
      </c>
      <c r="I127" s="130">
        <v>1903</v>
      </c>
      <c r="J127" s="130">
        <f t="shared" si="8"/>
        <v>1903</v>
      </c>
      <c r="K127" s="16"/>
    </row>
    <row r="128" spans="1:12" ht="17.5" thickBot="1">
      <c r="A128" s="258"/>
      <c r="B128" s="13" t="s">
        <v>66</v>
      </c>
      <c r="C128" s="13" t="s">
        <v>220</v>
      </c>
      <c r="D128" s="13" t="s">
        <v>128</v>
      </c>
      <c r="E128" s="13" t="s">
        <v>128</v>
      </c>
      <c r="F128" s="13">
        <v>2</v>
      </c>
      <c r="G128" s="13" t="s">
        <v>235</v>
      </c>
      <c r="H128" s="13">
        <f t="shared" si="12"/>
        <v>2</v>
      </c>
      <c r="I128" s="130">
        <f>(36*2700)+200000</f>
        <v>297200</v>
      </c>
      <c r="J128" s="130">
        <f t="shared" si="8"/>
        <v>594400</v>
      </c>
      <c r="K128" s="16" t="s">
        <v>231</v>
      </c>
    </row>
    <row r="129" spans="1:12" ht="21.5" thickBot="1">
      <c r="A129" s="259"/>
      <c r="B129" s="9" t="s">
        <v>66</v>
      </c>
      <c r="C129" s="9" t="s">
        <v>220</v>
      </c>
      <c r="D129" s="9" t="s">
        <v>113</v>
      </c>
      <c r="E129" s="9" t="s">
        <v>113</v>
      </c>
      <c r="F129" s="9">
        <v>1</v>
      </c>
      <c r="G129" s="9" t="s">
        <v>240</v>
      </c>
      <c r="H129" s="9">
        <f t="shared" si="12"/>
        <v>1</v>
      </c>
      <c r="I129" s="135">
        <v>13400</v>
      </c>
      <c r="J129" s="135">
        <f t="shared" si="8"/>
        <v>13400</v>
      </c>
      <c r="K129" s="14"/>
      <c r="L129" s="106">
        <f>SUM(J120:J129)</f>
        <v>1369223</v>
      </c>
    </row>
    <row r="130" spans="1:12">
      <c r="A130" s="274">
        <v>12</v>
      </c>
      <c r="B130" s="10" t="s">
        <v>66</v>
      </c>
      <c r="C130" s="10" t="s">
        <v>221</v>
      </c>
      <c r="D130" s="10" t="s">
        <v>118</v>
      </c>
      <c r="E130" s="10" t="s">
        <v>522</v>
      </c>
      <c r="F130" s="10">
        <v>2</v>
      </c>
      <c r="G130" s="10" t="s">
        <v>560</v>
      </c>
      <c r="H130" s="10">
        <f>$G$15*F130</f>
        <v>2</v>
      </c>
      <c r="I130" s="134">
        <v>88000</v>
      </c>
      <c r="J130" s="134">
        <f t="shared" si="8"/>
        <v>176000</v>
      </c>
      <c r="K130" s="17"/>
    </row>
    <row r="131" spans="1:12">
      <c r="A131" s="258"/>
      <c r="B131" s="13" t="s">
        <v>66</v>
      </c>
      <c r="C131" s="13" t="s">
        <v>221</v>
      </c>
      <c r="D131" s="13" t="s">
        <v>497</v>
      </c>
      <c r="E131" s="13" t="s">
        <v>123</v>
      </c>
      <c r="F131" s="13">
        <v>1</v>
      </c>
      <c r="G131" s="13" t="s">
        <v>233</v>
      </c>
      <c r="H131" s="13">
        <f t="shared" ref="H131:H139" si="13">$G$15*F131</f>
        <v>1</v>
      </c>
      <c r="I131" s="130">
        <v>548000</v>
      </c>
      <c r="J131" s="130">
        <f t="shared" si="8"/>
        <v>548000</v>
      </c>
      <c r="K131" s="16" t="s">
        <v>238</v>
      </c>
    </row>
    <row r="132" spans="1:12">
      <c r="A132" s="258"/>
      <c r="B132" s="13" t="s">
        <v>66</v>
      </c>
      <c r="C132" s="13" t="s">
        <v>221</v>
      </c>
      <c r="D132" s="13" t="s">
        <v>492</v>
      </c>
      <c r="E132" s="13" t="s">
        <v>114</v>
      </c>
      <c r="F132" s="13">
        <v>72</v>
      </c>
      <c r="G132" s="13" t="s">
        <v>251</v>
      </c>
      <c r="H132" s="13">
        <f t="shared" si="13"/>
        <v>72</v>
      </c>
      <c r="I132" s="130">
        <v>460</v>
      </c>
      <c r="J132" s="130">
        <f t="shared" si="8"/>
        <v>33120</v>
      </c>
      <c r="K132" s="16"/>
    </row>
    <row r="133" spans="1:12">
      <c r="A133" s="258"/>
      <c r="B133" s="13" t="s">
        <v>66</v>
      </c>
      <c r="C133" s="13" t="s">
        <v>221</v>
      </c>
      <c r="D133" s="13" t="s">
        <v>501</v>
      </c>
      <c r="E133" s="13" t="s">
        <v>124</v>
      </c>
      <c r="F133" s="13">
        <v>1</v>
      </c>
      <c r="G133" s="13" t="s">
        <v>233</v>
      </c>
      <c r="H133" s="13">
        <f t="shared" si="13"/>
        <v>1</v>
      </c>
      <c r="I133" s="13"/>
      <c r="J133" s="13">
        <f t="shared" si="8"/>
        <v>0</v>
      </c>
      <c r="K133" s="16" t="s">
        <v>232</v>
      </c>
    </row>
    <row r="134" spans="1:12">
      <c r="A134" s="258"/>
      <c r="B134" s="13" t="s">
        <v>66</v>
      </c>
      <c r="C134" s="13" t="s">
        <v>221</v>
      </c>
      <c r="D134" s="13" t="s">
        <v>504</v>
      </c>
      <c r="E134" s="13" t="s">
        <v>125</v>
      </c>
      <c r="F134" s="13">
        <v>1</v>
      </c>
      <c r="G134" s="13" t="s">
        <v>233</v>
      </c>
      <c r="H134" s="13">
        <f t="shared" si="13"/>
        <v>1</v>
      </c>
      <c r="I134" s="13"/>
      <c r="J134" s="13">
        <f t="shared" si="8"/>
        <v>0</v>
      </c>
      <c r="K134" s="16"/>
    </row>
    <row r="135" spans="1:12">
      <c r="A135" s="258"/>
      <c r="B135" s="13" t="s">
        <v>66</v>
      </c>
      <c r="C135" s="13" t="s">
        <v>221</v>
      </c>
      <c r="D135" s="13" t="s">
        <v>508</v>
      </c>
      <c r="E135" s="13" t="s">
        <v>110</v>
      </c>
      <c r="F135" s="13">
        <v>1</v>
      </c>
      <c r="G135" s="13" t="s">
        <v>975</v>
      </c>
      <c r="H135" s="13">
        <f t="shared" si="13"/>
        <v>1</v>
      </c>
      <c r="I135" s="130">
        <v>2400</v>
      </c>
      <c r="J135" s="130">
        <f t="shared" si="8"/>
        <v>2400</v>
      </c>
      <c r="K135" s="16"/>
    </row>
    <row r="136" spans="1:12">
      <c r="A136" s="258"/>
      <c r="B136" s="13" t="s">
        <v>66</v>
      </c>
      <c r="C136" s="13" t="s">
        <v>221</v>
      </c>
      <c r="D136" s="13" t="s">
        <v>511</v>
      </c>
      <c r="E136" s="13" t="s">
        <v>973</v>
      </c>
      <c r="F136" s="13">
        <v>1</v>
      </c>
      <c r="G136" s="13" t="s">
        <v>233</v>
      </c>
      <c r="H136" s="13">
        <f t="shared" si="13"/>
        <v>1</v>
      </c>
      <c r="I136" s="13"/>
      <c r="J136" s="13">
        <f t="shared" si="8"/>
        <v>0</v>
      </c>
      <c r="K136" s="16"/>
    </row>
    <row r="137" spans="1:12">
      <c r="A137" s="258"/>
      <c r="B137" s="13" t="s">
        <v>66</v>
      </c>
      <c r="C137" s="13" t="s">
        <v>221</v>
      </c>
      <c r="D137" s="13" t="s">
        <v>513</v>
      </c>
      <c r="E137" s="13" t="s">
        <v>111</v>
      </c>
      <c r="F137" s="13">
        <v>1</v>
      </c>
      <c r="G137" s="13" t="s">
        <v>684</v>
      </c>
      <c r="H137" s="13">
        <f t="shared" si="13"/>
        <v>1</v>
      </c>
      <c r="I137" s="130">
        <v>1903</v>
      </c>
      <c r="J137" s="130">
        <f t="shared" si="8"/>
        <v>1903</v>
      </c>
      <c r="K137" s="16"/>
    </row>
    <row r="138" spans="1:12" ht="17.5" thickBot="1">
      <c r="A138" s="258"/>
      <c r="B138" s="13" t="s">
        <v>66</v>
      </c>
      <c r="C138" s="13" t="s">
        <v>221</v>
      </c>
      <c r="D138" s="13" t="s">
        <v>128</v>
      </c>
      <c r="E138" s="13" t="s">
        <v>128</v>
      </c>
      <c r="F138" s="13">
        <v>2</v>
      </c>
      <c r="G138" s="13" t="s">
        <v>235</v>
      </c>
      <c r="H138" s="13">
        <f t="shared" si="13"/>
        <v>2</v>
      </c>
      <c r="I138" s="130">
        <f>(36*2700)+200000</f>
        <v>297200</v>
      </c>
      <c r="J138" s="130">
        <f t="shared" si="8"/>
        <v>594400</v>
      </c>
      <c r="K138" s="16"/>
    </row>
    <row r="139" spans="1:12" ht="21.5" thickBot="1">
      <c r="A139" s="297"/>
      <c r="B139" s="15" t="s">
        <v>66</v>
      </c>
      <c r="C139" s="15" t="s">
        <v>221</v>
      </c>
      <c r="D139" s="15" t="s">
        <v>113</v>
      </c>
      <c r="E139" s="15" t="s">
        <v>113</v>
      </c>
      <c r="F139" s="15">
        <v>1</v>
      </c>
      <c r="G139" s="15" t="s">
        <v>240</v>
      </c>
      <c r="H139" s="15">
        <f t="shared" si="13"/>
        <v>1</v>
      </c>
      <c r="I139" s="136">
        <v>13400</v>
      </c>
      <c r="J139" s="136">
        <f t="shared" si="8"/>
        <v>13400</v>
      </c>
      <c r="K139" s="22"/>
      <c r="L139" s="106">
        <f>SUM(J130:J139)</f>
        <v>1369223</v>
      </c>
    </row>
    <row r="140" spans="1:12">
      <c r="A140" s="257">
        <v>13</v>
      </c>
      <c r="B140" s="11" t="s">
        <v>66</v>
      </c>
      <c r="C140" s="11" t="s">
        <v>222</v>
      </c>
      <c r="D140" s="11" t="s">
        <v>118</v>
      </c>
      <c r="E140" s="11" t="s">
        <v>522</v>
      </c>
      <c r="F140" s="11">
        <v>2</v>
      </c>
      <c r="G140" s="11" t="s">
        <v>560</v>
      </c>
      <c r="H140" s="11">
        <f>$G$16*F140</f>
        <v>2</v>
      </c>
      <c r="I140" s="103">
        <v>88000</v>
      </c>
      <c r="J140" s="103">
        <f t="shared" si="8"/>
        <v>176000</v>
      </c>
      <c r="K140" s="12"/>
    </row>
    <row r="141" spans="1:12">
      <c r="A141" s="258"/>
      <c r="B141" s="13" t="s">
        <v>66</v>
      </c>
      <c r="C141" s="13" t="s">
        <v>222</v>
      </c>
      <c r="D141" s="13" t="s">
        <v>497</v>
      </c>
      <c r="E141" s="13" t="s">
        <v>123</v>
      </c>
      <c r="F141" s="13">
        <v>1</v>
      </c>
      <c r="G141" s="13" t="s">
        <v>233</v>
      </c>
      <c r="H141" s="13">
        <f t="shared" ref="H141:H149" si="14">$G$16*F141</f>
        <v>1</v>
      </c>
      <c r="I141" s="130">
        <v>548000</v>
      </c>
      <c r="J141" s="130">
        <f t="shared" si="8"/>
        <v>548000</v>
      </c>
      <c r="K141" s="16" t="s">
        <v>238</v>
      </c>
    </row>
    <row r="142" spans="1:12">
      <c r="A142" s="258"/>
      <c r="B142" s="13" t="s">
        <v>66</v>
      </c>
      <c r="C142" s="13" t="s">
        <v>222</v>
      </c>
      <c r="D142" s="13" t="s">
        <v>493</v>
      </c>
      <c r="E142" s="13" t="s">
        <v>115</v>
      </c>
      <c r="F142" s="13">
        <v>72</v>
      </c>
      <c r="G142" s="13" t="s">
        <v>251</v>
      </c>
      <c r="H142" s="13">
        <f t="shared" si="14"/>
        <v>72</v>
      </c>
      <c r="I142" s="130">
        <v>460</v>
      </c>
      <c r="J142" s="130">
        <f t="shared" si="8"/>
        <v>33120</v>
      </c>
      <c r="K142" s="16"/>
    </row>
    <row r="143" spans="1:12">
      <c r="A143" s="258"/>
      <c r="B143" s="13" t="s">
        <v>66</v>
      </c>
      <c r="C143" s="13" t="s">
        <v>222</v>
      </c>
      <c r="D143" s="13" t="s">
        <v>501</v>
      </c>
      <c r="E143" s="13" t="s">
        <v>124</v>
      </c>
      <c r="F143" s="13">
        <v>1</v>
      </c>
      <c r="G143" s="13" t="s">
        <v>233</v>
      </c>
      <c r="H143" s="13">
        <f t="shared" si="14"/>
        <v>1</v>
      </c>
      <c r="I143" s="13"/>
      <c r="J143" s="13">
        <f t="shared" si="8"/>
        <v>0</v>
      </c>
      <c r="K143" s="16" t="s">
        <v>232</v>
      </c>
    </row>
    <row r="144" spans="1:12">
      <c r="A144" s="258"/>
      <c r="B144" s="13" t="s">
        <v>66</v>
      </c>
      <c r="C144" s="13" t="s">
        <v>222</v>
      </c>
      <c r="D144" s="13" t="s">
        <v>504</v>
      </c>
      <c r="E144" s="13" t="s">
        <v>125</v>
      </c>
      <c r="F144" s="13">
        <v>1</v>
      </c>
      <c r="G144" s="13" t="s">
        <v>233</v>
      </c>
      <c r="H144" s="13">
        <f t="shared" si="14"/>
        <v>1</v>
      </c>
      <c r="I144" s="13"/>
      <c r="J144" s="13">
        <f t="shared" si="8"/>
        <v>0</v>
      </c>
      <c r="K144" s="16"/>
    </row>
    <row r="145" spans="1:12">
      <c r="A145" s="258"/>
      <c r="B145" s="13" t="s">
        <v>66</v>
      </c>
      <c r="C145" s="13" t="s">
        <v>222</v>
      </c>
      <c r="D145" s="13" t="s">
        <v>508</v>
      </c>
      <c r="E145" s="13" t="s">
        <v>110</v>
      </c>
      <c r="F145" s="13">
        <v>1</v>
      </c>
      <c r="G145" s="13" t="s">
        <v>975</v>
      </c>
      <c r="H145" s="13">
        <f t="shared" si="14"/>
        <v>1</v>
      </c>
      <c r="I145" s="130">
        <v>2400</v>
      </c>
      <c r="J145" s="130">
        <f t="shared" si="8"/>
        <v>2400</v>
      </c>
      <c r="K145" s="16"/>
    </row>
    <row r="146" spans="1:12">
      <c r="A146" s="258"/>
      <c r="B146" s="13" t="s">
        <v>66</v>
      </c>
      <c r="C146" s="13" t="s">
        <v>222</v>
      </c>
      <c r="D146" s="13" t="s">
        <v>511</v>
      </c>
      <c r="E146" s="13" t="s">
        <v>973</v>
      </c>
      <c r="F146" s="13">
        <v>1</v>
      </c>
      <c r="G146" s="13" t="s">
        <v>233</v>
      </c>
      <c r="H146" s="13">
        <f t="shared" si="14"/>
        <v>1</v>
      </c>
      <c r="I146" s="13"/>
      <c r="J146" s="13">
        <f t="shared" si="8"/>
        <v>0</v>
      </c>
      <c r="K146" s="16"/>
    </row>
    <row r="147" spans="1:12">
      <c r="A147" s="258"/>
      <c r="B147" s="13" t="s">
        <v>66</v>
      </c>
      <c r="C147" s="13" t="s">
        <v>222</v>
      </c>
      <c r="D147" s="13" t="s">
        <v>513</v>
      </c>
      <c r="E147" s="13" t="s">
        <v>111</v>
      </c>
      <c r="F147" s="13">
        <v>1</v>
      </c>
      <c r="G147" s="13" t="s">
        <v>684</v>
      </c>
      <c r="H147" s="13">
        <f t="shared" si="14"/>
        <v>1</v>
      </c>
      <c r="I147" s="130">
        <v>1903</v>
      </c>
      <c r="J147" s="130">
        <f t="shared" si="8"/>
        <v>1903</v>
      </c>
      <c r="K147" s="16"/>
    </row>
    <row r="148" spans="1:12" ht="17.5" thickBot="1">
      <c r="A148" s="258"/>
      <c r="B148" s="13" t="s">
        <v>66</v>
      </c>
      <c r="C148" s="13" t="s">
        <v>222</v>
      </c>
      <c r="D148" s="13" t="s">
        <v>128</v>
      </c>
      <c r="E148" s="13" t="s">
        <v>128</v>
      </c>
      <c r="F148" s="13">
        <v>2</v>
      </c>
      <c r="G148" s="13" t="s">
        <v>235</v>
      </c>
      <c r="H148" s="13">
        <f t="shared" si="14"/>
        <v>2</v>
      </c>
      <c r="I148" s="130">
        <f>(36*2700)+200000</f>
        <v>297200</v>
      </c>
      <c r="J148" s="130">
        <f t="shared" ref="J148:J211" si="15">H148*I148</f>
        <v>594400</v>
      </c>
      <c r="K148" s="16"/>
    </row>
    <row r="149" spans="1:12" ht="21.5" thickBot="1">
      <c r="A149" s="259"/>
      <c r="B149" s="9" t="s">
        <v>66</v>
      </c>
      <c r="C149" s="9" t="s">
        <v>222</v>
      </c>
      <c r="D149" s="9" t="s">
        <v>113</v>
      </c>
      <c r="E149" s="9" t="s">
        <v>113</v>
      </c>
      <c r="F149" s="9">
        <v>1</v>
      </c>
      <c r="G149" s="9" t="s">
        <v>240</v>
      </c>
      <c r="H149" s="9">
        <f t="shared" si="14"/>
        <v>1</v>
      </c>
      <c r="I149" s="135">
        <v>13400</v>
      </c>
      <c r="J149" s="135">
        <f t="shared" si="15"/>
        <v>13400</v>
      </c>
      <c r="K149" s="14"/>
      <c r="L149" s="106">
        <f>SUM(J140:J149)</f>
        <v>1369223</v>
      </c>
    </row>
    <row r="150" spans="1:12">
      <c r="A150" s="274">
        <v>14</v>
      </c>
      <c r="B150" s="10" t="s">
        <v>66</v>
      </c>
      <c r="C150" s="10" t="s">
        <v>223</v>
      </c>
      <c r="D150" s="10" t="s">
        <v>118</v>
      </c>
      <c r="E150" s="10" t="s">
        <v>522</v>
      </c>
      <c r="F150" s="10">
        <v>2</v>
      </c>
      <c r="G150" s="10" t="s">
        <v>560</v>
      </c>
      <c r="H150" s="10">
        <f>$G$17*F150</f>
        <v>2</v>
      </c>
      <c r="I150" s="134">
        <v>88000</v>
      </c>
      <c r="J150" s="134">
        <f t="shared" si="15"/>
        <v>176000</v>
      </c>
      <c r="K150" s="17"/>
    </row>
    <row r="151" spans="1:12">
      <c r="A151" s="258"/>
      <c r="B151" s="13" t="s">
        <v>66</v>
      </c>
      <c r="C151" s="13" t="s">
        <v>223</v>
      </c>
      <c r="D151" s="13" t="s">
        <v>497</v>
      </c>
      <c r="E151" s="13" t="s">
        <v>123</v>
      </c>
      <c r="F151" s="13">
        <v>1</v>
      </c>
      <c r="G151" s="13" t="s">
        <v>233</v>
      </c>
      <c r="H151" s="13">
        <f t="shared" ref="H151:H159" si="16">$G$17*F151</f>
        <v>1</v>
      </c>
      <c r="I151" s="130">
        <v>548000</v>
      </c>
      <c r="J151" s="130">
        <f t="shared" si="15"/>
        <v>548000</v>
      </c>
      <c r="K151" s="16" t="s">
        <v>238</v>
      </c>
    </row>
    <row r="152" spans="1:12">
      <c r="A152" s="258"/>
      <c r="B152" s="13" t="s">
        <v>66</v>
      </c>
      <c r="C152" s="13" t="s">
        <v>223</v>
      </c>
      <c r="D152" s="13" t="s">
        <v>494</v>
      </c>
      <c r="E152" s="13" t="s">
        <v>116</v>
      </c>
      <c r="F152" s="13">
        <v>72</v>
      </c>
      <c r="G152" s="13" t="s">
        <v>251</v>
      </c>
      <c r="H152" s="13">
        <f t="shared" si="16"/>
        <v>72</v>
      </c>
      <c r="I152" s="130">
        <v>460</v>
      </c>
      <c r="J152" s="130">
        <f t="shared" si="15"/>
        <v>33120</v>
      </c>
      <c r="K152" s="16"/>
    </row>
    <row r="153" spans="1:12">
      <c r="A153" s="258"/>
      <c r="B153" s="13" t="s">
        <v>66</v>
      </c>
      <c r="C153" s="13" t="s">
        <v>223</v>
      </c>
      <c r="D153" s="13" t="s">
        <v>501</v>
      </c>
      <c r="E153" s="13" t="s">
        <v>124</v>
      </c>
      <c r="F153" s="13">
        <v>1</v>
      </c>
      <c r="G153" s="13" t="s">
        <v>233</v>
      </c>
      <c r="H153" s="13">
        <f t="shared" si="16"/>
        <v>1</v>
      </c>
      <c r="I153" s="13"/>
      <c r="J153" s="13">
        <f t="shared" si="15"/>
        <v>0</v>
      </c>
      <c r="K153" s="16" t="s">
        <v>232</v>
      </c>
    </row>
    <row r="154" spans="1:12">
      <c r="A154" s="258"/>
      <c r="B154" s="13" t="s">
        <v>66</v>
      </c>
      <c r="C154" s="13" t="s">
        <v>223</v>
      </c>
      <c r="D154" s="13" t="s">
        <v>504</v>
      </c>
      <c r="E154" s="13" t="s">
        <v>125</v>
      </c>
      <c r="F154" s="13">
        <v>1</v>
      </c>
      <c r="G154" s="13" t="s">
        <v>233</v>
      </c>
      <c r="H154" s="13">
        <f t="shared" si="16"/>
        <v>1</v>
      </c>
      <c r="I154" s="13"/>
      <c r="J154" s="13">
        <f t="shared" si="15"/>
        <v>0</v>
      </c>
      <c r="K154" s="16"/>
    </row>
    <row r="155" spans="1:12">
      <c r="A155" s="258"/>
      <c r="B155" s="13" t="s">
        <v>66</v>
      </c>
      <c r="C155" s="13" t="s">
        <v>223</v>
      </c>
      <c r="D155" s="13" t="s">
        <v>508</v>
      </c>
      <c r="E155" s="13" t="s">
        <v>110</v>
      </c>
      <c r="F155" s="13">
        <v>1</v>
      </c>
      <c r="G155" s="13" t="s">
        <v>975</v>
      </c>
      <c r="H155" s="13">
        <f t="shared" si="16"/>
        <v>1</v>
      </c>
      <c r="I155" s="130">
        <v>2400</v>
      </c>
      <c r="J155" s="130">
        <f t="shared" si="15"/>
        <v>2400</v>
      </c>
      <c r="K155" s="16"/>
    </row>
    <row r="156" spans="1:12">
      <c r="A156" s="258"/>
      <c r="B156" s="13" t="s">
        <v>66</v>
      </c>
      <c r="C156" s="13" t="s">
        <v>223</v>
      </c>
      <c r="D156" s="13" t="s">
        <v>511</v>
      </c>
      <c r="E156" s="13" t="s">
        <v>973</v>
      </c>
      <c r="F156" s="13">
        <v>1</v>
      </c>
      <c r="G156" s="13" t="s">
        <v>233</v>
      </c>
      <c r="H156" s="13">
        <f t="shared" si="16"/>
        <v>1</v>
      </c>
      <c r="I156" s="13"/>
      <c r="J156" s="13">
        <f t="shared" si="15"/>
        <v>0</v>
      </c>
      <c r="K156" s="16"/>
    </row>
    <row r="157" spans="1:12">
      <c r="A157" s="258"/>
      <c r="B157" s="13" t="s">
        <v>66</v>
      </c>
      <c r="C157" s="13" t="s">
        <v>223</v>
      </c>
      <c r="D157" s="13" t="s">
        <v>513</v>
      </c>
      <c r="E157" s="13" t="s">
        <v>111</v>
      </c>
      <c r="F157" s="13">
        <v>1</v>
      </c>
      <c r="G157" s="13" t="s">
        <v>684</v>
      </c>
      <c r="H157" s="13">
        <f t="shared" si="16"/>
        <v>1</v>
      </c>
      <c r="I157" s="130">
        <v>1903</v>
      </c>
      <c r="J157" s="130">
        <f t="shared" si="15"/>
        <v>1903</v>
      </c>
      <c r="K157" s="16"/>
    </row>
    <row r="158" spans="1:12" ht="17.5" thickBot="1">
      <c r="A158" s="258"/>
      <c r="B158" s="13" t="s">
        <v>66</v>
      </c>
      <c r="C158" s="13" t="s">
        <v>223</v>
      </c>
      <c r="D158" s="13" t="s">
        <v>128</v>
      </c>
      <c r="E158" s="13" t="s">
        <v>128</v>
      </c>
      <c r="F158" s="13">
        <v>2</v>
      </c>
      <c r="G158" s="13" t="s">
        <v>235</v>
      </c>
      <c r="H158" s="13">
        <f t="shared" si="16"/>
        <v>2</v>
      </c>
      <c r="I158" s="130">
        <f>(36*2700)+200000</f>
        <v>297200</v>
      </c>
      <c r="J158" s="130">
        <f t="shared" si="15"/>
        <v>594400</v>
      </c>
      <c r="K158" s="16"/>
    </row>
    <row r="159" spans="1:12" ht="21.5" thickBot="1">
      <c r="A159" s="297"/>
      <c r="B159" s="15" t="s">
        <v>66</v>
      </c>
      <c r="C159" s="15" t="s">
        <v>223</v>
      </c>
      <c r="D159" s="15" t="s">
        <v>113</v>
      </c>
      <c r="E159" s="15" t="s">
        <v>113</v>
      </c>
      <c r="F159" s="15">
        <v>1</v>
      </c>
      <c r="G159" s="15" t="s">
        <v>240</v>
      </c>
      <c r="H159" s="15">
        <f t="shared" si="16"/>
        <v>1</v>
      </c>
      <c r="I159" s="136">
        <v>13400</v>
      </c>
      <c r="J159" s="136">
        <f t="shared" si="15"/>
        <v>13400</v>
      </c>
      <c r="K159" s="22"/>
      <c r="L159" s="106">
        <f>SUM(J150:J159)</f>
        <v>1369223</v>
      </c>
    </row>
    <row r="160" spans="1:12">
      <c r="A160" s="257">
        <v>15</v>
      </c>
      <c r="B160" s="11" t="s">
        <v>66</v>
      </c>
      <c r="C160" s="11" t="s">
        <v>224</v>
      </c>
      <c r="D160" s="11" t="s">
        <v>118</v>
      </c>
      <c r="E160" s="11" t="s">
        <v>522</v>
      </c>
      <c r="F160" s="11">
        <v>2</v>
      </c>
      <c r="G160" s="11" t="s">
        <v>560</v>
      </c>
      <c r="H160" s="11">
        <f>$G$18*F160</f>
        <v>2</v>
      </c>
      <c r="I160" s="103">
        <v>88000</v>
      </c>
      <c r="J160" s="103">
        <f t="shared" si="15"/>
        <v>176000</v>
      </c>
      <c r="K160" s="12"/>
    </row>
    <row r="161" spans="1:12">
      <c r="A161" s="258"/>
      <c r="B161" s="13" t="s">
        <v>66</v>
      </c>
      <c r="C161" s="13" t="s">
        <v>224</v>
      </c>
      <c r="D161" s="13" t="s">
        <v>497</v>
      </c>
      <c r="E161" s="13" t="s">
        <v>123</v>
      </c>
      <c r="F161" s="13">
        <v>1</v>
      </c>
      <c r="G161" s="13" t="s">
        <v>233</v>
      </c>
      <c r="H161" s="13">
        <f t="shared" ref="H161:H168" si="17">$G$18*F161</f>
        <v>1</v>
      </c>
      <c r="I161" s="130">
        <v>548000</v>
      </c>
      <c r="J161" s="130">
        <f t="shared" si="15"/>
        <v>548000</v>
      </c>
      <c r="K161" s="16" t="s">
        <v>238</v>
      </c>
    </row>
    <row r="162" spans="1:12">
      <c r="A162" s="258"/>
      <c r="B162" s="13" t="s">
        <v>66</v>
      </c>
      <c r="C162" s="13" t="s">
        <v>224</v>
      </c>
      <c r="D162" s="13" t="s">
        <v>501</v>
      </c>
      <c r="E162" s="13" t="s">
        <v>124</v>
      </c>
      <c r="F162" s="13">
        <v>1</v>
      </c>
      <c r="G162" s="13" t="s">
        <v>233</v>
      </c>
      <c r="H162" s="13">
        <f t="shared" si="17"/>
        <v>1</v>
      </c>
      <c r="I162" s="13"/>
      <c r="J162" s="13">
        <f t="shared" si="15"/>
        <v>0</v>
      </c>
      <c r="K162" s="16" t="s">
        <v>232</v>
      </c>
    </row>
    <row r="163" spans="1:12">
      <c r="A163" s="258"/>
      <c r="B163" s="13" t="s">
        <v>66</v>
      </c>
      <c r="C163" s="13" t="s">
        <v>224</v>
      </c>
      <c r="D163" s="13" t="s">
        <v>504</v>
      </c>
      <c r="E163" s="13" t="s">
        <v>125</v>
      </c>
      <c r="F163" s="13">
        <v>1</v>
      </c>
      <c r="G163" s="13" t="s">
        <v>233</v>
      </c>
      <c r="H163" s="13">
        <f t="shared" si="17"/>
        <v>1</v>
      </c>
      <c r="I163" s="13"/>
      <c r="J163" s="13">
        <f t="shared" si="15"/>
        <v>0</v>
      </c>
      <c r="K163" s="16"/>
    </row>
    <row r="164" spans="1:12">
      <c r="A164" s="258"/>
      <c r="B164" s="13" t="s">
        <v>66</v>
      </c>
      <c r="C164" s="13" t="s">
        <v>224</v>
      </c>
      <c r="D164" s="13" t="s">
        <v>508</v>
      </c>
      <c r="E164" s="13" t="s">
        <v>110</v>
      </c>
      <c r="F164" s="13">
        <v>1</v>
      </c>
      <c r="G164" s="13" t="s">
        <v>975</v>
      </c>
      <c r="H164" s="13">
        <f t="shared" si="17"/>
        <v>1</v>
      </c>
      <c r="I164" s="130">
        <v>2400</v>
      </c>
      <c r="J164" s="130">
        <f t="shared" si="15"/>
        <v>2400</v>
      </c>
      <c r="K164" s="16"/>
    </row>
    <row r="165" spans="1:12">
      <c r="A165" s="258"/>
      <c r="B165" s="13" t="s">
        <v>66</v>
      </c>
      <c r="C165" s="13" t="s">
        <v>224</v>
      </c>
      <c r="D165" s="13" t="s">
        <v>511</v>
      </c>
      <c r="E165" s="13" t="s">
        <v>973</v>
      </c>
      <c r="F165" s="13">
        <v>1</v>
      </c>
      <c r="G165" s="13" t="s">
        <v>233</v>
      </c>
      <c r="H165" s="13">
        <f t="shared" si="17"/>
        <v>1</v>
      </c>
      <c r="I165" s="13"/>
      <c r="J165" s="13">
        <f t="shared" si="15"/>
        <v>0</v>
      </c>
      <c r="K165" s="16"/>
    </row>
    <row r="166" spans="1:12">
      <c r="A166" s="258"/>
      <c r="B166" s="13" t="s">
        <v>66</v>
      </c>
      <c r="C166" s="13" t="s">
        <v>224</v>
      </c>
      <c r="D166" s="13" t="s">
        <v>513</v>
      </c>
      <c r="E166" s="13" t="s">
        <v>111</v>
      </c>
      <c r="F166" s="13">
        <v>1</v>
      </c>
      <c r="G166" s="13" t="s">
        <v>684</v>
      </c>
      <c r="H166" s="13">
        <f t="shared" si="17"/>
        <v>1</v>
      </c>
      <c r="I166" s="130">
        <v>1903</v>
      </c>
      <c r="J166" s="130">
        <f t="shared" si="15"/>
        <v>1903</v>
      </c>
      <c r="K166" s="16"/>
    </row>
    <row r="167" spans="1:12" ht="17.5" thickBot="1">
      <c r="A167" s="258"/>
      <c r="B167" s="13" t="s">
        <v>66</v>
      </c>
      <c r="C167" s="13" t="s">
        <v>224</v>
      </c>
      <c r="D167" s="13" t="s">
        <v>128</v>
      </c>
      <c r="E167" s="13" t="s">
        <v>128</v>
      </c>
      <c r="F167" s="13">
        <v>2</v>
      </c>
      <c r="G167" s="13" t="s">
        <v>235</v>
      </c>
      <c r="H167" s="13">
        <f t="shared" si="17"/>
        <v>2</v>
      </c>
      <c r="I167" s="130">
        <f>(36*2700)+200000</f>
        <v>297200</v>
      </c>
      <c r="J167" s="130">
        <f t="shared" si="15"/>
        <v>594400</v>
      </c>
      <c r="K167" s="16"/>
    </row>
    <row r="168" spans="1:12" ht="21.5" thickBot="1">
      <c r="A168" s="259"/>
      <c r="B168" s="9" t="s">
        <v>66</v>
      </c>
      <c r="C168" s="9" t="s">
        <v>224</v>
      </c>
      <c r="D168" s="9" t="s">
        <v>113</v>
      </c>
      <c r="E168" s="9" t="s">
        <v>113</v>
      </c>
      <c r="F168" s="9">
        <v>1</v>
      </c>
      <c r="G168" s="9" t="s">
        <v>240</v>
      </c>
      <c r="H168" s="9">
        <f t="shared" si="17"/>
        <v>1</v>
      </c>
      <c r="I168" s="135">
        <v>13400</v>
      </c>
      <c r="J168" s="135">
        <f t="shared" si="15"/>
        <v>13400</v>
      </c>
      <c r="K168" s="14"/>
      <c r="L168" s="106">
        <f>SUM(J160:J168)</f>
        <v>1336103</v>
      </c>
    </row>
    <row r="169" spans="1:12">
      <c r="A169" s="274">
        <v>16</v>
      </c>
      <c r="B169" s="10" t="s">
        <v>67</v>
      </c>
      <c r="C169" s="10" t="s">
        <v>225</v>
      </c>
      <c r="D169" s="10" t="s">
        <v>552</v>
      </c>
      <c r="E169" s="10" t="s">
        <v>522</v>
      </c>
      <c r="F169" s="10">
        <v>4</v>
      </c>
      <c r="G169" s="10" t="s">
        <v>560</v>
      </c>
      <c r="H169" s="10">
        <f>$K$4*F169</f>
        <v>4</v>
      </c>
      <c r="I169" s="134">
        <v>63000</v>
      </c>
      <c r="J169" s="134">
        <f t="shared" si="15"/>
        <v>252000</v>
      </c>
      <c r="K169" s="17"/>
    </row>
    <row r="170" spans="1:12">
      <c r="A170" s="258"/>
      <c r="B170" s="13" t="s">
        <v>67</v>
      </c>
      <c r="C170" s="13" t="s">
        <v>225</v>
      </c>
      <c r="D170" s="13" t="s">
        <v>498</v>
      </c>
      <c r="E170" s="13" t="s">
        <v>608</v>
      </c>
      <c r="F170" s="13">
        <v>1</v>
      </c>
      <c r="G170" s="13" t="s">
        <v>233</v>
      </c>
      <c r="H170" s="13">
        <f t="shared" ref="H170:H178" si="18">$K$4*F170</f>
        <v>1</v>
      </c>
      <c r="I170" s="13">
        <v>710000</v>
      </c>
      <c r="J170" s="13">
        <f t="shared" si="15"/>
        <v>710000</v>
      </c>
      <c r="K170" s="16" t="s">
        <v>238</v>
      </c>
    </row>
    <row r="171" spans="1:12">
      <c r="A171" s="258"/>
      <c r="B171" s="13" t="s">
        <v>67</v>
      </c>
      <c r="C171" s="13" t="s">
        <v>225</v>
      </c>
      <c r="D171" s="13" t="s">
        <v>491</v>
      </c>
      <c r="E171" s="13" t="s">
        <v>107</v>
      </c>
      <c r="F171" s="13">
        <v>96</v>
      </c>
      <c r="G171" s="13" t="s">
        <v>251</v>
      </c>
      <c r="H171" s="13">
        <f t="shared" si="18"/>
        <v>96</v>
      </c>
      <c r="I171" s="130">
        <v>460</v>
      </c>
      <c r="J171" s="130">
        <f t="shared" si="15"/>
        <v>44160</v>
      </c>
      <c r="K171" s="16"/>
    </row>
    <row r="172" spans="1:12">
      <c r="A172" s="258"/>
      <c r="B172" s="13" t="s">
        <v>67</v>
      </c>
      <c r="C172" s="13" t="s">
        <v>225</v>
      </c>
      <c r="D172" s="13" t="s">
        <v>502</v>
      </c>
      <c r="E172" s="13" t="s">
        <v>130</v>
      </c>
      <c r="F172" s="13">
        <v>1</v>
      </c>
      <c r="G172" s="13" t="s">
        <v>233</v>
      </c>
      <c r="H172" s="13">
        <f t="shared" si="18"/>
        <v>1</v>
      </c>
      <c r="I172" s="13"/>
      <c r="J172" s="13">
        <f t="shared" si="15"/>
        <v>0</v>
      </c>
      <c r="K172" s="16"/>
    </row>
    <row r="173" spans="1:12">
      <c r="A173" s="258"/>
      <c r="B173" s="13" t="s">
        <v>67</v>
      </c>
      <c r="C173" s="13" t="s">
        <v>225</v>
      </c>
      <c r="D173" s="13" t="s">
        <v>505</v>
      </c>
      <c r="E173" s="13" t="s">
        <v>131</v>
      </c>
      <c r="F173" s="13">
        <v>1</v>
      </c>
      <c r="G173" s="13" t="s">
        <v>233</v>
      </c>
      <c r="H173" s="13">
        <f t="shared" si="18"/>
        <v>1</v>
      </c>
      <c r="I173" s="13"/>
      <c r="J173" s="13">
        <f t="shared" si="15"/>
        <v>0</v>
      </c>
      <c r="K173" s="16"/>
    </row>
    <row r="174" spans="1:12">
      <c r="A174" s="258"/>
      <c r="B174" s="13" t="s">
        <v>67</v>
      </c>
      <c r="C174" s="13" t="s">
        <v>225</v>
      </c>
      <c r="D174" s="13" t="s">
        <v>509</v>
      </c>
      <c r="E174" s="13" t="s">
        <v>132</v>
      </c>
      <c r="F174" s="13">
        <v>1</v>
      </c>
      <c r="G174" s="13" t="s">
        <v>681</v>
      </c>
      <c r="H174" s="13">
        <f t="shared" si="18"/>
        <v>1</v>
      </c>
      <c r="I174" s="130">
        <v>4150</v>
      </c>
      <c r="J174" s="130">
        <f t="shared" si="15"/>
        <v>4150</v>
      </c>
      <c r="K174" s="16"/>
    </row>
    <row r="175" spans="1:12">
      <c r="A175" s="258"/>
      <c r="B175" s="13" t="s">
        <v>67</v>
      </c>
      <c r="C175" s="13" t="s">
        <v>225</v>
      </c>
      <c r="D175" s="13" t="s">
        <v>512</v>
      </c>
      <c r="E175" s="13" t="s">
        <v>974</v>
      </c>
      <c r="F175" s="13">
        <v>1</v>
      </c>
      <c r="G175" s="13" t="s">
        <v>233</v>
      </c>
      <c r="H175" s="13">
        <f t="shared" si="18"/>
        <v>1</v>
      </c>
      <c r="I175" s="60">
        <v>45000</v>
      </c>
      <c r="J175" s="130">
        <f t="shared" si="15"/>
        <v>45000</v>
      </c>
      <c r="K175" s="16"/>
    </row>
    <row r="176" spans="1:12">
      <c r="A176" s="258"/>
      <c r="B176" s="13" t="s">
        <v>67</v>
      </c>
      <c r="C176" s="13" t="s">
        <v>225</v>
      </c>
      <c r="D176" s="13" t="s">
        <v>514</v>
      </c>
      <c r="E176" s="13" t="s">
        <v>133</v>
      </c>
      <c r="F176" s="13">
        <v>1</v>
      </c>
      <c r="G176" s="13" t="s">
        <v>571</v>
      </c>
      <c r="H176" s="13">
        <f t="shared" si="18"/>
        <v>1</v>
      </c>
      <c r="I176" s="130">
        <v>1903</v>
      </c>
      <c r="J176" s="130">
        <f t="shared" si="15"/>
        <v>1903</v>
      </c>
      <c r="K176" s="16"/>
    </row>
    <row r="177" spans="1:12" ht="17.5" thickBot="1">
      <c r="A177" s="258"/>
      <c r="B177" s="13" t="s">
        <v>67</v>
      </c>
      <c r="C177" s="13" t="s">
        <v>225</v>
      </c>
      <c r="D177" s="13" t="s">
        <v>136</v>
      </c>
      <c r="E177" s="13" t="s">
        <v>136</v>
      </c>
      <c r="F177" s="13">
        <v>2</v>
      </c>
      <c r="G177" s="13" t="s">
        <v>235</v>
      </c>
      <c r="H177" s="13">
        <f t="shared" si="18"/>
        <v>2</v>
      </c>
      <c r="I177" s="130">
        <f>(48*2700)+200000</f>
        <v>329600</v>
      </c>
      <c r="J177" s="130">
        <f t="shared" si="15"/>
        <v>659200</v>
      </c>
      <c r="K177" s="16"/>
    </row>
    <row r="178" spans="1:12" ht="21.5" thickBot="1">
      <c r="A178" s="297"/>
      <c r="B178" s="15" t="s">
        <v>67</v>
      </c>
      <c r="C178" s="15" t="s">
        <v>225</v>
      </c>
      <c r="D178" s="15" t="s">
        <v>113</v>
      </c>
      <c r="E178" s="15" t="s">
        <v>602</v>
      </c>
      <c r="F178" s="15">
        <v>1</v>
      </c>
      <c r="G178" s="15" t="s">
        <v>240</v>
      </c>
      <c r="H178" s="15">
        <f t="shared" si="18"/>
        <v>1</v>
      </c>
      <c r="I178" s="136">
        <v>13400</v>
      </c>
      <c r="J178" s="136">
        <f t="shared" si="15"/>
        <v>13400</v>
      </c>
      <c r="K178" s="22"/>
      <c r="L178" s="106">
        <f>SUM(J169:J178)</f>
        <v>1729813</v>
      </c>
    </row>
    <row r="179" spans="1:12">
      <c r="A179" s="257">
        <v>17</v>
      </c>
      <c r="B179" s="11" t="s">
        <v>67</v>
      </c>
      <c r="C179" s="11" t="s">
        <v>226</v>
      </c>
      <c r="D179" s="11" t="s">
        <v>552</v>
      </c>
      <c r="E179" s="11" t="s">
        <v>522</v>
      </c>
      <c r="F179" s="11">
        <v>4</v>
      </c>
      <c r="G179" s="11" t="s">
        <v>560</v>
      </c>
      <c r="H179" s="11">
        <f>$K$5*F179</f>
        <v>4</v>
      </c>
      <c r="I179" s="103">
        <v>63000</v>
      </c>
      <c r="J179" s="103">
        <f t="shared" si="15"/>
        <v>252000</v>
      </c>
      <c r="K179" s="12"/>
    </row>
    <row r="180" spans="1:12">
      <c r="A180" s="258"/>
      <c r="B180" s="13" t="s">
        <v>67</v>
      </c>
      <c r="C180" s="13" t="s">
        <v>226</v>
      </c>
      <c r="D180" s="13" t="s">
        <v>498</v>
      </c>
      <c r="E180" s="13" t="s">
        <v>608</v>
      </c>
      <c r="F180" s="13">
        <v>1</v>
      </c>
      <c r="G180" s="13" t="s">
        <v>233</v>
      </c>
      <c r="H180" s="13">
        <f t="shared" ref="H180:H188" si="19">$K$5*F180</f>
        <v>1</v>
      </c>
      <c r="I180" s="13">
        <v>710000</v>
      </c>
      <c r="J180" s="13">
        <f t="shared" si="15"/>
        <v>710000</v>
      </c>
      <c r="K180" s="16" t="s">
        <v>238</v>
      </c>
    </row>
    <row r="181" spans="1:12">
      <c r="A181" s="258"/>
      <c r="B181" s="13" t="s">
        <v>67</v>
      </c>
      <c r="C181" s="13" t="s">
        <v>226</v>
      </c>
      <c r="D181" s="13" t="s">
        <v>492</v>
      </c>
      <c r="E181" s="13" t="s">
        <v>114</v>
      </c>
      <c r="F181" s="13">
        <v>96</v>
      </c>
      <c r="G181" s="13" t="s">
        <v>251</v>
      </c>
      <c r="H181" s="13">
        <f t="shared" si="19"/>
        <v>96</v>
      </c>
      <c r="I181" s="130">
        <v>460</v>
      </c>
      <c r="J181" s="130">
        <f t="shared" si="15"/>
        <v>44160</v>
      </c>
      <c r="K181" s="16"/>
    </row>
    <row r="182" spans="1:12">
      <c r="A182" s="258"/>
      <c r="B182" s="13" t="s">
        <v>67</v>
      </c>
      <c r="C182" s="13" t="s">
        <v>226</v>
      </c>
      <c r="D182" s="13" t="s">
        <v>502</v>
      </c>
      <c r="E182" s="13" t="s">
        <v>130</v>
      </c>
      <c r="F182" s="13">
        <v>1</v>
      </c>
      <c r="G182" s="13" t="s">
        <v>233</v>
      </c>
      <c r="H182" s="13">
        <f t="shared" si="19"/>
        <v>1</v>
      </c>
      <c r="I182" s="13"/>
      <c r="J182" s="13">
        <f t="shared" si="15"/>
        <v>0</v>
      </c>
      <c r="K182" s="16"/>
    </row>
    <row r="183" spans="1:12">
      <c r="A183" s="258"/>
      <c r="B183" s="13" t="s">
        <v>67</v>
      </c>
      <c r="C183" s="13" t="s">
        <v>226</v>
      </c>
      <c r="D183" s="13" t="s">
        <v>505</v>
      </c>
      <c r="E183" s="13" t="s">
        <v>131</v>
      </c>
      <c r="F183" s="13">
        <v>1</v>
      </c>
      <c r="G183" s="13" t="s">
        <v>233</v>
      </c>
      <c r="H183" s="13">
        <f t="shared" si="19"/>
        <v>1</v>
      </c>
      <c r="I183" s="13"/>
      <c r="J183" s="13">
        <f t="shared" si="15"/>
        <v>0</v>
      </c>
      <c r="K183" s="16"/>
    </row>
    <row r="184" spans="1:12">
      <c r="A184" s="258"/>
      <c r="B184" s="13" t="s">
        <v>67</v>
      </c>
      <c r="C184" s="13" t="s">
        <v>226</v>
      </c>
      <c r="D184" s="13" t="s">
        <v>509</v>
      </c>
      <c r="E184" s="13" t="s">
        <v>132</v>
      </c>
      <c r="F184" s="13">
        <v>1</v>
      </c>
      <c r="G184" s="13" t="s">
        <v>975</v>
      </c>
      <c r="H184" s="13">
        <f t="shared" si="19"/>
        <v>1</v>
      </c>
      <c r="I184" s="130">
        <v>4150</v>
      </c>
      <c r="J184" s="130">
        <f t="shared" si="15"/>
        <v>4150</v>
      </c>
      <c r="K184" s="16"/>
    </row>
    <row r="185" spans="1:12">
      <c r="A185" s="258"/>
      <c r="B185" s="13" t="s">
        <v>67</v>
      </c>
      <c r="C185" s="13" t="s">
        <v>226</v>
      </c>
      <c r="D185" s="13" t="s">
        <v>512</v>
      </c>
      <c r="E185" s="13" t="s">
        <v>974</v>
      </c>
      <c r="F185" s="13">
        <v>1</v>
      </c>
      <c r="G185" s="13" t="s">
        <v>233</v>
      </c>
      <c r="H185" s="13">
        <f t="shared" si="19"/>
        <v>1</v>
      </c>
      <c r="I185" s="60">
        <v>45000</v>
      </c>
      <c r="J185" s="130">
        <f t="shared" si="15"/>
        <v>45000</v>
      </c>
      <c r="K185" s="16"/>
    </row>
    <row r="186" spans="1:12">
      <c r="A186" s="258"/>
      <c r="B186" s="13" t="s">
        <v>67</v>
      </c>
      <c r="C186" s="13" t="s">
        <v>226</v>
      </c>
      <c r="D186" s="13" t="s">
        <v>514</v>
      </c>
      <c r="E186" s="13" t="s">
        <v>133</v>
      </c>
      <c r="F186" s="13">
        <v>1</v>
      </c>
      <c r="G186" s="13" t="s">
        <v>684</v>
      </c>
      <c r="H186" s="13">
        <f t="shared" si="19"/>
        <v>1</v>
      </c>
      <c r="I186" s="130">
        <v>1903</v>
      </c>
      <c r="J186" s="130">
        <f t="shared" si="15"/>
        <v>1903</v>
      </c>
      <c r="K186" s="16"/>
    </row>
    <row r="187" spans="1:12" ht="17.5" thickBot="1">
      <c r="A187" s="258"/>
      <c r="B187" s="13" t="s">
        <v>67</v>
      </c>
      <c r="C187" s="13" t="s">
        <v>226</v>
      </c>
      <c r="D187" s="13" t="s">
        <v>136</v>
      </c>
      <c r="E187" s="13" t="s">
        <v>136</v>
      </c>
      <c r="F187" s="13">
        <v>2</v>
      </c>
      <c r="G187" s="13" t="s">
        <v>235</v>
      </c>
      <c r="H187" s="13">
        <f t="shared" si="19"/>
        <v>2</v>
      </c>
      <c r="I187" s="130">
        <f>(48*2700)+200000</f>
        <v>329600</v>
      </c>
      <c r="J187" s="130">
        <f t="shared" si="15"/>
        <v>659200</v>
      </c>
      <c r="K187" s="16"/>
    </row>
    <row r="188" spans="1:12" ht="21.5" thickBot="1">
      <c r="A188" s="259"/>
      <c r="B188" s="9" t="s">
        <v>67</v>
      </c>
      <c r="C188" s="9" t="s">
        <v>226</v>
      </c>
      <c r="D188" s="9" t="s">
        <v>113</v>
      </c>
      <c r="E188" s="9" t="s">
        <v>113</v>
      </c>
      <c r="F188" s="9">
        <v>1</v>
      </c>
      <c r="G188" s="9" t="s">
        <v>240</v>
      </c>
      <c r="H188" s="9">
        <f t="shared" si="19"/>
        <v>1</v>
      </c>
      <c r="I188" s="135">
        <v>13400</v>
      </c>
      <c r="J188" s="135">
        <f t="shared" si="15"/>
        <v>13400</v>
      </c>
      <c r="K188" s="14"/>
      <c r="L188" s="106">
        <f>SUM(J179:J188)</f>
        <v>1729813</v>
      </c>
    </row>
    <row r="189" spans="1:12">
      <c r="A189" s="274">
        <v>18</v>
      </c>
      <c r="B189" s="10" t="s">
        <v>67</v>
      </c>
      <c r="C189" s="10" t="s">
        <v>227</v>
      </c>
      <c r="D189" s="10" t="s">
        <v>552</v>
      </c>
      <c r="E189" s="10" t="s">
        <v>522</v>
      </c>
      <c r="F189" s="10">
        <v>4</v>
      </c>
      <c r="G189" s="10" t="s">
        <v>560</v>
      </c>
      <c r="H189" s="10">
        <f>$K$6*F189</f>
        <v>4</v>
      </c>
      <c r="I189" s="134">
        <v>63000</v>
      </c>
      <c r="J189" s="134">
        <f t="shared" si="15"/>
        <v>252000</v>
      </c>
      <c r="K189" s="17"/>
    </row>
    <row r="190" spans="1:12">
      <c r="A190" s="258"/>
      <c r="B190" s="13" t="s">
        <v>67</v>
      </c>
      <c r="C190" s="13" t="s">
        <v>227</v>
      </c>
      <c r="D190" s="13" t="s">
        <v>498</v>
      </c>
      <c r="E190" s="13" t="s">
        <v>608</v>
      </c>
      <c r="F190" s="13">
        <v>1</v>
      </c>
      <c r="G190" s="13" t="s">
        <v>233</v>
      </c>
      <c r="H190" s="13">
        <f t="shared" ref="H190:H198" si="20">$K$6*F190</f>
        <v>1</v>
      </c>
      <c r="I190" s="13">
        <v>710000</v>
      </c>
      <c r="J190" s="13">
        <f t="shared" si="15"/>
        <v>710000</v>
      </c>
      <c r="K190" s="16" t="s">
        <v>238</v>
      </c>
    </row>
    <row r="191" spans="1:12">
      <c r="A191" s="258"/>
      <c r="B191" s="13" t="s">
        <v>67</v>
      </c>
      <c r="C191" s="13" t="s">
        <v>227</v>
      </c>
      <c r="D191" s="13" t="s">
        <v>493</v>
      </c>
      <c r="E191" s="13" t="s">
        <v>115</v>
      </c>
      <c r="F191" s="13">
        <v>96</v>
      </c>
      <c r="G191" s="13" t="s">
        <v>251</v>
      </c>
      <c r="H191" s="13">
        <f t="shared" si="20"/>
        <v>96</v>
      </c>
      <c r="I191" s="130">
        <v>460</v>
      </c>
      <c r="J191" s="130">
        <f t="shared" si="15"/>
        <v>44160</v>
      </c>
      <c r="K191" s="16"/>
    </row>
    <row r="192" spans="1:12">
      <c r="A192" s="258"/>
      <c r="B192" s="13" t="s">
        <v>67</v>
      </c>
      <c r="C192" s="13" t="s">
        <v>227</v>
      </c>
      <c r="D192" s="13" t="s">
        <v>502</v>
      </c>
      <c r="E192" s="13" t="s">
        <v>130</v>
      </c>
      <c r="F192" s="13">
        <v>1</v>
      </c>
      <c r="G192" s="13" t="s">
        <v>233</v>
      </c>
      <c r="H192" s="13">
        <f t="shared" si="20"/>
        <v>1</v>
      </c>
      <c r="I192" s="13"/>
      <c r="J192" s="13">
        <f t="shared" si="15"/>
        <v>0</v>
      </c>
      <c r="K192" s="16"/>
    </row>
    <row r="193" spans="1:12">
      <c r="A193" s="258"/>
      <c r="B193" s="13" t="s">
        <v>67</v>
      </c>
      <c r="C193" s="13" t="s">
        <v>227</v>
      </c>
      <c r="D193" s="13" t="s">
        <v>505</v>
      </c>
      <c r="E193" s="13" t="s">
        <v>131</v>
      </c>
      <c r="F193" s="13">
        <v>1</v>
      </c>
      <c r="G193" s="13" t="s">
        <v>233</v>
      </c>
      <c r="H193" s="13">
        <f t="shared" si="20"/>
        <v>1</v>
      </c>
      <c r="I193" s="13"/>
      <c r="J193" s="13">
        <f t="shared" si="15"/>
        <v>0</v>
      </c>
      <c r="K193" s="16"/>
    </row>
    <row r="194" spans="1:12">
      <c r="A194" s="258"/>
      <c r="B194" s="13" t="s">
        <v>67</v>
      </c>
      <c r="C194" s="13" t="s">
        <v>227</v>
      </c>
      <c r="D194" s="13" t="s">
        <v>509</v>
      </c>
      <c r="E194" s="13" t="s">
        <v>132</v>
      </c>
      <c r="F194" s="13">
        <v>1</v>
      </c>
      <c r="G194" s="13" t="s">
        <v>975</v>
      </c>
      <c r="H194" s="13">
        <f t="shared" si="20"/>
        <v>1</v>
      </c>
      <c r="I194" s="130">
        <v>4150</v>
      </c>
      <c r="J194" s="130">
        <f t="shared" si="15"/>
        <v>4150</v>
      </c>
      <c r="K194" s="16"/>
    </row>
    <row r="195" spans="1:12">
      <c r="A195" s="258"/>
      <c r="B195" s="13" t="s">
        <v>67</v>
      </c>
      <c r="C195" s="13" t="s">
        <v>227</v>
      </c>
      <c r="D195" s="13" t="s">
        <v>512</v>
      </c>
      <c r="E195" s="13" t="s">
        <v>620</v>
      </c>
      <c r="F195" s="13">
        <v>1</v>
      </c>
      <c r="G195" s="13" t="s">
        <v>233</v>
      </c>
      <c r="H195" s="13">
        <f t="shared" si="20"/>
        <v>1</v>
      </c>
      <c r="I195" s="60">
        <v>45000</v>
      </c>
      <c r="J195" s="130">
        <f t="shared" si="15"/>
        <v>45000</v>
      </c>
      <c r="K195" s="16"/>
    </row>
    <row r="196" spans="1:12">
      <c r="A196" s="258"/>
      <c r="B196" s="13" t="s">
        <v>67</v>
      </c>
      <c r="C196" s="13" t="s">
        <v>227</v>
      </c>
      <c r="D196" s="13" t="s">
        <v>514</v>
      </c>
      <c r="E196" s="13" t="s">
        <v>133</v>
      </c>
      <c r="F196" s="13">
        <v>1</v>
      </c>
      <c r="G196" s="13" t="s">
        <v>684</v>
      </c>
      <c r="H196" s="13">
        <f t="shared" si="20"/>
        <v>1</v>
      </c>
      <c r="I196" s="130">
        <v>1903</v>
      </c>
      <c r="J196" s="130">
        <f t="shared" si="15"/>
        <v>1903</v>
      </c>
      <c r="K196" s="16"/>
    </row>
    <row r="197" spans="1:12" ht="17.5" thickBot="1">
      <c r="A197" s="258"/>
      <c r="B197" s="13" t="s">
        <v>67</v>
      </c>
      <c r="C197" s="13" t="s">
        <v>227</v>
      </c>
      <c r="D197" s="13" t="s">
        <v>136</v>
      </c>
      <c r="E197" s="13" t="s">
        <v>136</v>
      </c>
      <c r="F197" s="13">
        <v>2</v>
      </c>
      <c r="G197" s="13" t="s">
        <v>235</v>
      </c>
      <c r="H197" s="13">
        <f t="shared" si="20"/>
        <v>2</v>
      </c>
      <c r="I197" s="130">
        <f>(48*2700)+200000</f>
        <v>329600</v>
      </c>
      <c r="J197" s="130">
        <f t="shared" si="15"/>
        <v>659200</v>
      </c>
      <c r="K197" s="16"/>
    </row>
    <row r="198" spans="1:12" ht="21.5" thickBot="1">
      <c r="A198" s="297"/>
      <c r="B198" s="15" t="s">
        <v>67</v>
      </c>
      <c r="C198" s="15" t="s">
        <v>227</v>
      </c>
      <c r="D198" s="15" t="s">
        <v>113</v>
      </c>
      <c r="E198" s="15" t="s">
        <v>113</v>
      </c>
      <c r="F198" s="15">
        <v>1</v>
      </c>
      <c r="G198" s="15" t="s">
        <v>240</v>
      </c>
      <c r="H198" s="15">
        <f t="shared" si="20"/>
        <v>1</v>
      </c>
      <c r="I198" s="136">
        <v>13400</v>
      </c>
      <c r="J198" s="136">
        <f t="shared" si="15"/>
        <v>13400</v>
      </c>
      <c r="K198" s="22"/>
      <c r="L198" s="106">
        <f>SUM(J189:J198)</f>
        <v>1729813</v>
      </c>
    </row>
    <row r="199" spans="1:12">
      <c r="A199" s="257">
        <v>19</v>
      </c>
      <c r="B199" s="11" t="s">
        <v>67</v>
      </c>
      <c r="C199" s="11" t="s">
        <v>228</v>
      </c>
      <c r="D199" s="11" t="s">
        <v>552</v>
      </c>
      <c r="E199" s="11" t="s">
        <v>522</v>
      </c>
      <c r="F199" s="11">
        <v>4</v>
      </c>
      <c r="G199" s="11" t="s">
        <v>560</v>
      </c>
      <c r="H199" s="11">
        <f>$K$7*F199</f>
        <v>4</v>
      </c>
      <c r="I199" s="103">
        <v>63000</v>
      </c>
      <c r="J199" s="103">
        <f t="shared" si="15"/>
        <v>252000</v>
      </c>
      <c r="K199" s="12"/>
    </row>
    <row r="200" spans="1:12">
      <c r="A200" s="258"/>
      <c r="B200" s="13" t="s">
        <v>67</v>
      </c>
      <c r="C200" s="13" t="s">
        <v>228</v>
      </c>
      <c r="D200" s="13" t="s">
        <v>498</v>
      </c>
      <c r="E200" s="13" t="s">
        <v>608</v>
      </c>
      <c r="F200" s="13">
        <v>1</v>
      </c>
      <c r="G200" s="13" t="s">
        <v>233</v>
      </c>
      <c r="H200" s="13">
        <f t="shared" ref="H200:H208" si="21">$K$7*F200</f>
        <v>1</v>
      </c>
      <c r="I200" s="13">
        <v>710000</v>
      </c>
      <c r="J200" s="13">
        <f t="shared" si="15"/>
        <v>710000</v>
      </c>
      <c r="K200" s="16" t="s">
        <v>238</v>
      </c>
    </row>
    <row r="201" spans="1:12">
      <c r="A201" s="258"/>
      <c r="B201" s="13" t="s">
        <v>67</v>
      </c>
      <c r="C201" s="13" t="s">
        <v>228</v>
      </c>
      <c r="D201" s="13" t="s">
        <v>494</v>
      </c>
      <c r="E201" s="13" t="s">
        <v>116</v>
      </c>
      <c r="F201" s="13">
        <v>96</v>
      </c>
      <c r="G201" s="13" t="s">
        <v>251</v>
      </c>
      <c r="H201" s="13">
        <f t="shared" si="21"/>
        <v>96</v>
      </c>
      <c r="I201" s="130">
        <v>460</v>
      </c>
      <c r="J201" s="130">
        <f t="shared" si="15"/>
        <v>44160</v>
      </c>
      <c r="K201" s="16"/>
    </row>
    <row r="202" spans="1:12">
      <c r="A202" s="258"/>
      <c r="B202" s="13" t="s">
        <v>67</v>
      </c>
      <c r="C202" s="13" t="s">
        <v>228</v>
      </c>
      <c r="D202" s="13" t="s">
        <v>502</v>
      </c>
      <c r="E202" s="13" t="s">
        <v>130</v>
      </c>
      <c r="F202" s="13">
        <v>1</v>
      </c>
      <c r="G202" s="13" t="s">
        <v>233</v>
      </c>
      <c r="H202" s="13">
        <f t="shared" si="21"/>
        <v>1</v>
      </c>
      <c r="I202" s="13"/>
      <c r="J202" s="13">
        <f t="shared" si="15"/>
        <v>0</v>
      </c>
      <c r="K202" s="16"/>
    </row>
    <row r="203" spans="1:12">
      <c r="A203" s="258"/>
      <c r="B203" s="13" t="s">
        <v>67</v>
      </c>
      <c r="C203" s="13" t="s">
        <v>228</v>
      </c>
      <c r="D203" s="13" t="s">
        <v>505</v>
      </c>
      <c r="E203" s="13" t="s">
        <v>131</v>
      </c>
      <c r="F203" s="13">
        <v>1</v>
      </c>
      <c r="G203" s="13" t="s">
        <v>233</v>
      </c>
      <c r="H203" s="13">
        <f t="shared" si="21"/>
        <v>1</v>
      </c>
      <c r="I203" s="13"/>
      <c r="J203" s="13">
        <f t="shared" si="15"/>
        <v>0</v>
      </c>
      <c r="K203" s="16"/>
    </row>
    <row r="204" spans="1:12">
      <c r="A204" s="258"/>
      <c r="B204" s="13" t="s">
        <v>67</v>
      </c>
      <c r="C204" s="13" t="s">
        <v>228</v>
      </c>
      <c r="D204" s="13" t="s">
        <v>509</v>
      </c>
      <c r="E204" s="13" t="s">
        <v>132</v>
      </c>
      <c r="F204" s="13">
        <v>1</v>
      </c>
      <c r="G204" s="13" t="s">
        <v>975</v>
      </c>
      <c r="H204" s="13">
        <f t="shared" si="21"/>
        <v>1</v>
      </c>
      <c r="I204" s="130">
        <v>4150</v>
      </c>
      <c r="J204" s="130">
        <f t="shared" si="15"/>
        <v>4150</v>
      </c>
      <c r="K204" s="16"/>
    </row>
    <row r="205" spans="1:12">
      <c r="A205" s="258"/>
      <c r="B205" s="13" t="s">
        <v>67</v>
      </c>
      <c r="C205" s="13" t="s">
        <v>228</v>
      </c>
      <c r="D205" s="13" t="s">
        <v>512</v>
      </c>
      <c r="E205" s="13" t="s">
        <v>974</v>
      </c>
      <c r="F205" s="13">
        <v>1</v>
      </c>
      <c r="G205" s="13" t="s">
        <v>233</v>
      </c>
      <c r="H205" s="13">
        <f t="shared" si="21"/>
        <v>1</v>
      </c>
      <c r="I205" s="60">
        <v>45000</v>
      </c>
      <c r="J205" s="130">
        <f t="shared" si="15"/>
        <v>45000</v>
      </c>
      <c r="K205" s="16"/>
    </row>
    <row r="206" spans="1:12">
      <c r="A206" s="258"/>
      <c r="B206" s="13" t="s">
        <v>67</v>
      </c>
      <c r="C206" s="13" t="s">
        <v>228</v>
      </c>
      <c r="D206" s="13" t="s">
        <v>514</v>
      </c>
      <c r="E206" s="13" t="s">
        <v>133</v>
      </c>
      <c r="F206" s="13">
        <v>1</v>
      </c>
      <c r="G206" s="13" t="s">
        <v>684</v>
      </c>
      <c r="H206" s="13">
        <f t="shared" si="21"/>
        <v>1</v>
      </c>
      <c r="I206" s="130">
        <v>1903</v>
      </c>
      <c r="J206" s="130">
        <f t="shared" si="15"/>
        <v>1903</v>
      </c>
      <c r="K206" s="16"/>
    </row>
    <row r="207" spans="1:12" ht="17.5" thickBot="1">
      <c r="A207" s="258"/>
      <c r="B207" s="13" t="s">
        <v>67</v>
      </c>
      <c r="C207" s="13" t="s">
        <v>228</v>
      </c>
      <c r="D207" s="13" t="s">
        <v>136</v>
      </c>
      <c r="E207" s="13" t="s">
        <v>136</v>
      </c>
      <c r="F207" s="13">
        <v>2</v>
      </c>
      <c r="G207" s="13" t="s">
        <v>235</v>
      </c>
      <c r="H207" s="13">
        <f t="shared" si="21"/>
        <v>2</v>
      </c>
      <c r="I207" s="130">
        <f>(48*2700)+200000</f>
        <v>329600</v>
      </c>
      <c r="J207" s="130">
        <f t="shared" si="15"/>
        <v>659200</v>
      </c>
      <c r="K207" s="16"/>
    </row>
    <row r="208" spans="1:12" ht="21.5" thickBot="1">
      <c r="A208" s="259"/>
      <c r="B208" s="9" t="s">
        <v>67</v>
      </c>
      <c r="C208" s="9" t="s">
        <v>228</v>
      </c>
      <c r="D208" s="9" t="s">
        <v>113</v>
      </c>
      <c r="E208" s="9" t="s">
        <v>113</v>
      </c>
      <c r="F208" s="9">
        <v>1</v>
      </c>
      <c r="G208" s="9" t="s">
        <v>240</v>
      </c>
      <c r="H208" s="9">
        <f t="shared" si="21"/>
        <v>1</v>
      </c>
      <c r="I208" s="135">
        <v>13400</v>
      </c>
      <c r="J208" s="135">
        <f t="shared" si="15"/>
        <v>13400</v>
      </c>
      <c r="K208" s="14"/>
      <c r="L208" s="106">
        <f>SUM(J199:J208)</f>
        <v>1729813</v>
      </c>
    </row>
    <row r="209" spans="1:12">
      <c r="A209" s="274">
        <v>20</v>
      </c>
      <c r="B209" s="10" t="s">
        <v>67</v>
      </c>
      <c r="C209" s="10" t="s">
        <v>229</v>
      </c>
      <c r="D209" s="10" t="s">
        <v>552</v>
      </c>
      <c r="E209" s="10" t="s">
        <v>522</v>
      </c>
      <c r="F209" s="10">
        <v>4</v>
      </c>
      <c r="G209" s="10" t="s">
        <v>560</v>
      </c>
      <c r="H209" s="10">
        <f>$K$8*F209</f>
        <v>4</v>
      </c>
      <c r="I209" s="134">
        <v>63000</v>
      </c>
      <c r="J209" s="134">
        <f t="shared" si="15"/>
        <v>252000</v>
      </c>
      <c r="K209" s="17"/>
    </row>
    <row r="210" spans="1:12">
      <c r="A210" s="258"/>
      <c r="B210" s="13" t="s">
        <v>67</v>
      </c>
      <c r="C210" s="13" t="s">
        <v>229</v>
      </c>
      <c r="D210" s="13" t="s">
        <v>498</v>
      </c>
      <c r="E210" s="13" t="s">
        <v>608</v>
      </c>
      <c r="F210" s="13">
        <v>1</v>
      </c>
      <c r="G210" s="13" t="s">
        <v>233</v>
      </c>
      <c r="H210" s="13">
        <f t="shared" ref="H210:H217" si="22">$K$8*F210</f>
        <v>1</v>
      </c>
      <c r="I210" s="13">
        <v>710000</v>
      </c>
      <c r="J210" s="13">
        <f t="shared" si="15"/>
        <v>710000</v>
      </c>
      <c r="K210" s="16" t="s">
        <v>238</v>
      </c>
    </row>
    <row r="211" spans="1:12">
      <c r="A211" s="258"/>
      <c r="B211" s="13" t="s">
        <v>67</v>
      </c>
      <c r="C211" s="13" t="s">
        <v>229</v>
      </c>
      <c r="D211" s="13" t="s">
        <v>502</v>
      </c>
      <c r="E211" s="13" t="s">
        <v>130</v>
      </c>
      <c r="F211" s="13">
        <v>1</v>
      </c>
      <c r="G211" s="13" t="s">
        <v>233</v>
      </c>
      <c r="H211" s="13">
        <f t="shared" si="22"/>
        <v>1</v>
      </c>
      <c r="I211" s="13"/>
      <c r="J211" s="13">
        <f t="shared" si="15"/>
        <v>0</v>
      </c>
      <c r="K211" s="16"/>
    </row>
    <row r="212" spans="1:12">
      <c r="A212" s="258"/>
      <c r="B212" s="13" t="s">
        <v>67</v>
      </c>
      <c r="C212" s="13" t="s">
        <v>229</v>
      </c>
      <c r="D212" s="13" t="s">
        <v>505</v>
      </c>
      <c r="E212" s="13" t="s">
        <v>131</v>
      </c>
      <c r="F212" s="13">
        <v>1</v>
      </c>
      <c r="G212" s="13" t="s">
        <v>233</v>
      </c>
      <c r="H212" s="13">
        <f t="shared" si="22"/>
        <v>1</v>
      </c>
      <c r="I212" s="13"/>
      <c r="J212" s="13">
        <f t="shared" ref="J212:J275" si="23">H212*I212</f>
        <v>0</v>
      </c>
      <c r="K212" s="16"/>
    </row>
    <row r="213" spans="1:12">
      <c r="A213" s="258"/>
      <c r="B213" s="13" t="s">
        <v>67</v>
      </c>
      <c r="C213" s="13" t="s">
        <v>229</v>
      </c>
      <c r="D213" s="13" t="s">
        <v>509</v>
      </c>
      <c r="E213" s="13" t="s">
        <v>132</v>
      </c>
      <c r="F213" s="13">
        <v>1</v>
      </c>
      <c r="G213" s="13" t="s">
        <v>975</v>
      </c>
      <c r="H213" s="13">
        <f t="shared" si="22"/>
        <v>1</v>
      </c>
      <c r="I213" s="130">
        <v>4150</v>
      </c>
      <c r="J213" s="130">
        <f t="shared" si="23"/>
        <v>4150</v>
      </c>
      <c r="K213" s="16"/>
    </row>
    <row r="214" spans="1:12">
      <c r="A214" s="258"/>
      <c r="B214" s="13" t="s">
        <v>67</v>
      </c>
      <c r="C214" s="13" t="s">
        <v>229</v>
      </c>
      <c r="D214" s="13" t="s">
        <v>512</v>
      </c>
      <c r="E214" s="13" t="s">
        <v>974</v>
      </c>
      <c r="F214" s="13">
        <v>1</v>
      </c>
      <c r="G214" s="13" t="s">
        <v>233</v>
      </c>
      <c r="H214" s="13">
        <f t="shared" si="22"/>
        <v>1</v>
      </c>
      <c r="I214" s="60">
        <v>45000</v>
      </c>
      <c r="J214" s="130">
        <f t="shared" si="23"/>
        <v>45000</v>
      </c>
      <c r="K214" s="16"/>
    </row>
    <row r="215" spans="1:12">
      <c r="A215" s="258"/>
      <c r="B215" s="13" t="s">
        <v>67</v>
      </c>
      <c r="C215" s="13" t="s">
        <v>229</v>
      </c>
      <c r="D215" s="13" t="s">
        <v>514</v>
      </c>
      <c r="E215" s="13" t="s">
        <v>133</v>
      </c>
      <c r="F215" s="13">
        <v>1</v>
      </c>
      <c r="G215" s="13" t="s">
        <v>684</v>
      </c>
      <c r="H215" s="13">
        <f t="shared" si="22"/>
        <v>1</v>
      </c>
      <c r="I215" s="130">
        <v>1903</v>
      </c>
      <c r="J215" s="130">
        <f t="shared" si="23"/>
        <v>1903</v>
      </c>
      <c r="K215" s="16"/>
    </row>
    <row r="216" spans="1:12" ht="17.5" thickBot="1">
      <c r="A216" s="258"/>
      <c r="B216" s="13" t="s">
        <v>67</v>
      </c>
      <c r="C216" s="13" t="s">
        <v>229</v>
      </c>
      <c r="D216" s="13" t="s">
        <v>136</v>
      </c>
      <c r="E216" s="13" t="s">
        <v>136</v>
      </c>
      <c r="F216" s="13">
        <v>2</v>
      </c>
      <c r="G216" s="13" t="s">
        <v>235</v>
      </c>
      <c r="H216" s="13">
        <f t="shared" si="22"/>
        <v>2</v>
      </c>
      <c r="I216" s="130">
        <f>(48*2700)+200000</f>
        <v>329600</v>
      </c>
      <c r="J216" s="130">
        <f t="shared" si="23"/>
        <v>659200</v>
      </c>
      <c r="K216" s="16"/>
    </row>
    <row r="217" spans="1:12" ht="21.5" thickBot="1">
      <c r="A217" s="297"/>
      <c r="B217" s="15" t="s">
        <v>67</v>
      </c>
      <c r="C217" s="15" t="s">
        <v>229</v>
      </c>
      <c r="D217" s="15" t="s">
        <v>113</v>
      </c>
      <c r="E217" s="15" t="s">
        <v>113</v>
      </c>
      <c r="F217" s="15">
        <v>1</v>
      </c>
      <c r="G217" s="15" t="s">
        <v>240</v>
      </c>
      <c r="H217" s="15">
        <f t="shared" si="22"/>
        <v>1</v>
      </c>
      <c r="I217" s="136">
        <v>13400</v>
      </c>
      <c r="J217" s="136">
        <f t="shared" si="23"/>
        <v>13400</v>
      </c>
      <c r="K217" s="22"/>
      <c r="L217" s="106">
        <f>SUM(J209:J217)</f>
        <v>1685653</v>
      </c>
    </row>
    <row r="218" spans="1:12">
      <c r="A218" s="257">
        <v>21</v>
      </c>
      <c r="B218" s="11" t="s">
        <v>73</v>
      </c>
      <c r="C218" s="11" t="s">
        <v>199</v>
      </c>
      <c r="D218" s="11" t="s">
        <v>564</v>
      </c>
      <c r="E218" s="11" t="s">
        <v>522</v>
      </c>
      <c r="F218" s="11">
        <v>4</v>
      </c>
      <c r="G218" s="11" t="s">
        <v>560</v>
      </c>
      <c r="H218" s="11">
        <f>$K$9*F218</f>
        <v>4</v>
      </c>
      <c r="I218" s="103">
        <v>88000</v>
      </c>
      <c r="J218" s="103">
        <f t="shared" si="23"/>
        <v>352000</v>
      </c>
      <c r="K218" s="12"/>
    </row>
    <row r="219" spans="1:12">
      <c r="A219" s="258"/>
      <c r="B219" s="13" t="s">
        <v>73</v>
      </c>
      <c r="C219" s="13" t="s">
        <v>199</v>
      </c>
      <c r="D219" s="13" t="s">
        <v>498</v>
      </c>
      <c r="E219" s="13" t="s">
        <v>608</v>
      </c>
      <c r="F219" s="13">
        <v>1</v>
      </c>
      <c r="G219" s="13" t="s">
        <v>233</v>
      </c>
      <c r="H219" s="13">
        <f t="shared" ref="H219:H227" si="24">$K$9*F219</f>
        <v>1</v>
      </c>
      <c r="I219" s="13">
        <v>710000</v>
      </c>
      <c r="J219" s="13">
        <f t="shared" si="23"/>
        <v>710000</v>
      </c>
      <c r="K219" s="16" t="s">
        <v>238</v>
      </c>
    </row>
    <row r="220" spans="1:12">
      <c r="A220" s="258"/>
      <c r="B220" s="13" t="s">
        <v>73</v>
      </c>
      <c r="C220" s="13" t="s">
        <v>199</v>
      </c>
      <c r="D220" s="13" t="s">
        <v>491</v>
      </c>
      <c r="E220" s="13" t="s">
        <v>107</v>
      </c>
      <c r="F220" s="13">
        <v>112</v>
      </c>
      <c r="G220" s="13" t="s">
        <v>251</v>
      </c>
      <c r="H220" s="13">
        <f t="shared" si="24"/>
        <v>112</v>
      </c>
      <c r="I220" s="130">
        <v>460</v>
      </c>
      <c r="J220" s="130">
        <f t="shared" si="23"/>
        <v>51520</v>
      </c>
      <c r="K220" s="16"/>
    </row>
    <row r="221" spans="1:12">
      <c r="A221" s="258"/>
      <c r="B221" s="13" t="s">
        <v>73</v>
      </c>
      <c r="C221" s="13" t="s">
        <v>199</v>
      </c>
      <c r="D221" s="13" t="s">
        <v>502</v>
      </c>
      <c r="E221" s="13" t="s">
        <v>130</v>
      </c>
      <c r="F221" s="13">
        <v>1</v>
      </c>
      <c r="G221" s="13" t="s">
        <v>233</v>
      </c>
      <c r="H221" s="13">
        <f t="shared" si="24"/>
        <v>1</v>
      </c>
      <c r="I221" s="13"/>
      <c r="J221" s="13">
        <f t="shared" si="23"/>
        <v>0</v>
      </c>
      <c r="K221" s="16"/>
    </row>
    <row r="222" spans="1:12">
      <c r="A222" s="258"/>
      <c r="B222" s="13" t="s">
        <v>73</v>
      </c>
      <c r="C222" s="13" t="s">
        <v>199</v>
      </c>
      <c r="D222" s="13" t="s">
        <v>505</v>
      </c>
      <c r="E222" s="13" t="s">
        <v>131</v>
      </c>
      <c r="F222" s="13">
        <v>1</v>
      </c>
      <c r="G222" s="13" t="s">
        <v>233</v>
      </c>
      <c r="H222" s="13">
        <f t="shared" si="24"/>
        <v>1</v>
      </c>
      <c r="I222" s="13"/>
      <c r="J222" s="13">
        <f t="shared" si="23"/>
        <v>0</v>
      </c>
      <c r="K222" s="16"/>
    </row>
    <row r="223" spans="1:12">
      <c r="A223" s="258"/>
      <c r="B223" s="13" t="s">
        <v>73</v>
      </c>
      <c r="C223" s="13" t="s">
        <v>199</v>
      </c>
      <c r="D223" s="13" t="s">
        <v>509</v>
      </c>
      <c r="E223" s="13" t="s">
        <v>132</v>
      </c>
      <c r="F223" s="13">
        <v>1</v>
      </c>
      <c r="G223" s="13" t="s">
        <v>975</v>
      </c>
      <c r="H223" s="13">
        <f t="shared" si="24"/>
        <v>1</v>
      </c>
      <c r="I223" s="130">
        <v>4150</v>
      </c>
      <c r="J223" s="130">
        <f t="shared" si="23"/>
        <v>4150</v>
      </c>
      <c r="K223" s="16"/>
    </row>
    <row r="224" spans="1:12">
      <c r="A224" s="258"/>
      <c r="B224" s="13" t="s">
        <v>73</v>
      </c>
      <c r="C224" s="13" t="s">
        <v>199</v>
      </c>
      <c r="D224" s="13" t="s">
        <v>512</v>
      </c>
      <c r="E224" s="13" t="s">
        <v>974</v>
      </c>
      <c r="F224" s="13">
        <v>1</v>
      </c>
      <c r="G224" s="13" t="s">
        <v>233</v>
      </c>
      <c r="H224" s="13">
        <f t="shared" si="24"/>
        <v>1</v>
      </c>
      <c r="I224" s="60">
        <v>45000</v>
      </c>
      <c r="J224" s="130">
        <f t="shared" si="23"/>
        <v>45000</v>
      </c>
      <c r="K224" s="16"/>
    </row>
    <row r="225" spans="1:12">
      <c r="A225" s="258"/>
      <c r="B225" s="13" t="s">
        <v>73</v>
      </c>
      <c r="C225" s="13" t="s">
        <v>199</v>
      </c>
      <c r="D225" s="13" t="s">
        <v>514</v>
      </c>
      <c r="E225" s="13" t="s">
        <v>573</v>
      </c>
      <c r="F225" s="13">
        <v>1</v>
      </c>
      <c r="G225" s="13" t="s">
        <v>684</v>
      </c>
      <c r="H225" s="13">
        <f t="shared" si="24"/>
        <v>1</v>
      </c>
      <c r="I225" s="130">
        <v>1903</v>
      </c>
      <c r="J225" s="130">
        <f t="shared" si="23"/>
        <v>1903</v>
      </c>
      <c r="K225" s="16"/>
    </row>
    <row r="226" spans="1:12" ht="17.5" thickBot="1">
      <c r="A226" s="258"/>
      <c r="B226" s="13" t="s">
        <v>73</v>
      </c>
      <c r="C226" s="13" t="s">
        <v>199</v>
      </c>
      <c r="D226" s="13" t="s">
        <v>136</v>
      </c>
      <c r="E226" s="13" t="s">
        <v>136</v>
      </c>
      <c r="F226" s="13">
        <v>2</v>
      </c>
      <c r="G226" s="13" t="s">
        <v>235</v>
      </c>
      <c r="H226" s="13">
        <f t="shared" si="24"/>
        <v>2</v>
      </c>
      <c r="I226" s="130">
        <f>(56*2700)+200000</f>
        <v>351200</v>
      </c>
      <c r="J226" s="130">
        <f t="shared" si="23"/>
        <v>702400</v>
      </c>
      <c r="K226" s="16"/>
    </row>
    <row r="227" spans="1:12" ht="21.5" thickBot="1">
      <c r="A227" s="259"/>
      <c r="B227" s="9" t="s">
        <v>73</v>
      </c>
      <c r="C227" s="9" t="s">
        <v>199</v>
      </c>
      <c r="D227" s="9" t="s">
        <v>113</v>
      </c>
      <c r="E227" s="9" t="s">
        <v>113</v>
      </c>
      <c r="F227" s="9">
        <v>1</v>
      </c>
      <c r="G227" s="9" t="s">
        <v>240</v>
      </c>
      <c r="H227" s="9">
        <f t="shared" si="24"/>
        <v>1</v>
      </c>
      <c r="I227" s="135">
        <v>13400</v>
      </c>
      <c r="J227" s="135">
        <f t="shared" si="23"/>
        <v>13400</v>
      </c>
      <c r="K227" s="14"/>
      <c r="L227" s="106">
        <f>SUM(J218:J227)</f>
        <v>1880373</v>
      </c>
    </row>
    <row r="228" spans="1:12">
      <c r="A228" s="274">
        <v>22</v>
      </c>
      <c r="B228" s="10" t="s">
        <v>73</v>
      </c>
      <c r="C228" s="10" t="s">
        <v>200</v>
      </c>
      <c r="D228" s="10" t="s">
        <v>118</v>
      </c>
      <c r="E228" s="10" t="s">
        <v>522</v>
      </c>
      <c r="F228" s="10">
        <v>4</v>
      </c>
      <c r="G228" s="10" t="s">
        <v>560</v>
      </c>
      <c r="H228" s="10">
        <f>$K$10*F228</f>
        <v>4</v>
      </c>
      <c r="I228" s="134">
        <v>88000</v>
      </c>
      <c r="J228" s="134">
        <f t="shared" si="23"/>
        <v>352000</v>
      </c>
      <c r="K228" s="17"/>
    </row>
    <row r="229" spans="1:12">
      <c r="A229" s="258"/>
      <c r="B229" s="13" t="s">
        <v>73</v>
      </c>
      <c r="C229" s="13" t="s">
        <v>200</v>
      </c>
      <c r="D229" s="13" t="s">
        <v>498</v>
      </c>
      <c r="E229" s="13" t="s">
        <v>608</v>
      </c>
      <c r="F229" s="13">
        <v>1</v>
      </c>
      <c r="G229" s="13" t="s">
        <v>233</v>
      </c>
      <c r="H229" s="13">
        <f t="shared" ref="H229:H237" si="25">$K$10*F229</f>
        <v>1</v>
      </c>
      <c r="I229" s="13">
        <v>710000</v>
      </c>
      <c r="J229" s="13">
        <f t="shared" si="23"/>
        <v>710000</v>
      </c>
      <c r="K229" s="16" t="s">
        <v>238</v>
      </c>
    </row>
    <row r="230" spans="1:12">
      <c r="A230" s="258"/>
      <c r="B230" s="13" t="s">
        <v>73</v>
      </c>
      <c r="C230" s="13" t="s">
        <v>200</v>
      </c>
      <c r="D230" s="13" t="s">
        <v>492</v>
      </c>
      <c r="E230" s="13" t="s">
        <v>114</v>
      </c>
      <c r="F230" s="13">
        <v>112</v>
      </c>
      <c r="G230" s="13" t="s">
        <v>251</v>
      </c>
      <c r="H230" s="13">
        <f t="shared" si="25"/>
        <v>112</v>
      </c>
      <c r="I230" s="130">
        <v>460</v>
      </c>
      <c r="J230" s="130">
        <f t="shared" si="23"/>
        <v>51520</v>
      </c>
      <c r="K230" s="16"/>
    </row>
    <row r="231" spans="1:12">
      <c r="A231" s="258"/>
      <c r="B231" s="13" t="s">
        <v>73</v>
      </c>
      <c r="C231" s="13" t="s">
        <v>200</v>
      </c>
      <c r="D231" s="13" t="s">
        <v>502</v>
      </c>
      <c r="E231" s="13" t="s">
        <v>130</v>
      </c>
      <c r="F231" s="13">
        <v>1</v>
      </c>
      <c r="G231" s="13" t="s">
        <v>233</v>
      </c>
      <c r="H231" s="13">
        <f t="shared" si="25"/>
        <v>1</v>
      </c>
      <c r="I231" s="13"/>
      <c r="J231" s="13">
        <f t="shared" si="23"/>
        <v>0</v>
      </c>
      <c r="K231" s="16"/>
    </row>
    <row r="232" spans="1:12">
      <c r="A232" s="258"/>
      <c r="B232" s="13" t="s">
        <v>73</v>
      </c>
      <c r="C232" s="13" t="s">
        <v>200</v>
      </c>
      <c r="D232" s="13" t="s">
        <v>505</v>
      </c>
      <c r="E232" s="13" t="s">
        <v>131</v>
      </c>
      <c r="F232" s="13">
        <v>1</v>
      </c>
      <c r="G232" s="13" t="s">
        <v>233</v>
      </c>
      <c r="H232" s="13">
        <f t="shared" si="25"/>
        <v>1</v>
      </c>
      <c r="I232" s="13"/>
      <c r="J232" s="13">
        <f t="shared" si="23"/>
        <v>0</v>
      </c>
      <c r="K232" s="16"/>
    </row>
    <row r="233" spans="1:12">
      <c r="A233" s="258"/>
      <c r="B233" s="13" t="s">
        <v>73</v>
      </c>
      <c r="C233" s="13" t="s">
        <v>200</v>
      </c>
      <c r="D233" s="13" t="s">
        <v>509</v>
      </c>
      <c r="E233" s="13" t="s">
        <v>132</v>
      </c>
      <c r="F233" s="13">
        <v>1</v>
      </c>
      <c r="G233" s="13" t="s">
        <v>975</v>
      </c>
      <c r="H233" s="13">
        <f t="shared" si="25"/>
        <v>1</v>
      </c>
      <c r="I233" s="130">
        <v>4150</v>
      </c>
      <c r="J233" s="130">
        <f t="shared" si="23"/>
        <v>4150</v>
      </c>
      <c r="K233" s="16"/>
    </row>
    <row r="234" spans="1:12">
      <c r="A234" s="258"/>
      <c r="B234" s="13" t="s">
        <v>73</v>
      </c>
      <c r="C234" s="13" t="s">
        <v>200</v>
      </c>
      <c r="D234" s="13" t="s">
        <v>512</v>
      </c>
      <c r="E234" s="13" t="s">
        <v>974</v>
      </c>
      <c r="F234" s="13">
        <v>1</v>
      </c>
      <c r="G234" s="13" t="s">
        <v>233</v>
      </c>
      <c r="H234" s="13">
        <f t="shared" si="25"/>
        <v>1</v>
      </c>
      <c r="I234" s="60">
        <v>45000</v>
      </c>
      <c r="J234" s="130">
        <f t="shared" si="23"/>
        <v>45000</v>
      </c>
      <c r="K234" s="16"/>
    </row>
    <row r="235" spans="1:12">
      <c r="A235" s="258"/>
      <c r="B235" s="13" t="s">
        <v>73</v>
      </c>
      <c r="C235" s="13" t="s">
        <v>200</v>
      </c>
      <c r="D235" s="13" t="s">
        <v>514</v>
      </c>
      <c r="E235" s="13" t="s">
        <v>133</v>
      </c>
      <c r="F235" s="13">
        <v>1</v>
      </c>
      <c r="G235" s="13" t="s">
        <v>684</v>
      </c>
      <c r="H235" s="13">
        <f t="shared" si="25"/>
        <v>1</v>
      </c>
      <c r="I235" s="130">
        <v>1903</v>
      </c>
      <c r="J235" s="130">
        <f t="shared" si="23"/>
        <v>1903</v>
      </c>
      <c r="K235" s="16"/>
    </row>
    <row r="236" spans="1:12" ht="17.5" thickBot="1">
      <c r="A236" s="258"/>
      <c r="B236" s="13" t="s">
        <v>73</v>
      </c>
      <c r="C236" s="13" t="s">
        <v>200</v>
      </c>
      <c r="D236" s="13" t="s">
        <v>136</v>
      </c>
      <c r="E236" s="13" t="s">
        <v>136</v>
      </c>
      <c r="F236" s="13">
        <v>2</v>
      </c>
      <c r="G236" s="13" t="s">
        <v>235</v>
      </c>
      <c r="H236" s="13">
        <f t="shared" si="25"/>
        <v>2</v>
      </c>
      <c r="I236" s="130">
        <f>(56*2700)+200000</f>
        <v>351200</v>
      </c>
      <c r="J236" s="130">
        <f t="shared" si="23"/>
        <v>702400</v>
      </c>
      <c r="K236" s="16"/>
    </row>
    <row r="237" spans="1:12" ht="21.5" thickBot="1">
      <c r="A237" s="297"/>
      <c r="B237" s="15" t="s">
        <v>73</v>
      </c>
      <c r="C237" s="15" t="s">
        <v>200</v>
      </c>
      <c r="D237" s="15" t="s">
        <v>113</v>
      </c>
      <c r="E237" s="15" t="s">
        <v>113</v>
      </c>
      <c r="F237" s="15">
        <v>1</v>
      </c>
      <c r="G237" s="15" t="s">
        <v>240</v>
      </c>
      <c r="H237" s="15">
        <f t="shared" si="25"/>
        <v>1</v>
      </c>
      <c r="I237" s="136">
        <v>13400</v>
      </c>
      <c r="J237" s="136">
        <f t="shared" si="23"/>
        <v>13400</v>
      </c>
      <c r="K237" s="22"/>
      <c r="L237" s="106">
        <f>SUM(J228:J237)</f>
        <v>1880373</v>
      </c>
    </row>
    <row r="238" spans="1:12">
      <c r="A238" s="257">
        <v>23</v>
      </c>
      <c r="B238" s="11" t="s">
        <v>73</v>
      </c>
      <c r="C238" s="11" t="s">
        <v>201</v>
      </c>
      <c r="D238" s="11" t="s">
        <v>118</v>
      </c>
      <c r="E238" s="11" t="s">
        <v>522</v>
      </c>
      <c r="F238" s="11">
        <v>4</v>
      </c>
      <c r="G238" s="11" t="s">
        <v>560</v>
      </c>
      <c r="H238" s="11">
        <f>$K$11*F238</f>
        <v>4</v>
      </c>
      <c r="I238" s="103">
        <v>88000</v>
      </c>
      <c r="J238" s="103">
        <f t="shared" si="23"/>
        <v>352000</v>
      </c>
      <c r="K238" s="12"/>
    </row>
    <row r="239" spans="1:12">
      <c r="A239" s="258"/>
      <c r="B239" s="13" t="s">
        <v>73</v>
      </c>
      <c r="C239" s="13" t="s">
        <v>201</v>
      </c>
      <c r="D239" s="13" t="s">
        <v>498</v>
      </c>
      <c r="E239" s="13" t="s">
        <v>608</v>
      </c>
      <c r="F239" s="13">
        <v>1</v>
      </c>
      <c r="G239" s="13" t="s">
        <v>233</v>
      </c>
      <c r="H239" s="13">
        <f t="shared" ref="H239:H247" si="26">$K$11*F239</f>
        <v>1</v>
      </c>
      <c r="I239" s="13">
        <v>710000</v>
      </c>
      <c r="J239" s="13">
        <f t="shared" si="23"/>
        <v>710000</v>
      </c>
      <c r="K239" s="16" t="s">
        <v>238</v>
      </c>
    </row>
    <row r="240" spans="1:12">
      <c r="A240" s="258"/>
      <c r="B240" s="13" t="s">
        <v>73</v>
      </c>
      <c r="C240" s="13" t="s">
        <v>201</v>
      </c>
      <c r="D240" s="13" t="s">
        <v>493</v>
      </c>
      <c r="E240" s="13" t="s">
        <v>115</v>
      </c>
      <c r="F240" s="13">
        <v>112</v>
      </c>
      <c r="G240" s="13" t="s">
        <v>251</v>
      </c>
      <c r="H240" s="13">
        <f t="shared" si="26"/>
        <v>112</v>
      </c>
      <c r="I240" s="130">
        <v>460</v>
      </c>
      <c r="J240" s="130">
        <f t="shared" si="23"/>
        <v>51520</v>
      </c>
      <c r="K240" s="16"/>
    </row>
    <row r="241" spans="1:12">
      <c r="A241" s="258"/>
      <c r="B241" s="13" t="s">
        <v>73</v>
      </c>
      <c r="C241" s="13" t="s">
        <v>201</v>
      </c>
      <c r="D241" s="13" t="s">
        <v>502</v>
      </c>
      <c r="E241" s="13" t="s">
        <v>130</v>
      </c>
      <c r="F241" s="13">
        <v>1</v>
      </c>
      <c r="G241" s="13" t="s">
        <v>233</v>
      </c>
      <c r="H241" s="13">
        <f t="shared" si="26"/>
        <v>1</v>
      </c>
      <c r="I241" s="13"/>
      <c r="J241" s="13">
        <f t="shared" si="23"/>
        <v>0</v>
      </c>
      <c r="K241" s="16"/>
    </row>
    <row r="242" spans="1:12">
      <c r="A242" s="258"/>
      <c r="B242" s="13" t="s">
        <v>73</v>
      </c>
      <c r="C242" s="13" t="s">
        <v>201</v>
      </c>
      <c r="D242" s="13" t="s">
        <v>505</v>
      </c>
      <c r="E242" s="13" t="s">
        <v>131</v>
      </c>
      <c r="F242" s="13">
        <v>1</v>
      </c>
      <c r="G242" s="13" t="s">
        <v>233</v>
      </c>
      <c r="H242" s="13">
        <f t="shared" si="26"/>
        <v>1</v>
      </c>
      <c r="I242" s="13"/>
      <c r="J242" s="13">
        <f t="shared" si="23"/>
        <v>0</v>
      </c>
      <c r="K242" s="16"/>
    </row>
    <row r="243" spans="1:12">
      <c r="A243" s="258"/>
      <c r="B243" s="13" t="s">
        <v>73</v>
      </c>
      <c r="C243" s="13" t="s">
        <v>201</v>
      </c>
      <c r="D243" s="13" t="s">
        <v>509</v>
      </c>
      <c r="E243" s="13" t="s">
        <v>132</v>
      </c>
      <c r="F243" s="13">
        <v>1</v>
      </c>
      <c r="G243" s="13" t="s">
        <v>975</v>
      </c>
      <c r="H243" s="13">
        <f t="shared" si="26"/>
        <v>1</v>
      </c>
      <c r="I243" s="130">
        <v>4150</v>
      </c>
      <c r="J243" s="130">
        <f t="shared" si="23"/>
        <v>4150</v>
      </c>
      <c r="K243" s="16"/>
    </row>
    <row r="244" spans="1:12">
      <c r="A244" s="258"/>
      <c r="B244" s="13" t="s">
        <v>73</v>
      </c>
      <c r="C244" s="13" t="s">
        <v>201</v>
      </c>
      <c r="D244" s="13" t="s">
        <v>512</v>
      </c>
      <c r="E244" s="13" t="s">
        <v>620</v>
      </c>
      <c r="F244" s="13">
        <v>1</v>
      </c>
      <c r="G244" s="13" t="s">
        <v>233</v>
      </c>
      <c r="H244" s="13">
        <f t="shared" si="26"/>
        <v>1</v>
      </c>
      <c r="I244" s="60">
        <v>45000</v>
      </c>
      <c r="J244" s="130">
        <f t="shared" si="23"/>
        <v>45000</v>
      </c>
      <c r="K244" s="16"/>
    </row>
    <row r="245" spans="1:12">
      <c r="A245" s="258"/>
      <c r="B245" s="13" t="s">
        <v>73</v>
      </c>
      <c r="C245" s="13" t="s">
        <v>201</v>
      </c>
      <c r="D245" s="13" t="s">
        <v>514</v>
      </c>
      <c r="E245" s="13" t="s">
        <v>133</v>
      </c>
      <c r="F245" s="13">
        <v>1</v>
      </c>
      <c r="G245" s="13" t="s">
        <v>684</v>
      </c>
      <c r="H245" s="13">
        <f t="shared" si="26"/>
        <v>1</v>
      </c>
      <c r="I245" s="130">
        <v>1903</v>
      </c>
      <c r="J245" s="130">
        <f t="shared" si="23"/>
        <v>1903</v>
      </c>
      <c r="K245" s="16"/>
    </row>
    <row r="246" spans="1:12" ht="17.5" thickBot="1">
      <c r="A246" s="258"/>
      <c r="B246" s="13" t="s">
        <v>73</v>
      </c>
      <c r="C246" s="13" t="s">
        <v>201</v>
      </c>
      <c r="D246" s="13" t="s">
        <v>136</v>
      </c>
      <c r="E246" s="13" t="s">
        <v>136</v>
      </c>
      <c r="F246" s="13">
        <v>2</v>
      </c>
      <c r="G246" s="13" t="s">
        <v>235</v>
      </c>
      <c r="H246" s="13">
        <f t="shared" si="26"/>
        <v>2</v>
      </c>
      <c r="I246" s="130">
        <f>(56*2700)+200000</f>
        <v>351200</v>
      </c>
      <c r="J246" s="130">
        <f t="shared" si="23"/>
        <v>702400</v>
      </c>
      <c r="K246" s="16"/>
    </row>
    <row r="247" spans="1:12" ht="21.5" thickBot="1">
      <c r="A247" s="259"/>
      <c r="B247" s="9" t="s">
        <v>73</v>
      </c>
      <c r="C247" s="9" t="s">
        <v>201</v>
      </c>
      <c r="D247" s="9" t="s">
        <v>113</v>
      </c>
      <c r="E247" s="9" t="s">
        <v>113</v>
      </c>
      <c r="F247" s="9">
        <v>1</v>
      </c>
      <c r="G247" s="9" t="s">
        <v>240</v>
      </c>
      <c r="H247" s="9">
        <f t="shared" si="26"/>
        <v>1</v>
      </c>
      <c r="I247" s="135">
        <v>13400</v>
      </c>
      <c r="J247" s="135">
        <f t="shared" si="23"/>
        <v>13400</v>
      </c>
      <c r="K247" s="14"/>
      <c r="L247" s="106">
        <f>SUM(J238:J247)</f>
        <v>1880373</v>
      </c>
    </row>
    <row r="248" spans="1:12">
      <c r="A248" s="274">
        <v>24</v>
      </c>
      <c r="B248" s="10" t="s">
        <v>73</v>
      </c>
      <c r="C248" s="10" t="s">
        <v>202</v>
      </c>
      <c r="D248" s="10" t="s">
        <v>118</v>
      </c>
      <c r="E248" s="10" t="s">
        <v>522</v>
      </c>
      <c r="F248" s="10">
        <v>4</v>
      </c>
      <c r="G248" s="10" t="s">
        <v>560</v>
      </c>
      <c r="H248" s="10">
        <f>$K$12*F248</f>
        <v>4</v>
      </c>
      <c r="I248" s="134">
        <v>88000</v>
      </c>
      <c r="J248" s="134">
        <f t="shared" si="23"/>
        <v>352000</v>
      </c>
      <c r="K248" s="17"/>
    </row>
    <row r="249" spans="1:12">
      <c r="A249" s="258"/>
      <c r="B249" s="13" t="s">
        <v>73</v>
      </c>
      <c r="C249" s="13" t="s">
        <v>202</v>
      </c>
      <c r="D249" s="13" t="s">
        <v>498</v>
      </c>
      <c r="E249" s="13" t="s">
        <v>608</v>
      </c>
      <c r="F249" s="13">
        <v>1</v>
      </c>
      <c r="G249" s="13" t="s">
        <v>233</v>
      </c>
      <c r="H249" s="13">
        <f t="shared" ref="H249:H257" si="27">$K$12*F249</f>
        <v>1</v>
      </c>
      <c r="I249" s="13">
        <v>710000</v>
      </c>
      <c r="J249" s="13">
        <f t="shared" si="23"/>
        <v>710000</v>
      </c>
      <c r="K249" s="16" t="s">
        <v>238</v>
      </c>
    </row>
    <row r="250" spans="1:12">
      <c r="A250" s="258"/>
      <c r="B250" s="13" t="s">
        <v>73</v>
      </c>
      <c r="C250" s="13" t="s">
        <v>202</v>
      </c>
      <c r="D250" s="13" t="s">
        <v>494</v>
      </c>
      <c r="E250" s="13" t="s">
        <v>116</v>
      </c>
      <c r="F250" s="13">
        <v>112</v>
      </c>
      <c r="G250" s="13" t="s">
        <v>251</v>
      </c>
      <c r="H250" s="13">
        <f t="shared" si="27"/>
        <v>112</v>
      </c>
      <c r="I250" s="130">
        <v>460</v>
      </c>
      <c r="J250" s="130">
        <f t="shared" si="23"/>
        <v>51520</v>
      </c>
      <c r="K250" s="16"/>
    </row>
    <row r="251" spans="1:12">
      <c r="A251" s="258"/>
      <c r="B251" s="13" t="s">
        <v>73</v>
      </c>
      <c r="C251" s="13" t="s">
        <v>202</v>
      </c>
      <c r="D251" s="13" t="s">
        <v>502</v>
      </c>
      <c r="E251" s="13" t="s">
        <v>130</v>
      </c>
      <c r="F251" s="13">
        <v>1</v>
      </c>
      <c r="G251" s="13" t="s">
        <v>233</v>
      </c>
      <c r="H251" s="13">
        <f t="shared" si="27"/>
        <v>1</v>
      </c>
      <c r="I251" s="13"/>
      <c r="J251" s="13">
        <f t="shared" si="23"/>
        <v>0</v>
      </c>
      <c r="K251" s="16"/>
    </row>
    <row r="252" spans="1:12">
      <c r="A252" s="258"/>
      <c r="B252" s="13" t="s">
        <v>73</v>
      </c>
      <c r="C252" s="13" t="s">
        <v>202</v>
      </c>
      <c r="D252" s="13" t="s">
        <v>505</v>
      </c>
      <c r="E252" s="13" t="s">
        <v>131</v>
      </c>
      <c r="F252" s="13">
        <v>1</v>
      </c>
      <c r="G252" s="13" t="s">
        <v>233</v>
      </c>
      <c r="H252" s="13">
        <f t="shared" si="27"/>
        <v>1</v>
      </c>
      <c r="I252" s="13"/>
      <c r="J252" s="13">
        <f t="shared" si="23"/>
        <v>0</v>
      </c>
      <c r="K252" s="16"/>
    </row>
    <row r="253" spans="1:12">
      <c r="A253" s="258"/>
      <c r="B253" s="13" t="s">
        <v>73</v>
      </c>
      <c r="C253" s="13" t="s">
        <v>202</v>
      </c>
      <c r="D253" s="13" t="s">
        <v>509</v>
      </c>
      <c r="E253" s="13" t="s">
        <v>132</v>
      </c>
      <c r="F253" s="13">
        <v>1</v>
      </c>
      <c r="G253" s="13" t="s">
        <v>975</v>
      </c>
      <c r="H253" s="13">
        <f t="shared" si="27"/>
        <v>1</v>
      </c>
      <c r="I253" s="130">
        <v>4150</v>
      </c>
      <c r="J253" s="130">
        <f t="shared" si="23"/>
        <v>4150</v>
      </c>
      <c r="K253" s="16"/>
    </row>
    <row r="254" spans="1:12">
      <c r="A254" s="258"/>
      <c r="B254" s="13" t="s">
        <v>73</v>
      </c>
      <c r="C254" s="13" t="s">
        <v>202</v>
      </c>
      <c r="D254" s="13" t="s">
        <v>512</v>
      </c>
      <c r="E254" s="13" t="s">
        <v>974</v>
      </c>
      <c r="F254" s="13">
        <v>1</v>
      </c>
      <c r="G254" s="13" t="s">
        <v>233</v>
      </c>
      <c r="H254" s="13">
        <f t="shared" si="27"/>
        <v>1</v>
      </c>
      <c r="I254" s="60">
        <v>45000</v>
      </c>
      <c r="J254" s="130">
        <f t="shared" si="23"/>
        <v>45000</v>
      </c>
      <c r="K254" s="16"/>
    </row>
    <row r="255" spans="1:12">
      <c r="A255" s="258"/>
      <c r="B255" s="13" t="s">
        <v>73</v>
      </c>
      <c r="C255" s="13" t="s">
        <v>202</v>
      </c>
      <c r="D255" s="13" t="s">
        <v>514</v>
      </c>
      <c r="E255" s="13" t="s">
        <v>133</v>
      </c>
      <c r="F255" s="13">
        <v>1</v>
      </c>
      <c r="G255" s="13" t="s">
        <v>684</v>
      </c>
      <c r="H255" s="13">
        <f t="shared" si="27"/>
        <v>1</v>
      </c>
      <c r="I255" s="130">
        <v>1903</v>
      </c>
      <c r="J255" s="130">
        <f t="shared" si="23"/>
        <v>1903</v>
      </c>
      <c r="K255" s="16"/>
    </row>
    <row r="256" spans="1:12" ht="17.5" thickBot="1">
      <c r="A256" s="258"/>
      <c r="B256" s="13" t="s">
        <v>73</v>
      </c>
      <c r="C256" s="13" t="s">
        <v>202</v>
      </c>
      <c r="D256" s="13" t="s">
        <v>136</v>
      </c>
      <c r="E256" s="13" t="s">
        <v>136</v>
      </c>
      <c r="F256" s="13">
        <v>2</v>
      </c>
      <c r="G256" s="13" t="s">
        <v>235</v>
      </c>
      <c r="H256" s="13">
        <f t="shared" si="27"/>
        <v>2</v>
      </c>
      <c r="I256" s="130">
        <f>(56*2700)+200000</f>
        <v>351200</v>
      </c>
      <c r="J256" s="130">
        <f t="shared" si="23"/>
        <v>702400</v>
      </c>
      <c r="K256" s="16"/>
    </row>
    <row r="257" spans="1:12" ht="21.5" thickBot="1">
      <c r="A257" s="297"/>
      <c r="B257" s="15" t="s">
        <v>73</v>
      </c>
      <c r="C257" s="15" t="s">
        <v>202</v>
      </c>
      <c r="D257" s="15" t="s">
        <v>113</v>
      </c>
      <c r="E257" s="15" t="s">
        <v>113</v>
      </c>
      <c r="F257" s="15">
        <v>1</v>
      </c>
      <c r="G257" s="15" t="s">
        <v>240</v>
      </c>
      <c r="H257" s="15">
        <f t="shared" si="27"/>
        <v>1</v>
      </c>
      <c r="I257" s="136">
        <v>13400</v>
      </c>
      <c r="J257" s="136">
        <f t="shared" si="23"/>
        <v>13400</v>
      </c>
      <c r="K257" s="22"/>
      <c r="L257" s="106">
        <f>SUM(J248:J257)</f>
        <v>1880373</v>
      </c>
    </row>
    <row r="258" spans="1:12">
      <c r="A258" s="257">
        <v>25</v>
      </c>
      <c r="B258" s="11" t="s">
        <v>73</v>
      </c>
      <c r="C258" s="11" t="s">
        <v>203</v>
      </c>
      <c r="D258" s="11" t="s">
        <v>564</v>
      </c>
      <c r="E258" s="11" t="s">
        <v>522</v>
      </c>
      <c r="F258" s="11">
        <v>4</v>
      </c>
      <c r="G258" s="11" t="s">
        <v>560</v>
      </c>
      <c r="H258" s="11">
        <f>$K$13*F258</f>
        <v>4</v>
      </c>
      <c r="I258" s="103">
        <v>88000</v>
      </c>
      <c r="J258" s="103">
        <f t="shared" si="23"/>
        <v>352000</v>
      </c>
      <c r="K258" s="12"/>
    </row>
    <row r="259" spans="1:12">
      <c r="A259" s="258"/>
      <c r="B259" s="13" t="s">
        <v>73</v>
      </c>
      <c r="C259" s="13" t="s">
        <v>203</v>
      </c>
      <c r="D259" s="13" t="s">
        <v>498</v>
      </c>
      <c r="E259" s="13" t="s">
        <v>608</v>
      </c>
      <c r="F259" s="13">
        <v>1</v>
      </c>
      <c r="G259" s="13" t="s">
        <v>233</v>
      </c>
      <c r="H259" s="13">
        <f t="shared" ref="H259:H266" si="28">$K$13*F259</f>
        <v>1</v>
      </c>
      <c r="I259" s="13">
        <v>710000</v>
      </c>
      <c r="J259" s="13">
        <f t="shared" si="23"/>
        <v>710000</v>
      </c>
      <c r="K259" s="16" t="s">
        <v>238</v>
      </c>
    </row>
    <row r="260" spans="1:12">
      <c r="A260" s="258"/>
      <c r="B260" s="13" t="s">
        <v>73</v>
      </c>
      <c r="C260" s="13" t="s">
        <v>203</v>
      </c>
      <c r="D260" s="13" t="s">
        <v>502</v>
      </c>
      <c r="E260" s="13" t="s">
        <v>130</v>
      </c>
      <c r="F260" s="13">
        <v>1</v>
      </c>
      <c r="G260" s="13" t="s">
        <v>233</v>
      </c>
      <c r="H260" s="13">
        <f t="shared" si="28"/>
        <v>1</v>
      </c>
      <c r="I260" s="13"/>
      <c r="J260" s="13">
        <f t="shared" si="23"/>
        <v>0</v>
      </c>
      <c r="K260" s="16"/>
    </row>
    <row r="261" spans="1:12">
      <c r="A261" s="258"/>
      <c r="B261" s="13" t="s">
        <v>73</v>
      </c>
      <c r="C261" s="13" t="s">
        <v>203</v>
      </c>
      <c r="D261" s="13" t="s">
        <v>505</v>
      </c>
      <c r="E261" s="13" t="s">
        <v>131</v>
      </c>
      <c r="F261" s="13">
        <v>1</v>
      </c>
      <c r="G261" s="13" t="s">
        <v>233</v>
      </c>
      <c r="H261" s="13">
        <f t="shared" si="28"/>
        <v>1</v>
      </c>
      <c r="I261" s="13"/>
      <c r="J261" s="13">
        <f t="shared" si="23"/>
        <v>0</v>
      </c>
      <c r="K261" s="16"/>
    </row>
    <row r="262" spans="1:12">
      <c r="A262" s="258"/>
      <c r="B262" s="13" t="s">
        <v>73</v>
      </c>
      <c r="C262" s="13" t="s">
        <v>203</v>
      </c>
      <c r="D262" s="13" t="s">
        <v>509</v>
      </c>
      <c r="E262" s="13" t="s">
        <v>132</v>
      </c>
      <c r="F262" s="13">
        <v>1</v>
      </c>
      <c r="G262" s="13" t="s">
        <v>975</v>
      </c>
      <c r="H262" s="13">
        <f t="shared" si="28"/>
        <v>1</v>
      </c>
      <c r="I262" s="130">
        <v>4150</v>
      </c>
      <c r="J262" s="130">
        <f t="shared" si="23"/>
        <v>4150</v>
      </c>
      <c r="K262" s="16"/>
    </row>
    <row r="263" spans="1:12">
      <c r="A263" s="258"/>
      <c r="B263" s="13" t="s">
        <v>73</v>
      </c>
      <c r="C263" s="13" t="s">
        <v>203</v>
      </c>
      <c r="D263" s="13" t="s">
        <v>512</v>
      </c>
      <c r="E263" s="13" t="s">
        <v>974</v>
      </c>
      <c r="F263" s="13">
        <v>1</v>
      </c>
      <c r="G263" s="13" t="s">
        <v>233</v>
      </c>
      <c r="H263" s="13">
        <f t="shared" si="28"/>
        <v>1</v>
      </c>
      <c r="I263" s="60">
        <v>45000</v>
      </c>
      <c r="J263" s="130">
        <f t="shared" si="23"/>
        <v>45000</v>
      </c>
      <c r="K263" s="16"/>
    </row>
    <row r="264" spans="1:12">
      <c r="A264" s="258"/>
      <c r="B264" s="13" t="s">
        <v>73</v>
      </c>
      <c r="C264" s="13" t="s">
        <v>203</v>
      </c>
      <c r="D264" s="13" t="s">
        <v>514</v>
      </c>
      <c r="E264" s="13" t="s">
        <v>133</v>
      </c>
      <c r="F264" s="13">
        <v>1</v>
      </c>
      <c r="G264" s="13" t="s">
        <v>684</v>
      </c>
      <c r="H264" s="13">
        <f t="shared" si="28"/>
        <v>1</v>
      </c>
      <c r="I264" s="130">
        <v>1903</v>
      </c>
      <c r="J264" s="130">
        <f t="shared" si="23"/>
        <v>1903</v>
      </c>
      <c r="K264" s="16"/>
    </row>
    <row r="265" spans="1:12" ht="17.5" thickBot="1">
      <c r="A265" s="258"/>
      <c r="B265" s="13" t="s">
        <v>73</v>
      </c>
      <c r="C265" s="13" t="s">
        <v>203</v>
      </c>
      <c r="D265" s="13" t="s">
        <v>136</v>
      </c>
      <c r="E265" s="13" t="s">
        <v>136</v>
      </c>
      <c r="F265" s="13">
        <v>2</v>
      </c>
      <c r="G265" s="13" t="s">
        <v>235</v>
      </c>
      <c r="H265" s="13">
        <f t="shared" si="28"/>
        <v>2</v>
      </c>
      <c r="I265" s="130">
        <f>(56*2700)+200000</f>
        <v>351200</v>
      </c>
      <c r="J265" s="130">
        <f t="shared" si="23"/>
        <v>702400</v>
      </c>
      <c r="K265" s="16"/>
    </row>
    <row r="266" spans="1:12" ht="21.5" thickBot="1">
      <c r="A266" s="259"/>
      <c r="B266" s="9" t="s">
        <v>73</v>
      </c>
      <c r="C266" s="9" t="s">
        <v>203</v>
      </c>
      <c r="D266" s="9" t="s">
        <v>113</v>
      </c>
      <c r="E266" s="9" t="s">
        <v>113</v>
      </c>
      <c r="F266" s="9">
        <v>1</v>
      </c>
      <c r="G266" s="9" t="s">
        <v>240</v>
      </c>
      <c r="H266" s="9">
        <f t="shared" si="28"/>
        <v>1</v>
      </c>
      <c r="I266" s="135">
        <v>13400</v>
      </c>
      <c r="J266" s="135">
        <f t="shared" si="23"/>
        <v>13400</v>
      </c>
      <c r="K266" s="14"/>
      <c r="L266" s="106">
        <f>SUM(J258:J266)</f>
        <v>1828853</v>
      </c>
    </row>
    <row r="267" spans="1:12">
      <c r="A267" s="274">
        <v>26</v>
      </c>
      <c r="B267" s="10" t="s">
        <v>74</v>
      </c>
      <c r="C267" s="10" t="s">
        <v>204</v>
      </c>
      <c r="D267" s="10" t="s">
        <v>463</v>
      </c>
      <c r="E267" s="10" t="s">
        <v>522</v>
      </c>
      <c r="F267" s="10">
        <v>4</v>
      </c>
      <c r="G267" s="10" t="s">
        <v>560</v>
      </c>
      <c r="H267" s="10">
        <f>$K$14*F267</f>
        <v>4</v>
      </c>
      <c r="I267" s="134">
        <v>99000</v>
      </c>
      <c r="J267" s="134">
        <f t="shared" si="23"/>
        <v>396000</v>
      </c>
      <c r="K267" s="17"/>
    </row>
    <row r="268" spans="1:12">
      <c r="A268" s="258"/>
      <c r="B268" s="13" t="s">
        <v>74</v>
      </c>
      <c r="C268" s="13" t="s">
        <v>204</v>
      </c>
      <c r="D268" s="13" t="s">
        <v>498</v>
      </c>
      <c r="E268" s="13" t="s">
        <v>608</v>
      </c>
      <c r="F268" s="13">
        <v>1</v>
      </c>
      <c r="G268" s="13" t="s">
        <v>233</v>
      </c>
      <c r="H268" s="13">
        <f t="shared" ref="H268:H276" si="29">$K$14*F268</f>
        <v>1</v>
      </c>
      <c r="I268" s="13">
        <v>710000</v>
      </c>
      <c r="J268" s="13">
        <f t="shared" si="23"/>
        <v>710000</v>
      </c>
      <c r="K268" s="16" t="s">
        <v>238</v>
      </c>
    </row>
    <row r="269" spans="1:12">
      <c r="A269" s="258"/>
      <c r="B269" s="13" t="s">
        <v>74</v>
      </c>
      <c r="C269" s="13" t="s">
        <v>204</v>
      </c>
      <c r="D269" s="13" t="s">
        <v>491</v>
      </c>
      <c r="E269" s="13" t="s">
        <v>107</v>
      </c>
      <c r="F269" s="13">
        <v>120</v>
      </c>
      <c r="G269" s="13" t="s">
        <v>251</v>
      </c>
      <c r="H269" s="13">
        <f t="shared" si="29"/>
        <v>120</v>
      </c>
      <c r="I269" s="130">
        <v>460</v>
      </c>
      <c r="J269" s="130">
        <f t="shared" si="23"/>
        <v>55200</v>
      </c>
      <c r="K269" s="16"/>
    </row>
    <row r="270" spans="1:12">
      <c r="A270" s="258"/>
      <c r="B270" s="13" t="s">
        <v>74</v>
      </c>
      <c r="C270" s="13" t="s">
        <v>204</v>
      </c>
      <c r="D270" s="13" t="s">
        <v>502</v>
      </c>
      <c r="E270" s="13" t="s">
        <v>130</v>
      </c>
      <c r="F270" s="13">
        <v>1</v>
      </c>
      <c r="G270" s="13" t="s">
        <v>233</v>
      </c>
      <c r="H270" s="13">
        <f t="shared" si="29"/>
        <v>1</v>
      </c>
      <c r="I270" s="13"/>
      <c r="J270" s="13">
        <f t="shared" si="23"/>
        <v>0</v>
      </c>
      <c r="K270" s="16"/>
    </row>
    <row r="271" spans="1:12">
      <c r="A271" s="258"/>
      <c r="B271" s="13" t="s">
        <v>74</v>
      </c>
      <c r="C271" s="13" t="s">
        <v>204</v>
      </c>
      <c r="D271" s="13" t="s">
        <v>505</v>
      </c>
      <c r="E271" s="13" t="s">
        <v>131</v>
      </c>
      <c r="F271" s="13">
        <v>1</v>
      </c>
      <c r="G271" s="13" t="s">
        <v>233</v>
      </c>
      <c r="H271" s="13">
        <f t="shared" si="29"/>
        <v>1</v>
      </c>
      <c r="I271" s="13"/>
      <c r="J271" s="13">
        <f t="shared" si="23"/>
        <v>0</v>
      </c>
      <c r="K271" s="16"/>
    </row>
    <row r="272" spans="1:12">
      <c r="A272" s="258"/>
      <c r="B272" s="13" t="s">
        <v>74</v>
      </c>
      <c r="C272" s="13" t="s">
        <v>204</v>
      </c>
      <c r="D272" s="13" t="s">
        <v>509</v>
      </c>
      <c r="E272" s="13" t="s">
        <v>132</v>
      </c>
      <c r="F272" s="13">
        <v>1</v>
      </c>
      <c r="G272" s="13" t="s">
        <v>975</v>
      </c>
      <c r="H272" s="13">
        <f t="shared" si="29"/>
        <v>1</v>
      </c>
      <c r="I272" s="130">
        <v>4150</v>
      </c>
      <c r="J272" s="130">
        <f t="shared" si="23"/>
        <v>4150</v>
      </c>
      <c r="K272" s="16"/>
    </row>
    <row r="273" spans="1:12">
      <c r="A273" s="258"/>
      <c r="B273" s="13" t="s">
        <v>74</v>
      </c>
      <c r="C273" s="13" t="s">
        <v>204</v>
      </c>
      <c r="D273" s="13" t="s">
        <v>512</v>
      </c>
      <c r="E273" s="13" t="s">
        <v>974</v>
      </c>
      <c r="F273" s="13">
        <v>1</v>
      </c>
      <c r="G273" s="13" t="s">
        <v>233</v>
      </c>
      <c r="H273" s="13">
        <f t="shared" si="29"/>
        <v>1</v>
      </c>
      <c r="I273" s="60">
        <v>45000</v>
      </c>
      <c r="J273" s="130">
        <f t="shared" si="23"/>
        <v>45000</v>
      </c>
      <c r="K273" s="16"/>
    </row>
    <row r="274" spans="1:12">
      <c r="A274" s="258"/>
      <c r="B274" s="13" t="s">
        <v>74</v>
      </c>
      <c r="C274" s="13" t="s">
        <v>204</v>
      </c>
      <c r="D274" s="13" t="s">
        <v>514</v>
      </c>
      <c r="E274" s="13" t="s">
        <v>133</v>
      </c>
      <c r="F274" s="13">
        <v>1</v>
      </c>
      <c r="G274" s="13" t="s">
        <v>684</v>
      </c>
      <c r="H274" s="13">
        <f t="shared" si="29"/>
        <v>1</v>
      </c>
      <c r="I274" s="130">
        <v>1903</v>
      </c>
      <c r="J274" s="130">
        <f t="shared" si="23"/>
        <v>1903</v>
      </c>
      <c r="K274" s="16"/>
    </row>
    <row r="275" spans="1:12" ht="17.5" thickBot="1">
      <c r="A275" s="258"/>
      <c r="B275" s="13" t="s">
        <v>74</v>
      </c>
      <c r="C275" s="13" t="s">
        <v>204</v>
      </c>
      <c r="D275" s="13" t="s">
        <v>614</v>
      </c>
      <c r="E275" s="13" t="s">
        <v>614</v>
      </c>
      <c r="F275" s="13">
        <v>2</v>
      </c>
      <c r="G275" s="13" t="s">
        <v>235</v>
      </c>
      <c r="H275" s="13">
        <f t="shared" si="29"/>
        <v>2</v>
      </c>
      <c r="I275" s="130">
        <f>(60*2700)+200000</f>
        <v>362000</v>
      </c>
      <c r="J275" s="130">
        <f t="shared" si="23"/>
        <v>724000</v>
      </c>
      <c r="K275" s="16"/>
    </row>
    <row r="276" spans="1:12" ht="21.5" thickBot="1">
      <c r="A276" s="297"/>
      <c r="B276" s="15" t="s">
        <v>74</v>
      </c>
      <c r="C276" s="15" t="s">
        <v>204</v>
      </c>
      <c r="D276" s="15" t="s">
        <v>113</v>
      </c>
      <c r="E276" s="15" t="s">
        <v>113</v>
      </c>
      <c r="F276" s="15">
        <v>1</v>
      </c>
      <c r="G276" s="15" t="s">
        <v>240</v>
      </c>
      <c r="H276" s="15">
        <f t="shared" si="29"/>
        <v>1</v>
      </c>
      <c r="I276" s="136">
        <v>13400</v>
      </c>
      <c r="J276" s="136">
        <f t="shared" ref="J276:J315" si="30">H276*I276</f>
        <v>13400</v>
      </c>
      <c r="K276" s="22"/>
      <c r="L276" s="106">
        <f>SUM(J267:J276)</f>
        <v>1949653</v>
      </c>
    </row>
    <row r="277" spans="1:12">
      <c r="A277" s="257">
        <v>27</v>
      </c>
      <c r="B277" s="11" t="s">
        <v>74</v>
      </c>
      <c r="C277" s="11" t="s">
        <v>205</v>
      </c>
      <c r="D277" s="11" t="s">
        <v>463</v>
      </c>
      <c r="E277" s="11" t="s">
        <v>522</v>
      </c>
      <c r="F277" s="11">
        <v>4</v>
      </c>
      <c r="G277" s="11" t="s">
        <v>560</v>
      </c>
      <c r="H277" s="11">
        <f>$K$15*F277</f>
        <v>4</v>
      </c>
      <c r="I277" s="103">
        <v>99000</v>
      </c>
      <c r="J277" s="103">
        <f t="shared" si="30"/>
        <v>396000</v>
      </c>
      <c r="K277" s="12"/>
    </row>
    <row r="278" spans="1:12">
      <c r="A278" s="258"/>
      <c r="B278" s="13" t="s">
        <v>74</v>
      </c>
      <c r="C278" s="13" t="s">
        <v>205</v>
      </c>
      <c r="D278" s="13" t="s">
        <v>498</v>
      </c>
      <c r="E278" s="13" t="s">
        <v>608</v>
      </c>
      <c r="F278" s="13">
        <v>1</v>
      </c>
      <c r="G278" s="13" t="s">
        <v>233</v>
      </c>
      <c r="H278" s="13">
        <f t="shared" ref="H278:H286" si="31">$K$15*F278</f>
        <v>1</v>
      </c>
      <c r="I278" s="13">
        <v>710000</v>
      </c>
      <c r="J278" s="13">
        <f t="shared" si="30"/>
        <v>710000</v>
      </c>
      <c r="K278" s="16" t="s">
        <v>238</v>
      </c>
    </row>
    <row r="279" spans="1:12">
      <c r="A279" s="258"/>
      <c r="B279" s="13" t="s">
        <v>74</v>
      </c>
      <c r="C279" s="13" t="s">
        <v>205</v>
      </c>
      <c r="D279" s="13" t="s">
        <v>492</v>
      </c>
      <c r="E279" s="13" t="s">
        <v>114</v>
      </c>
      <c r="F279" s="13">
        <v>120</v>
      </c>
      <c r="G279" s="13" t="s">
        <v>251</v>
      </c>
      <c r="H279" s="13">
        <f t="shared" si="31"/>
        <v>120</v>
      </c>
      <c r="I279" s="130">
        <v>460</v>
      </c>
      <c r="J279" s="130">
        <f t="shared" si="30"/>
        <v>55200</v>
      </c>
      <c r="K279" s="16"/>
    </row>
    <row r="280" spans="1:12">
      <c r="A280" s="258"/>
      <c r="B280" s="13" t="s">
        <v>74</v>
      </c>
      <c r="C280" s="13" t="s">
        <v>205</v>
      </c>
      <c r="D280" s="13" t="s">
        <v>502</v>
      </c>
      <c r="E280" s="13" t="s">
        <v>130</v>
      </c>
      <c r="F280" s="13">
        <v>1</v>
      </c>
      <c r="G280" s="13" t="s">
        <v>233</v>
      </c>
      <c r="H280" s="13">
        <f t="shared" si="31"/>
        <v>1</v>
      </c>
      <c r="I280" s="13"/>
      <c r="J280" s="13">
        <f t="shared" si="30"/>
        <v>0</v>
      </c>
      <c r="K280" s="16"/>
    </row>
    <row r="281" spans="1:12">
      <c r="A281" s="258"/>
      <c r="B281" s="13" t="s">
        <v>74</v>
      </c>
      <c r="C281" s="13" t="s">
        <v>205</v>
      </c>
      <c r="D281" s="13" t="s">
        <v>505</v>
      </c>
      <c r="E281" s="13" t="s">
        <v>131</v>
      </c>
      <c r="F281" s="13">
        <v>1</v>
      </c>
      <c r="G281" s="13" t="s">
        <v>233</v>
      </c>
      <c r="H281" s="13">
        <f t="shared" si="31"/>
        <v>1</v>
      </c>
      <c r="I281" s="13"/>
      <c r="J281" s="13">
        <f t="shared" si="30"/>
        <v>0</v>
      </c>
      <c r="K281" s="16"/>
    </row>
    <row r="282" spans="1:12">
      <c r="A282" s="258"/>
      <c r="B282" s="13" t="s">
        <v>74</v>
      </c>
      <c r="C282" s="13" t="s">
        <v>205</v>
      </c>
      <c r="D282" s="13" t="s">
        <v>509</v>
      </c>
      <c r="E282" s="13" t="s">
        <v>132</v>
      </c>
      <c r="F282" s="13">
        <v>1</v>
      </c>
      <c r="G282" s="13" t="s">
        <v>975</v>
      </c>
      <c r="H282" s="13">
        <f t="shared" si="31"/>
        <v>1</v>
      </c>
      <c r="I282" s="130">
        <v>4150</v>
      </c>
      <c r="J282" s="130">
        <f t="shared" si="30"/>
        <v>4150</v>
      </c>
      <c r="K282" s="16"/>
    </row>
    <row r="283" spans="1:12">
      <c r="A283" s="258"/>
      <c r="B283" s="13" t="s">
        <v>74</v>
      </c>
      <c r="C283" s="13" t="s">
        <v>205</v>
      </c>
      <c r="D283" s="13" t="s">
        <v>512</v>
      </c>
      <c r="E283" s="13" t="s">
        <v>974</v>
      </c>
      <c r="F283" s="13">
        <v>1</v>
      </c>
      <c r="G283" s="13" t="s">
        <v>233</v>
      </c>
      <c r="H283" s="13">
        <f t="shared" si="31"/>
        <v>1</v>
      </c>
      <c r="I283" s="60">
        <v>45000</v>
      </c>
      <c r="J283" s="130">
        <f t="shared" si="30"/>
        <v>45000</v>
      </c>
      <c r="K283" s="16"/>
    </row>
    <row r="284" spans="1:12">
      <c r="A284" s="258"/>
      <c r="B284" s="13" t="s">
        <v>74</v>
      </c>
      <c r="C284" s="13" t="s">
        <v>205</v>
      </c>
      <c r="D284" s="13" t="s">
        <v>514</v>
      </c>
      <c r="E284" s="13" t="s">
        <v>133</v>
      </c>
      <c r="F284" s="13">
        <v>1</v>
      </c>
      <c r="G284" s="13" t="s">
        <v>684</v>
      </c>
      <c r="H284" s="13">
        <f t="shared" si="31"/>
        <v>1</v>
      </c>
      <c r="I284" s="130">
        <v>1903</v>
      </c>
      <c r="J284" s="130">
        <f t="shared" si="30"/>
        <v>1903</v>
      </c>
      <c r="K284" s="16"/>
    </row>
    <row r="285" spans="1:12" ht="17.5" thickBot="1">
      <c r="A285" s="258"/>
      <c r="B285" s="13" t="s">
        <v>74</v>
      </c>
      <c r="C285" s="13" t="s">
        <v>205</v>
      </c>
      <c r="D285" s="13" t="s">
        <v>138</v>
      </c>
      <c r="E285" s="13" t="s">
        <v>138</v>
      </c>
      <c r="F285" s="13">
        <v>2</v>
      </c>
      <c r="G285" s="13" t="s">
        <v>235</v>
      </c>
      <c r="H285" s="13">
        <f t="shared" si="31"/>
        <v>2</v>
      </c>
      <c r="I285" s="130">
        <f>(60*2700)+200000</f>
        <v>362000</v>
      </c>
      <c r="J285" s="130">
        <f t="shared" si="30"/>
        <v>724000</v>
      </c>
      <c r="K285" s="16"/>
    </row>
    <row r="286" spans="1:12" ht="21.5" thickBot="1">
      <c r="A286" s="259"/>
      <c r="B286" s="9" t="s">
        <v>74</v>
      </c>
      <c r="C286" s="9" t="s">
        <v>205</v>
      </c>
      <c r="D286" s="9" t="s">
        <v>113</v>
      </c>
      <c r="E286" s="9" t="s">
        <v>113</v>
      </c>
      <c r="F286" s="9">
        <v>1</v>
      </c>
      <c r="G286" s="9" t="s">
        <v>240</v>
      </c>
      <c r="H286" s="9">
        <f t="shared" si="31"/>
        <v>1</v>
      </c>
      <c r="I286" s="135">
        <v>13400</v>
      </c>
      <c r="J286" s="135">
        <f t="shared" si="30"/>
        <v>13400</v>
      </c>
      <c r="K286" s="14"/>
      <c r="L286" s="106">
        <f>SUM(J277:J286)</f>
        <v>1949653</v>
      </c>
    </row>
    <row r="287" spans="1:12">
      <c r="A287" s="274">
        <v>28</v>
      </c>
      <c r="B287" s="10" t="s">
        <v>74</v>
      </c>
      <c r="C287" s="10" t="s">
        <v>206</v>
      </c>
      <c r="D287" s="10" t="s">
        <v>463</v>
      </c>
      <c r="E287" s="10" t="s">
        <v>522</v>
      </c>
      <c r="F287" s="10">
        <v>4</v>
      </c>
      <c r="G287" s="10" t="s">
        <v>560</v>
      </c>
      <c r="H287" s="10">
        <f>$K$16*F287</f>
        <v>4</v>
      </c>
      <c r="I287" s="134">
        <v>99000</v>
      </c>
      <c r="J287" s="134">
        <f t="shared" si="30"/>
        <v>396000</v>
      </c>
      <c r="K287" s="17"/>
    </row>
    <row r="288" spans="1:12">
      <c r="A288" s="258"/>
      <c r="B288" s="13" t="s">
        <v>74</v>
      </c>
      <c r="C288" s="13" t="s">
        <v>206</v>
      </c>
      <c r="D288" s="13" t="s">
        <v>498</v>
      </c>
      <c r="E288" s="13" t="s">
        <v>608</v>
      </c>
      <c r="F288" s="13">
        <v>1</v>
      </c>
      <c r="G288" s="13" t="s">
        <v>233</v>
      </c>
      <c r="H288" s="13">
        <f t="shared" ref="H288:H296" si="32">$K$16*F288</f>
        <v>1</v>
      </c>
      <c r="I288" s="13">
        <v>710000</v>
      </c>
      <c r="J288" s="13">
        <f t="shared" si="30"/>
        <v>710000</v>
      </c>
      <c r="K288" s="16" t="s">
        <v>238</v>
      </c>
    </row>
    <row r="289" spans="1:12">
      <c r="A289" s="258"/>
      <c r="B289" s="13" t="s">
        <v>74</v>
      </c>
      <c r="C289" s="13" t="s">
        <v>206</v>
      </c>
      <c r="D289" s="13" t="s">
        <v>493</v>
      </c>
      <c r="E289" s="13" t="s">
        <v>115</v>
      </c>
      <c r="F289" s="13">
        <v>120</v>
      </c>
      <c r="G289" s="13" t="s">
        <v>251</v>
      </c>
      <c r="H289" s="13">
        <f t="shared" si="32"/>
        <v>120</v>
      </c>
      <c r="I289" s="130">
        <v>460</v>
      </c>
      <c r="J289" s="130">
        <f t="shared" si="30"/>
        <v>55200</v>
      </c>
      <c r="K289" s="16"/>
    </row>
    <row r="290" spans="1:12">
      <c r="A290" s="258"/>
      <c r="B290" s="13" t="s">
        <v>74</v>
      </c>
      <c r="C290" s="13" t="s">
        <v>206</v>
      </c>
      <c r="D290" s="13" t="s">
        <v>502</v>
      </c>
      <c r="E290" s="13" t="s">
        <v>130</v>
      </c>
      <c r="F290" s="13">
        <v>1</v>
      </c>
      <c r="G290" s="13" t="s">
        <v>233</v>
      </c>
      <c r="H290" s="13">
        <f t="shared" si="32"/>
        <v>1</v>
      </c>
      <c r="I290" s="13"/>
      <c r="J290" s="13">
        <f t="shared" si="30"/>
        <v>0</v>
      </c>
      <c r="K290" s="16"/>
    </row>
    <row r="291" spans="1:12">
      <c r="A291" s="258"/>
      <c r="B291" s="13" t="s">
        <v>74</v>
      </c>
      <c r="C291" s="13" t="s">
        <v>206</v>
      </c>
      <c r="D291" s="13" t="s">
        <v>505</v>
      </c>
      <c r="E291" s="13" t="s">
        <v>131</v>
      </c>
      <c r="F291" s="13">
        <v>1</v>
      </c>
      <c r="G291" s="13" t="s">
        <v>233</v>
      </c>
      <c r="H291" s="13">
        <f t="shared" si="32"/>
        <v>1</v>
      </c>
      <c r="I291" s="13"/>
      <c r="J291" s="13">
        <f t="shared" si="30"/>
        <v>0</v>
      </c>
      <c r="K291" s="16"/>
    </row>
    <row r="292" spans="1:12">
      <c r="A292" s="258"/>
      <c r="B292" s="13" t="s">
        <v>74</v>
      </c>
      <c r="C292" s="13" t="s">
        <v>206</v>
      </c>
      <c r="D292" s="13" t="s">
        <v>509</v>
      </c>
      <c r="E292" s="13" t="s">
        <v>132</v>
      </c>
      <c r="F292" s="13">
        <v>1</v>
      </c>
      <c r="G292" s="13" t="s">
        <v>975</v>
      </c>
      <c r="H292" s="13">
        <f>$K$16*F292</f>
        <v>1</v>
      </c>
      <c r="I292" s="130">
        <v>4150</v>
      </c>
      <c r="J292" s="130">
        <f t="shared" si="30"/>
        <v>4150</v>
      </c>
      <c r="K292" s="16"/>
    </row>
    <row r="293" spans="1:12">
      <c r="A293" s="258"/>
      <c r="B293" s="13" t="s">
        <v>74</v>
      </c>
      <c r="C293" s="13" t="s">
        <v>206</v>
      </c>
      <c r="D293" s="13" t="s">
        <v>512</v>
      </c>
      <c r="E293" s="13" t="s">
        <v>620</v>
      </c>
      <c r="F293" s="13">
        <v>1</v>
      </c>
      <c r="G293" s="13" t="s">
        <v>233</v>
      </c>
      <c r="H293" s="13">
        <f t="shared" si="32"/>
        <v>1</v>
      </c>
      <c r="I293" s="60">
        <v>45000</v>
      </c>
      <c r="J293" s="130">
        <f t="shared" si="30"/>
        <v>45000</v>
      </c>
      <c r="K293" s="16"/>
    </row>
    <row r="294" spans="1:12">
      <c r="A294" s="258"/>
      <c r="B294" s="13" t="s">
        <v>74</v>
      </c>
      <c r="C294" s="13" t="s">
        <v>206</v>
      </c>
      <c r="D294" s="13" t="s">
        <v>514</v>
      </c>
      <c r="E294" s="13" t="s">
        <v>133</v>
      </c>
      <c r="F294" s="13">
        <v>1</v>
      </c>
      <c r="G294" s="13" t="s">
        <v>684</v>
      </c>
      <c r="H294" s="13">
        <f t="shared" si="32"/>
        <v>1</v>
      </c>
      <c r="I294" s="130">
        <v>1903</v>
      </c>
      <c r="J294" s="130">
        <f t="shared" si="30"/>
        <v>1903</v>
      </c>
      <c r="K294" s="16"/>
    </row>
    <row r="295" spans="1:12" ht="17.5" thickBot="1">
      <c r="A295" s="258"/>
      <c r="B295" s="13" t="s">
        <v>74</v>
      </c>
      <c r="C295" s="13" t="s">
        <v>206</v>
      </c>
      <c r="D295" s="13" t="s">
        <v>138</v>
      </c>
      <c r="E295" s="13" t="s">
        <v>138</v>
      </c>
      <c r="F295" s="13">
        <v>2</v>
      </c>
      <c r="G295" s="13" t="s">
        <v>235</v>
      </c>
      <c r="H295" s="13">
        <f t="shared" si="32"/>
        <v>2</v>
      </c>
      <c r="I295" s="130">
        <f>(60*2700)+200000</f>
        <v>362000</v>
      </c>
      <c r="J295" s="130">
        <f t="shared" si="30"/>
        <v>724000</v>
      </c>
      <c r="K295" s="16"/>
    </row>
    <row r="296" spans="1:12" ht="21.5" thickBot="1">
      <c r="A296" s="297"/>
      <c r="B296" s="15" t="s">
        <v>74</v>
      </c>
      <c r="C296" s="15" t="s">
        <v>206</v>
      </c>
      <c r="D296" s="15" t="s">
        <v>113</v>
      </c>
      <c r="E296" s="15" t="s">
        <v>113</v>
      </c>
      <c r="F296" s="15">
        <v>1</v>
      </c>
      <c r="G296" s="15" t="s">
        <v>240</v>
      </c>
      <c r="H296" s="15">
        <f t="shared" si="32"/>
        <v>1</v>
      </c>
      <c r="I296" s="136">
        <v>13400</v>
      </c>
      <c r="J296" s="136">
        <f t="shared" si="30"/>
        <v>13400</v>
      </c>
      <c r="K296" s="22"/>
      <c r="L296" s="106">
        <f>SUM(J287:J296)</f>
        <v>1949653</v>
      </c>
    </row>
    <row r="297" spans="1:12">
      <c r="A297" s="257">
        <v>29</v>
      </c>
      <c r="B297" s="11" t="s">
        <v>74</v>
      </c>
      <c r="C297" s="11" t="s">
        <v>207</v>
      </c>
      <c r="D297" s="11" t="s">
        <v>463</v>
      </c>
      <c r="E297" s="11" t="s">
        <v>522</v>
      </c>
      <c r="F297" s="11">
        <v>4</v>
      </c>
      <c r="G297" s="11" t="s">
        <v>560</v>
      </c>
      <c r="H297" s="11">
        <v>4</v>
      </c>
      <c r="I297" s="103">
        <v>99000</v>
      </c>
      <c r="J297" s="103">
        <f t="shared" si="30"/>
        <v>396000</v>
      </c>
      <c r="K297" s="12"/>
    </row>
    <row r="298" spans="1:12">
      <c r="A298" s="258"/>
      <c r="B298" s="13" t="s">
        <v>74</v>
      </c>
      <c r="C298" s="13" t="s">
        <v>207</v>
      </c>
      <c r="D298" s="13" t="s">
        <v>498</v>
      </c>
      <c r="E298" s="13" t="s">
        <v>608</v>
      </c>
      <c r="F298" s="13">
        <v>1</v>
      </c>
      <c r="G298" s="13" t="s">
        <v>233</v>
      </c>
      <c r="H298" s="13">
        <f t="shared" ref="H298:H299" si="33">$K$17*F298</f>
        <v>1</v>
      </c>
      <c r="I298" s="13">
        <v>710000</v>
      </c>
      <c r="J298" s="13">
        <f t="shared" si="30"/>
        <v>710000</v>
      </c>
      <c r="K298" s="16" t="s">
        <v>238</v>
      </c>
    </row>
    <row r="299" spans="1:12">
      <c r="A299" s="258"/>
      <c r="B299" s="13" t="s">
        <v>74</v>
      </c>
      <c r="C299" s="13" t="s">
        <v>207</v>
      </c>
      <c r="D299" s="13" t="s">
        <v>494</v>
      </c>
      <c r="E299" s="13" t="s">
        <v>116</v>
      </c>
      <c r="F299" s="13">
        <v>120</v>
      </c>
      <c r="G299" s="13" t="s">
        <v>251</v>
      </c>
      <c r="H299" s="13">
        <f t="shared" si="33"/>
        <v>120</v>
      </c>
      <c r="I299" s="130">
        <v>460</v>
      </c>
      <c r="J299" s="130">
        <f t="shared" si="30"/>
        <v>55200</v>
      </c>
      <c r="K299" s="16"/>
    </row>
    <row r="300" spans="1:12">
      <c r="A300" s="258"/>
      <c r="B300" s="13" t="s">
        <v>74</v>
      </c>
      <c r="C300" s="13" t="s">
        <v>207</v>
      </c>
      <c r="D300" s="13" t="s">
        <v>502</v>
      </c>
      <c r="E300" s="13" t="s">
        <v>130</v>
      </c>
      <c r="F300" s="13">
        <v>1</v>
      </c>
      <c r="G300" s="13" t="s">
        <v>233</v>
      </c>
      <c r="H300" s="13">
        <f>$K$17*F3027</f>
        <v>0</v>
      </c>
      <c r="I300" s="13"/>
      <c r="J300" s="13">
        <f t="shared" si="30"/>
        <v>0</v>
      </c>
      <c r="K300" s="16"/>
    </row>
    <row r="301" spans="1:12">
      <c r="A301" s="258"/>
      <c r="B301" s="13" t="s">
        <v>74</v>
      </c>
      <c r="C301" s="13" t="s">
        <v>207</v>
      </c>
      <c r="D301" s="13" t="s">
        <v>505</v>
      </c>
      <c r="E301" s="13" t="s">
        <v>131</v>
      </c>
      <c r="F301" s="13">
        <v>1</v>
      </c>
      <c r="G301" s="13" t="s">
        <v>233</v>
      </c>
      <c r="H301" s="13">
        <f>$K$17*F3037</f>
        <v>0</v>
      </c>
      <c r="I301" s="13"/>
      <c r="J301" s="13">
        <f t="shared" si="30"/>
        <v>0</v>
      </c>
      <c r="K301" s="16"/>
    </row>
    <row r="302" spans="1:12">
      <c r="A302" s="258"/>
      <c r="B302" s="13" t="s">
        <v>74</v>
      </c>
      <c r="C302" s="13" t="s">
        <v>207</v>
      </c>
      <c r="D302" s="13" t="s">
        <v>509</v>
      </c>
      <c r="E302" s="13" t="s">
        <v>132</v>
      </c>
      <c r="F302" s="13">
        <v>1</v>
      </c>
      <c r="G302" s="13" t="s">
        <v>975</v>
      </c>
      <c r="H302" s="13">
        <f>$K$17*F302</f>
        <v>1</v>
      </c>
      <c r="I302" s="130">
        <v>4150</v>
      </c>
      <c r="J302" s="130">
        <f t="shared" si="30"/>
        <v>4150</v>
      </c>
      <c r="K302" s="16"/>
    </row>
    <row r="303" spans="1:12">
      <c r="A303" s="258"/>
      <c r="B303" s="13" t="s">
        <v>74</v>
      </c>
      <c r="C303" s="13" t="s">
        <v>207</v>
      </c>
      <c r="D303" s="13" t="s">
        <v>512</v>
      </c>
      <c r="E303" s="13" t="s">
        <v>974</v>
      </c>
      <c r="F303" s="13">
        <v>1</v>
      </c>
      <c r="G303" s="13" t="s">
        <v>233</v>
      </c>
      <c r="H303" s="13">
        <f t="shared" ref="H303:H304" si="34">$K$16*F303</f>
        <v>1</v>
      </c>
      <c r="I303" s="60">
        <v>45000</v>
      </c>
      <c r="J303" s="130">
        <f t="shared" si="30"/>
        <v>45000</v>
      </c>
      <c r="K303" s="16"/>
    </row>
    <row r="304" spans="1:12">
      <c r="A304" s="258"/>
      <c r="B304" s="13" t="s">
        <v>74</v>
      </c>
      <c r="C304" s="13" t="s">
        <v>207</v>
      </c>
      <c r="D304" s="13" t="s">
        <v>514</v>
      </c>
      <c r="E304" s="13" t="s">
        <v>133</v>
      </c>
      <c r="F304" s="13">
        <v>1</v>
      </c>
      <c r="G304" s="13" t="s">
        <v>684</v>
      </c>
      <c r="H304" s="13">
        <f t="shared" si="34"/>
        <v>1</v>
      </c>
      <c r="I304" s="130">
        <v>1903</v>
      </c>
      <c r="J304" s="130">
        <f t="shared" si="30"/>
        <v>1903</v>
      </c>
      <c r="K304" s="16"/>
    </row>
    <row r="305" spans="1:12" ht="17.5" thickBot="1">
      <c r="A305" s="258"/>
      <c r="B305" s="13" t="s">
        <v>74</v>
      </c>
      <c r="C305" s="13" t="s">
        <v>207</v>
      </c>
      <c r="D305" s="13" t="s">
        <v>138</v>
      </c>
      <c r="E305" s="13" t="s">
        <v>138</v>
      </c>
      <c r="F305" s="13">
        <v>2</v>
      </c>
      <c r="G305" s="13" t="s">
        <v>235</v>
      </c>
      <c r="H305" s="13">
        <f>$K$17*F305</f>
        <v>2</v>
      </c>
      <c r="I305" s="130">
        <f>(60*2700)+200000</f>
        <v>362000</v>
      </c>
      <c r="J305" s="130">
        <f t="shared" si="30"/>
        <v>724000</v>
      </c>
      <c r="K305" s="16"/>
    </row>
    <row r="306" spans="1:12" ht="21.5" thickBot="1">
      <c r="A306" s="259"/>
      <c r="B306" s="9" t="s">
        <v>74</v>
      </c>
      <c r="C306" s="9" t="s">
        <v>207</v>
      </c>
      <c r="D306" s="9" t="s">
        <v>113</v>
      </c>
      <c r="E306" s="9" t="s">
        <v>113</v>
      </c>
      <c r="F306" s="9">
        <v>1</v>
      </c>
      <c r="G306" s="9" t="s">
        <v>240</v>
      </c>
      <c r="H306" s="9">
        <f>$K$17*F306</f>
        <v>1</v>
      </c>
      <c r="I306" s="135">
        <v>13400</v>
      </c>
      <c r="J306" s="135">
        <f t="shared" si="30"/>
        <v>13400</v>
      </c>
      <c r="K306" s="14"/>
      <c r="L306" s="106">
        <f>SUM(J297:J306)</f>
        <v>1949653</v>
      </c>
    </row>
    <row r="307" spans="1:12">
      <c r="A307" s="274">
        <v>30</v>
      </c>
      <c r="B307" s="10" t="s">
        <v>74</v>
      </c>
      <c r="C307" s="10" t="s">
        <v>208</v>
      </c>
      <c r="D307" s="10" t="s">
        <v>463</v>
      </c>
      <c r="E307" s="10" t="s">
        <v>522</v>
      </c>
      <c r="F307" s="10">
        <v>4</v>
      </c>
      <c r="G307" s="10" t="s">
        <v>560</v>
      </c>
      <c r="H307" s="10">
        <f>$K$18*F307</f>
        <v>4</v>
      </c>
      <c r="I307" s="134">
        <v>99000</v>
      </c>
      <c r="J307" s="134">
        <f t="shared" si="30"/>
        <v>396000</v>
      </c>
      <c r="K307" s="17"/>
    </row>
    <row r="308" spans="1:12">
      <c r="A308" s="258"/>
      <c r="B308" s="13" t="s">
        <v>74</v>
      </c>
      <c r="C308" s="13" t="s">
        <v>208</v>
      </c>
      <c r="D308" s="13" t="s">
        <v>498</v>
      </c>
      <c r="E308" s="13" t="s">
        <v>608</v>
      </c>
      <c r="F308" s="13">
        <v>1</v>
      </c>
      <c r="G308" s="13" t="s">
        <v>233</v>
      </c>
      <c r="H308" s="13">
        <f t="shared" ref="H308:H315" si="35">$K$18*F308</f>
        <v>1</v>
      </c>
      <c r="I308" s="13">
        <v>710000</v>
      </c>
      <c r="J308" s="13">
        <f t="shared" si="30"/>
        <v>710000</v>
      </c>
      <c r="K308" s="16" t="s">
        <v>238</v>
      </c>
    </row>
    <row r="309" spans="1:12">
      <c r="A309" s="258"/>
      <c r="B309" s="13" t="s">
        <v>74</v>
      </c>
      <c r="C309" s="13" t="s">
        <v>208</v>
      </c>
      <c r="D309" s="13" t="s">
        <v>502</v>
      </c>
      <c r="E309" s="13" t="s">
        <v>130</v>
      </c>
      <c r="F309" s="13">
        <v>1</v>
      </c>
      <c r="G309" s="13" t="s">
        <v>233</v>
      </c>
      <c r="H309" s="13">
        <f t="shared" si="35"/>
        <v>1</v>
      </c>
      <c r="I309" s="13"/>
      <c r="J309" s="13">
        <f t="shared" si="30"/>
        <v>0</v>
      </c>
      <c r="K309" s="16"/>
    </row>
    <row r="310" spans="1:12">
      <c r="A310" s="258"/>
      <c r="B310" s="13" t="s">
        <v>74</v>
      </c>
      <c r="C310" s="13" t="s">
        <v>208</v>
      </c>
      <c r="D310" s="13" t="s">
        <v>505</v>
      </c>
      <c r="E310" s="13" t="s">
        <v>131</v>
      </c>
      <c r="F310" s="13">
        <v>1</v>
      </c>
      <c r="G310" s="13" t="s">
        <v>233</v>
      </c>
      <c r="H310" s="13">
        <f t="shared" si="35"/>
        <v>1</v>
      </c>
      <c r="I310" s="13"/>
      <c r="J310" s="13">
        <f t="shared" si="30"/>
        <v>0</v>
      </c>
      <c r="K310" s="16"/>
    </row>
    <row r="311" spans="1:12">
      <c r="A311" s="258"/>
      <c r="B311" s="13" t="s">
        <v>74</v>
      </c>
      <c r="C311" s="13" t="s">
        <v>208</v>
      </c>
      <c r="D311" s="13" t="s">
        <v>509</v>
      </c>
      <c r="E311" s="13" t="s">
        <v>132</v>
      </c>
      <c r="F311" s="13">
        <v>1</v>
      </c>
      <c r="G311" s="13" t="s">
        <v>975</v>
      </c>
      <c r="H311" s="13">
        <f t="shared" si="35"/>
        <v>1</v>
      </c>
      <c r="I311" s="130">
        <v>4150</v>
      </c>
      <c r="J311" s="130">
        <f t="shared" si="30"/>
        <v>4150</v>
      </c>
      <c r="K311" s="16"/>
    </row>
    <row r="312" spans="1:12">
      <c r="A312" s="258"/>
      <c r="B312" s="13" t="s">
        <v>74</v>
      </c>
      <c r="C312" s="13" t="s">
        <v>208</v>
      </c>
      <c r="D312" s="13" t="s">
        <v>512</v>
      </c>
      <c r="E312" s="13" t="s">
        <v>974</v>
      </c>
      <c r="F312" s="13">
        <v>1</v>
      </c>
      <c r="G312" s="13" t="s">
        <v>233</v>
      </c>
      <c r="H312" s="13">
        <f t="shared" si="35"/>
        <v>1</v>
      </c>
      <c r="I312" s="60">
        <v>45000</v>
      </c>
      <c r="J312" s="130">
        <f t="shared" si="30"/>
        <v>45000</v>
      </c>
      <c r="K312" s="16"/>
    </row>
    <row r="313" spans="1:12">
      <c r="A313" s="258"/>
      <c r="B313" s="13" t="s">
        <v>74</v>
      </c>
      <c r="C313" s="13" t="s">
        <v>208</v>
      </c>
      <c r="D313" s="13" t="s">
        <v>514</v>
      </c>
      <c r="E313" s="13" t="s">
        <v>133</v>
      </c>
      <c r="F313" s="13">
        <v>1</v>
      </c>
      <c r="G313" s="13" t="s">
        <v>684</v>
      </c>
      <c r="H313" s="13">
        <f t="shared" si="35"/>
        <v>1</v>
      </c>
      <c r="I313" s="130">
        <v>1903</v>
      </c>
      <c r="J313" s="130">
        <f t="shared" si="30"/>
        <v>1903</v>
      </c>
      <c r="K313" s="16"/>
    </row>
    <row r="314" spans="1:12" ht="17.5" thickBot="1">
      <c r="A314" s="258"/>
      <c r="B314" s="13" t="s">
        <v>74</v>
      </c>
      <c r="C314" s="13" t="s">
        <v>208</v>
      </c>
      <c r="D314" s="13" t="s">
        <v>138</v>
      </c>
      <c r="E314" s="13" t="s">
        <v>138</v>
      </c>
      <c r="F314" s="13">
        <v>2</v>
      </c>
      <c r="G314" s="13" t="s">
        <v>235</v>
      </c>
      <c r="H314" s="13">
        <f t="shared" si="35"/>
        <v>2</v>
      </c>
      <c r="I314" s="130">
        <f>(60*2700)+200000</f>
        <v>362000</v>
      </c>
      <c r="J314" s="130">
        <f t="shared" si="30"/>
        <v>724000</v>
      </c>
      <c r="K314" s="16"/>
    </row>
    <row r="315" spans="1:12" ht="21.5" thickBot="1">
      <c r="A315" s="259"/>
      <c r="B315" s="9" t="s">
        <v>74</v>
      </c>
      <c r="C315" s="9" t="s">
        <v>208</v>
      </c>
      <c r="D315" s="9" t="s">
        <v>113</v>
      </c>
      <c r="E315" s="9" t="s">
        <v>113</v>
      </c>
      <c r="F315" s="9">
        <v>1</v>
      </c>
      <c r="G315" s="9" t="s">
        <v>240</v>
      </c>
      <c r="H315" s="9">
        <f t="shared" si="35"/>
        <v>1</v>
      </c>
      <c r="I315" s="135">
        <v>13400</v>
      </c>
      <c r="J315" s="135">
        <f t="shared" si="30"/>
        <v>13400</v>
      </c>
      <c r="K315" s="14"/>
      <c r="L315" s="106">
        <f>SUM(J307:J315)</f>
        <v>1894453</v>
      </c>
    </row>
    <row r="316" spans="1:12">
      <c r="I316" s="59"/>
      <c r="J316" s="59"/>
    </row>
    <row r="317" spans="1:12">
      <c r="I317" s="59"/>
      <c r="J317" s="59"/>
    </row>
  </sheetData>
  <autoFilter ref="A21:K315"/>
  <mergeCells count="64">
    <mergeCell ref="E1:G1"/>
    <mergeCell ref="A267:A276"/>
    <mergeCell ref="A277:A286"/>
    <mergeCell ref="A287:A296"/>
    <mergeCell ref="A297:A306"/>
    <mergeCell ref="A22:A31"/>
    <mergeCell ref="A140:A149"/>
    <mergeCell ref="A32:A41"/>
    <mergeCell ref="A42:A51"/>
    <mergeCell ref="A52:A61"/>
    <mergeCell ref="A62:A70"/>
    <mergeCell ref="A71:A80"/>
    <mergeCell ref="A81:A90"/>
    <mergeCell ref="A91:A100"/>
    <mergeCell ref="A101:A110"/>
    <mergeCell ref="A111:A119"/>
    <mergeCell ref="H13:J13"/>
    <mergeCell ref="H14:J14"/>
    <mergeCell ref="A307:A315"/>
    <mergeCell ref="A258:A266"/>
    <mergeCell ref="A150:A159"/>
    <mergeCell ref="A160:A168"/>
    <mergeCell ref="A169:A178"/>
    <mergeCell ref="A179:A188"/>
    <mergeCell ref="A189:A198"/>
    <mergeCell ref="A199:A208"/>
    <mergeCell ref="A209:A217"/>
    <mergeCell ref="A218:A227"/>
    <mergeCell ref="A228:A237"/>
    <mergeCell ref="A238:A247"/>
    <mergeCell ref="A248:A257"/>
    <mergeCell ref="D15:F15"/>
    <mergeCell ref="H8:J8"/>
    <mergeCell ref="H9:J9"/>
    <mergeCell ref="H10:J10"/>
    <mergeCell ref="H11:J11"/>
    <mergeCell ref="H12:J12"/>
    <mergeCell ref="H3:J3"/>
    <mergeCell ref="H4:J4"/>
    <mergeCell ref="H5:J5"/>
    <mergeCell ref="H6:J6"/>
    <mergeCell ref="H7:J7"/>
    <mergeCell ref="D16:F16"/>
    <mergeCell ref="H18:J18"/>
    <mergeCell ref="A120:A129"/>
    <mergeCell ref="A130:A139"/>
    <mergeCell ref="D17:F17"/>
    <mergeCell ref="D18:F18"/>
    <mergeCell ref="H15:J15"/>
    <mergeCell ref="H16:J16"/>
    <mergeCell ref="H17:J17"/>
    <mergeCell ref="H19:J19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5" orientation="portrait" horizontalDpi="1200" verticalDpi="1200" r:id="rId1"/>
  <headerFooter>
    <oddFooter>&amp;C(주)매그나텍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00"/>
  <sheetViews>
    <sheetView zoomScale="70" zoomScaleNormal="70" workbookViewId="0">
      <pane xSplit="1" ySplit="27" topLeftCell="B1046" activePane="bottomRight" state="frozen"/>
      <selection pane="topRight" activeCell="B1" sqref="B1"/>
      <selection pane="bottomLeft" activeCell="A19" sqref="A19"/>
      <selection pane="bottomRight" activeCell="L1107" sqref="L1107"/>
    </sheetView>
  </sheetViews>
  <sheetFormatPr defaultColWidth="9" defaultRowHeight="17"/>
  <cols>
    <col min="1" max="1" width="3.58203125" style="1" customWidth="1"/>
    <col min="2" max="2" width="12.58203125" style="1" customWidth="1"/>
    <col min="3" max="3" width="21.58203125" style="1" customWidth="1"/>
    <col min="4" max="5" width="20.58203125" style="1" customWidth="1"/>
    <col min="6" max="6" width="6.83203125" style="6" customWidth="1"/>
    <col min="7" max="7" width="27.58203125" style="6" customWidth="1"/>
    <col min="8" max="8" width="6.33203125" style="6" customWidth="1"/>
    <col min="9" max="9" width="9.75" style="69" customWidth="1"/>
    <col min="10" max="10" width="24.5" style="69" customWidth="1"/>
    <col min="11" max="11" width="33.83203125" style="6" customWidth="1"/>
    <col min="12" max="12" width="16.5" style="80" customWidth="1"/>
    <col min="13" max="13" width="9" style="80"/>
    <col min="14" max="14" width="20" style="1" bestFit="1" customWidth="1"/>
    <col min="15" max="16384" width="9" style="1"/>
  </cols>
  <sheetData>
    <row r="1" spans="5:13" ht="44">
      <c r="E1" s="260" t="s">
        <v>478</v>
      </c>
      <c r="F1" s="260"/>
      <c r="G1" s="260"/>
      <c r="H1" s="260"/>
      <c r="I1" s="68"/>
      <c r="J1" s="68"/>
    </row>
    <row r="2" spans="5:13" hidden="1"/>
    <row r="3" spans="5:13" s="52" customFormat="1" ht="16" hidden="1">
      <c r="E3" s="310" t="s">
        <v>472</v>
      </c>
      <c r="F3" s="288"/>
      <c r="G3" s="51" t="s">
        <v>258</v>
      </c>
      <c r="H3" s="310" t="s">
        <v>257</v>
      </c>
      <c r="I3" s="287"/>
      <c r="J3" s="288"/>
      <c r="K3" s="51" t="s">
        <v>258</v>
      </c>
      <c r="L3" s="81"/>
      <c r="M3" s="81"/>
    </row>
    <row r="4" spans="5:13" s="52" customFormat="1" ht="16" hidden="1">
      <c r="E4" s="310" t="s">
        <v>321</v>
      </c>
      <c r="F4" s="288"/>
      <c r="G4" s="51">
        <v>1</v>
      </c>
      <c r="H4" s="310" t="s">
        <v>342</v>
      </c>
      <c r="I4" s="287"/>
      <c r="J4" s="288"/>
      <c r="K4" s="51"/>
      <c r="L4" s="81"/>
      <c r="M4" s="81"/>
    </row>
    <row r="5" spans="5:13" s="52" customFormat="1" ht="16" hidden="1">
      <c r="E5" s="310" t="s">
        <v>322</v>
      </c>
      <c r="F5" s="288"/>
      <c r="G5" s="51"/>
      <c r="H5" s="310" t="s">
        <v>343</v>
      </c>
      <c r="I5" s="287"/>
      <c r="J5" s="288"/>
      <c r="K5" s="51">
        <v>1</v>
      </c>
    </row>
    <row r="6" spans="5:13" s="52" customFormat="1" ht="16" hidden="1">
      <c r="E6" s="310" t="s">
        <v>323</v>
      </c>
      <c r="F6" s="288"/>
      <c r="G6" s="51">
        <v>1</v>
      </c>
      <c r="H6" s="310" t="s">
        <v>344</v>
      </c>
      <c r="I6" s="287"/>
      <c r="J6" s="288"/>
      <c r="K6" s="51"/>
      <c r="L6" s="81"/>
      <c r="M6" s="81"/>
    </row>
    <row r="7" spans="5:13" s="52" customFormat="1" ht="16" hidden="1">
      <c r="E7" s="310" t="s">
        <v>324</v>
      </c>
      <c r="F7" s="288"/>
      <c r="G7" s="51"/>
      <c r="H7" s="310" t="s">
        <v>375</v>
      </c>
      <c r="I7" s="287"/>
      <c r="J7" s="288"/>
      <c r="K7" s="51">
        <v>1</v>
      </c>
    </row>
    <row r="8" spans="5:13" s="52" customFormat="1" ht="16" hidden="1">
      <c r="E8" s="310" t="s">
        <v>325</v>
      </c>
      <c r="F8" s="288"/>
      <c r="G8" s="51">
        <v>1</v>
      </c>
      <c r="H8" s="310" t="s">
        <v>387</v>
      </c>
      <c r="I8" s="287"/>
      <c r="J8" s="288"/>
      <c r="K8" s="51"/>
      <c r="L8" s="81"/>
      <c r="M8" s="81"/>
    </row>
    <row r="9" spans="5:13" s="52" customFormat="1" ht="16" hidden="1">
      <c r="E9" s="310" t="s">
        <v>326</v>
      </c>
      <c r="F9" s="288"/>
      <c r="G9" s="51"/>
      <c r="H9" s="310" t="s">
        <v>396</v>
      </c>
      <c r="I9" s="287"/>
      <c r="J9" s="288"/>
      <c r="K9" s="51">
        <v>1</v>
      </c>
    </row>
    <row r="10" spans="5:13" s="52" customFormat="1" ht="16" hidden="1">
      <c r="E10" s="310" t="s">
        <v>327</v>
      </c>
      <c r="F10" s="288"/>
      <c r="G10" s="51">
        <v>1</v>
      </c>
      <c r="H10" s="310" t="s">
        <v>397</v>
      </c>
      <c r="I10" s="287"/>
      <c r="J10" s="288"/>
      <c r="K10" s="51"/>
      <c r="L10" s="81"/>
      <c r="M10" s="81"/>
    </row>
    <row r="11" spans="5:13" s="52" customFormat="1" ht="16" hidden="1">
      <c r="E11" s="310" t="s">
        <v>328</v>
      </c>
      <c r="F11" s="288"/>
      <c r="G11" s="51"/>
      <c r="H11" s="310" t="s">
        <v>398</v>
      </c>
      <c r="I11" s="287"/>
      <c r="J11" s="288"/>
      <c r="K11" s="51">
        <v>1</v>
      </c>
    </row>
    <row r="12" spans="5:13" s="52" customFormat="1" ht="16" hidden="1">
      <c r="E12" s="310" t="s">
        <v>329</v>
      </c>
      <c r="F12" s="288"/>
      <c r="G12" s="51">
        <v>1</v>
      </c>
      <c r="H12" s="310" t="s">
        <v>399</v>
      </c>
      <c r="I12" s="287"/>
      <c r="J12" s="288"/>
      <c r="K12" s="51"/>
      <c r="L12" s="81"/>
      <c r="M12" s="81"/>
    </row>
    <row r="13" spans="5:13" s="52" customFormat="1" ht="16" hidden="1">
      <c r="E13" s="310" t="s">
        <v>330</v>
      </c>
      <c r="F13" s="288"/>
      <c r="G13" s="51"/>
      <c r="H13" s="310" t="s">
        <v>392</v>
      </c>
      <c r="I13" s="287"/>
      <c r="J13" s="288"/>
      <c r="K13" s="51">
        <v>1</v>
      </c>
    </row>
    <row r="14" spans="5:13" s="52" customFormat="1" ht="16" hidden="1">
      <c r="E14" s="310" t="s">
        <v>331</v>
      </c>
      <c r="F14" s="288"/>
      <c r="G14" s="51">
        <v>1</v>
      </c>
      <c r="H14" s="310" t="s">
        <v>393</v>
      </c>
      <c r="I14" s="287"/>
      <c r="J14" s="288"/>
      <c r="K14" s="51"/>
      <c r="L14" s="81"/>
      <c r="M14" s="81"/>
    </row>
    <row r="15" spans="5:13" s="52" customFormat="1" ht="16" hidden="1">
      <c r="E15" s="310" t="s">
        <v>332</v>
      </c>
      <c r="F15" s="288"/>
      <c r="G15" s="51"/>
      <c r="H15" s="310" t="s">
        <v>455</v>
      </c>
      <c r="I15" s="287"/>
      <c r="J15" s="288"/>
      <c r="K15" s="51">
        <v>1</v>
      </c>
    </row>
    <row r="16" spans="5:13" s="52" customFormat="1" ht="16" hidden="1">
      <c r="E16" s="310" t="s">
        <v>333</v>
      </c>
      <c r="F16" s="288"/>
      <c r="G16" s="51">
        <v>1</v>
      </c>
      <c r="H16" s="310" t="s">
        <v>456</v>
      </c>
      <c r="I16" s="287"/>
      <c r="J16" s="288"/>
      <c r="K16" s="51"/>
      <c r="L16" s="81"/>
      <c r="M16" s="81"/>
    </row>
    <row r="17" spans="1:13" s="52" customFormat="1" ht="16" hidden="1">
      <c r="E17" s="310" t="s">
        <v>334</v>
      </c>
      <c r="F17" s="288"/>
      <c r="G17" s="51"/>
      <c r="H17" s="310" t="s">
        <v>457</v>
      </c>
      <c r="I17" s="287"/>
      <c r="J17" s="288"/>
      <c r="K17" s="51">
        <v>1</v>
      </c>
    </row>
    <row r="18" spans="1:13" s="52" customFormat="1" ht="16" hidden="1">
      <c r="E18" s="310" t="s">
        <v>335</v>
      </c>
      <c r="F18" s="288"/>
      <c r="G18" s="51">
        <v>1</v>
      </c>
      <c r="H18" s="310" t="s">
        <v>458</v>
      </c>
      <c r="I18" s="287"/>
      <c r="J18" s="288"/>
      <c r="K18" s="51"/>
      <c r="L18" s="81"/>
      <c r="M18" s="81"/>
    </row>
    <row r="19" spans="1:13" s="52" customFormat="1" ht="16" hidden="1">
      <c r="E19" s="310" t="s">
        <v>336</v>
      </c>
      <c r="F19" s="288"/>
      <c r="G19" s="51"/>
      <c r="H19" s="310" t="s">
        <v>378</v>
      </c>
      <c r="I19" s="287"/>
      <c r="J19" s="288"/>
      <c r="K19" s="51">
        <v>1</v>
      </c>
    </row>
    <row r="20" spans="1:13" s="52" customFormat="1" ht="16" hidden="1">
      <c r="E20" s="310" t="s">
        <v>337</v>
      </c>
      <c r="F20" s="288"/>
      <c r="G20" s="51">
        <v>1</v>
      </c>
      <c r="H20" s="310" t="s">
        <v>385</v>
      </c>
      <c r="I20" s="287"/>
      <c r="J20" s="288"/>
      <c r="K20" s="51"/>
      <c r="L20" s="81"/>
      <c r="M20" s="81"/>
    </row>
    <row r="21" spans="1:13" s="52" customFormat="1" ht="16" hidden="1">
      <c r="E21" s="310" t="s">
        <v>338</v>
      </c>
      <c r="F21" s="288"/>
      <c r="G21" s="51"/>
      <c r="H21" s="310" t="s">
        <v>459</v>
      </c>
      <c r="I21" s="287"/>
      <c r="J21" s="288"/>
      <c r="K21" s="51">
        <v>1</v>
      </c>
    </row>
    <row r="22" spans="1:13" s="52" customFormat="1" ht="16" hidden="1">
      <c r="E22" s="310" t="s">
        <v>339</v>
      </c>
      <c r="F22" s="288"/>
      <c r="G22" s="51">
        <v>1</v>
      </c>
      <c r="H22" s="310" t="s">
        <v>460</v>
      </c>
      <c r="I22" s="287"/>
      <c r="J22" s="288"/>
      <c r="K22" s="51"/>
      <c r="L22" s="81"/>
      <c r="M22" s="81"/>
    </row>
    <row r="23" spans="1:13" s="52" customFormat="1" ht="16" hidden="1">
      <c r="E23" s="310" t="s">
        <v>340</v>
      </c>
      <c r="F23" s="288"/>
      <c r="G23" s="51"/>
      <c r="H23" s="310" t="s">
        <v>461</v>
      </c>
      <c r="I23" s="287"/>
      <c r="J23" s="288"/>
      <c r="K23" s="51">
        <v>1</v>
      </c>
    </row>
    <row r="24" spans="1:13" s="52" customFormat="1" ht="16" hidden="1">
      <c r="E24" s="310" t="s">
        <v>341</v>
      </c>
      <c r="F24" s="288"/>
      <c r="G24" s="51">
        <v>1</v>
      </c>
      <c r="H24" s="310" t="s">
        <v>462</v>
      </c>
      <c r="I24" s="287"/>
      <c r="J24" s="288"/>
      <c r="K24" s="51"/>
      <c r="L24" s="81"/>
      <c r="M24" s="81"/>
    </row>
    <row r="25" spans="1:13" s="52" customFormat="1" ht="16" hidden="1">
      <c r="H25" s="310" t="s">
        <v>265</v>
      </c>
      <c r="I25" s="287"/>
      <c r="J25" s="288"/>
      <c r="K25" s="51" cm="1">
        <f t="array" ref="K25">SUM(G4:G24+K4:K24)</f>
        <v>21</v>
      </c>
      <c r="L25" s="82"/>
      <c r="M25" s="82"/>
    </row>
    <row r="26" spans="1:13" ht="17.5" thickBot="1"/>
    <row r="27" spans="1:13" ht="17.5" thickBot="1">
      <c r="A27" s="18" t="s">
        <v>80</v>
      </c>
      <c r="B27" s="19" t="s">
        <v>0</v>
      </c>
      <c r="C27" s="19" t="s">
        <v>142</v>
      </c>
      <c r="D27" s="19" t="s">
        <v>103</v>
      </c>
      <c r="E27" s="19" t="s">
        <v>104</v>
      </c>
      <c r="F27" s="49" t="s">
        <v>83</v>
      </c>
      <c r="G27" s="49" t="s">
        <v>84</v>
      </c>
      <c r="H27" s="49" t="s">
        <v>254</v>
      </c>
      <c r="I27" s="70" t="s">
        <v>267</v>
      </c>
      <c r="J27" s="70" t="s">
        <v>266</v>
      </c>
      <c r="K27" s="50" t="s">
        <v>79</v>
      </c>
    </row>
    <row r="28" spans="1:13">
      <c r="A28" s="257">
        <v>1</v>
      </c>
      <c r="B28" s="11" t="s">
        <v>63</v>
      </c>
      <c r="C28" s="11" t="s">
        <v>144</v>
      </c>
      <c r="D28" s="11" t="s">
        <v>380</v>
      </c>
      <c r="E28" s="11" t="s">
        <v>381</v>
      </c>
      <c r="F28" s="30">
        <v>1</v>
      </c>
      <c r="G28" s="30" t="s">
        <v>679</v>
      </c>
      <c r="H28" s="32">
        <f>$G$4*F28</f>
        <v>1</v>
      </c>
      <c r="I28" s="71">
        <f>158000+56000</f>
        <v>214000</v>
      </c>
      <c r="J28" s="71">
        <f>H28*I28</f>
        <v>214000</v>
      </c>
      <c r="K28" s="31" t="s">
        <v>1675</v>
      </c>
    </row>
    <row r="29" spans="1:13">
      <c r="A29" s="258"/>
      <c r="B29" s="13" t="s">
        <v>63</v>
      </c>
      <c r="C29" s="13" t="s">
        <v>144</v>
      </c>
      <c r="D29" s="13" t="s">
        <v>383</v>
      </c>
      <c r="E29" s="13" t="s">
        <v>384</v>
      </c>
      <c r="F29" s="32">
        <v>12</v>
      </c>
      <c r="G29" s="32" t="s">
        <v>954</v>
      </c>
      <c r="H29" s="32">
        <f>$G$4*F29</f>
        <v>12</v>
      </c>
      <c r="I29" s="72">
        <v>2470</v>
      </c>
      <c r="J29" s="72">
        <f t="shared" ref="J29:J93" si="0">H29*I29</f>
        <v>29640</v>
      </c>
      <c r="K29" s="33"/>
    </row>
    <row r="30" spans="1:13">
      <c r="A30" s="258"/>
      <c r="B30" s="13" t="s">
        <v>63</v>
      </c>
      <c r="C30" s="13" t="s">
        <v>144</v>
      </c>
      <c r="D30" s="13" t="s">
        <v>404</v>
      </c>
      <c r="E30" s="13" t="s">
        <v>977</v>
      </c>
      <c r="F30" s="32">
        <v>1</v>
      </c>
      <c r="G30" s="13" t="s">
        <v>1733</v>
      </c>
      <c r="H30" s="32">
        <f t="shared" ref="H30:H53" si="1">$G$4*F30</f>
        <v>1</v>
      </c>
      <c r="I30" s="301">
        <v>32037</v>
      </c>
      <c r="J30" s="301">
        <f t="shared" si="0"/>
        <v>32037</v>
      </c>
      <c r="K30" s="33"/>
    </row>
    <row r="31" spans="1:13">
      <c r="A31" s="258"/>
      <c r="B31" s="13" t="s">
        <v>63</v>
      </c>
      <c r="C31" s="13" t="s">
        <v>144</v>
      </c>
      <c r="D31" s="13" t="s">
        <v>410</v>
      </c>
      <c r="E31" s="13" t="s">
        <v>979</v>
      </c>
      <c r="F31" s="32">
        <v>1</v>
      </c>
      <c r="G31" s="13" t="s">
        <v>1733</v>
      </c>
      <c r="H31" s="32">
        <f t="shared" si="1"/>
        <v>1</v>
      </c>
      <c r="I31" s="302"/>
      <c r="J31" s="302"/>
      <c r="K31" s="33"/>
    </row>
    <row r="32" spans="1:13">
      <c r="A32" s="258"/>
      <c r="B32" s="13" t="s">
        <v>63</v>
      </c>
      <c r="C32" s="13" t="s">
        <v>144</v>
      </c>
      <c r="D32" s="13" t="s">
        <v>407</v>
      </c>
      <c r="E32" s="13" t="s">
        <v>980</v>
      </c>
      <c r="F32" s="32">
        <v>1</v>
      </c>
      <c r="G32" s="13" t="s">
        <v>1733</v>
      </c>
      <c r="H32" s="32">
        <f t="shared" si="1"/>
        <v>1</v>
      </c>
      <c r="I32" s="303"/>
      <c r="J32" s="303"/>
      <c r="K32" s="33"/>
    </row>
    <row r="33" spans="1:14" ht="16.5" customHeight="1">
      <c r="A33" s="258"/>
      <c r="B33" s="13" t="s">
        <v>63</v>
      </c>
      <c r="C33" s="13" t="s">
        <v>144</v>
      </c>
      <c r="D33" s="13" t="s">
        <v>486</v>
      </c>
      <c r="E33" s="13" t="s">
        <v>386</v>
      </c>
      <c r="F33" s="32">
        <v>1</v>
      </c>
      <c r="G33" s="32" t="s">
        <v>569</v>
      </c>
      <c r="H33" s="32">
        <f t="shared" si="1"/>
        <v>1</v>
      </c>
      <c r="I33" s="72">
        <v>5000</v>
      </c>
      <c r="J33" s="72">
        <f t="shared" si="0"/>
        <v>5000</v>
      </c>
      <c r="K33" s="33"/>
    </row>
    <row r="34" spans="1:14">
      <c r="A34" s="258"/>
      <c r="B34" s="13" t="s">
        <v>63</v>
      </c>
      <c r="C34" s="13" t="s">
        <v>144</v>
      </c>
      <c r="D34" s="13" t="s">
        <v>542</v>
      </c>
      <c r="E34" s="13" t="s">
        <v>983</v>
      </c>
      <c r="F34" s="32">
        <v>2</v>
      </c>
      <c r="G34" s="32" t="s">
        <v>956</v>
      </c>
      <c r="H34" s="32">
        <f t="shared" si="1"/>
        <v>2</v>
      </c>
      <c r="I34" s="72">
        <v>400</v>
      </c>
      <c r="J34" s="72">
        <f t="shared" si="0"/>
        <v>800</v>
      </c>
      <c r="K34" s="33"/>
    </row>
    <row r="35" spans="1:14">
      <c r="A35" s="258"/>
      <c r="B35" s="13" t="s">
        <v>63</v>
      </c>
      <c r="C35" s="13" t="s">
        <v>144</v>
      </c>
      <c r="D35" s="13" t="s">
        <v>543</v>
      </c>
      <c r="E35" s="13" t="s">
        <v>984</v>
      </c>
      <c r="F35" s="32">
        <v>2</v>
      </c>
      <c r="G35" s="32" t="s">
        <v>955</v>
      </c>
      <c r="H35" s="32">
        <f t="shared" si="1"/>
        <v>2</v>
      </c>
      <c r="I35" s="72">
        <v>400</v>
      </c>
      <c r="J35" s="72">
        <f t="shared" si="0"/>
        <v>800</v>
      </c>
      <c r="K35" s="33"/>
    </row>
    <row r="36" spans="1:14">
      <c r="A36" s="258"/>
      <c r="B36" s="13" t="s">
        <v>63</v>
      </c>
      <c r="C36" s="13" t="s">
        <v>144</v>
      </c>
      <c r="D36" s="13" t="s">
        <v>544</v>
      </c>
      <c r="E36" s="13" t="s">
        <v>985</v>
      </c>
      <c r="F36" s="32">
        <v>2</v>
      </c>
      <c r="G36" s="32" t="s">
        <v>955</v>
      </c>
      <c r="H36" s="32">
        <f t="shared" si="1"/>
        <v>2</v>
      </c>
      <c r="I36" s="72">
        <v>400</v>
      </c>
      <c r="J36" s="72">
        <f t="shared" si="0"/>
        <v>800</v>
      </c>
      <c r="K36" s="33"/>
    </row>
    <row r="37" spans="1:14">
      <c r="A37" s="258"/>
      <c r="B37" s="13" t="s">
        <v>63</v>
      </c>
      <c r="C37" s="13" t="s">
        <v>144</v>
      </c>
      <c r="D37" s="13" t="s">
        <v>553</v>
      </c>
      <c r="E37" s="13" t="s">
        <v>425</v>
      </c>
      <c r="F37" s="32">
        <v>2</v>
      </c>
      <c r="G37" s="32" t="s">
        <v>955</v>
      </c>
      <c r="H37" s="32">
        <f t="shared" si="1"/>
        <v>2</v>
      </c>
      <c r="I37" s="72">
        <v>1700</v>
      </c>
      <c r="J37" s="72">
        <f t="shared" si="0"/>
        <v>3400</v>
      </c>
      <c r="K37" s="33"/>
    </row>
    <row r="38" spans="1:14">
      <c r="A38" s="258"/>
      <c r="B38" s="13" t="s">
        <v>63</v>
      </c>
      <c r="C38" s="13" t="s">
        <v>144</v>
      </c>
      <c r="D38" s="13" t="s">
        <v>538</v>
      </c>
      <c r="E38" s="13" t="s">
        <v>427</v>
      </c>
      <c r="F38" s="32">
        <v>1</v>
      </c>
      <c r="G38" s="32" t="s">
        <v>680</v>
      </c>
      <c r="H38" s="32">
        <f t="shared" si="1"/>
        <v>1</v>
      </c>
      <c r="I38" s="72">
        <v>8500</v>
      </c>
      <c r="J38" s="72">
        <f t="shared" si="0"/>
        <v>8500</v>
      </c>
      <c r="K38" s="33"/>
    </row>
    <row r="39" spans="1:14" ht="17.5">
      <c r="A39" s="258"/>
      <c r="B39" s="13" t="s">
        <v>63</v>
      </c>
      <c r="C39" s="13" t="s">
        <v>144</v>
      </c>
      <c r="D39" s="13" t="s">
        <v>541</v>
      </c>
      <c r="E39" s="13" t="s">
        <v>429</v>
      </c>
      <c r="F39" s="32">
        <v>1</v>
      </c>
      <c r="G39" s="32" t="s">
        <v>958</v>
      </c>
      <c r="H39" s="32">
        <f t="shared" si="1"/>
        <v>1</v>
      </c>
      <c r="I39" s="72">
        <v>4800</v>
      </c>
      <c r="J39" s="72">
        <f t="shared" si="0"/>
        <v>4800</v>
      </c>
      <c r="K39" s="33"/>
      <c r="N39" s="244" t="s">
        <v>1677</v>
      </c>
    </row>
    <row r="40" spans="1:14">
      <c r="A40" s="258"/>
      <c r="B40" s="13" t="s">
        <v>63</v>
      </c>
      <c r="C40" s="13" t="s">
        <v>144</v>
      </c>
      <c r="D40" s="13" t="s">
        <v>432</v>
      </c>
      <c r="E40" s="13" t="s">
        <v>430</v>
      </c>
      <c r="F40" s="32">
        <v>1</v>
      </c>
      <c r="G40" s="32" t="s">
        <v>955</v>
      </c>
      <c r="H40" s="32">
        <f t="shared" si="1"/>
        <v>1</v>
      </c>
      <c r="I40" s="76">
        <f>3000+1000</f>
        <v>4000</v>
      </c>
      <c r="J40" s="72">
        <f t="shared" si="0"/>
        <v>4000</v>
      </c>
      <c r="K40" s="33"/>
    </row>
    <row r="41" spans="1:14">
      <c r="A41" s="258"/>
      <c r="B41" s="13" t="s">
        <v>63</v>
      </c>
      <c r="C41" s="13" t="s">
        <v>144</v>
      </c>
      <c r="D41" s="13" t="s">
        <v>436</v>
      </c>
      <c r="E41" s="13" t="s">
        <v>434</v>
      </c>
      <c r="F41" s="32">
        <v>1</v>
      </c>
      <c r="G41" s="32" t="s">
        <v>955</v>
      </c>
      <c r="H41" s="32">
        <f t="shared" si="1"/>
        <v>1</v>
      </c>
      <c r="I41" s="76">
        <v>4000</v>
      </c>
      <c r="J41" s="72">
        <f t="shared" si="0"/>
        <v>4000</v>
      </c>
      <c r="K41" s="33"/>
    </row>
    <row r="42" spans="1:14">
      <c r="A42" s="258"/>
      <c r="B42" s="13" t="s">
        <v>63</v>
      </c>
      <c r="C42" s="13" t="s">
        <v>144</v>
      </c>
      <c r="D42" s="13" t="s">
        <v>439</v>
      </c>
      <c r="E42" s="13" t="s">
        <v>612</v>
      </c>
      <c r="F42" s="32">
        <v>2</v>
      </c>
      <c r="G42" s="32" t="s">
        <v>955</v>
      </c>
      <c r="H42" s="32">
        <f t="shared" si="1"/>
        <v>2</v>
      </c>
      <c r="I42" s="76">
        <v>8000</v>
      </c>
      <c r="J42" s="72">
        <f t="shared" si="0"/>
        <v>16000</v>
      </c>
      <c r="K42" s="33"/>
    </row>
    <row r="43" spans="1:14">
      <c r="A43" s="258"/>
      <c r="B43" s="13" t="s">
        <v>63</v>
      </c>
      <c r="C43" s="13" t="s">
        <v>144</v>
      </c>
      <c r="D43" s="13" t="s">
        <v>529</v>
      </c>
      <c r="E43" s="13" t="s">
        <v>530</v>
      </c>
      <c r="F43" s="32">
        <v>1</v>
      </c>
      <c r="G43" s="32" t="s">
        <v>681</v>
      </c>
      <c r="H43" s="32">
        <f t="shared" si="1"/>
        <v>1</v>
      </c>
      <c r="I43" s="72">
        <v>2520</v>
      </c>
      <c r="J43" s="72">
        <f t="shared" si="0"/>
        <v>2520</v>
      </c>
      <c r="K43" s="33"/>
    </row>
    <row r="44" spans="1:14">
      <c r="A44" s="258"/>
      <c r="B44" s="13" t="s">
        <v>63</v>
      </c>
      <c r="C44" s="13" t="s">
        <v>144</v>
      </c>
      <c r="D44" s="13" t="s">
        <v>531</v>
      </c>
      <c r="E44" s="13" t="s">
        <v>532</v>
      </c>
      <c r="F44" s="32">
        <v>1</v>
      </c>
      <c r="G44" s="32" t="s">
        <v>976</v>
      </c>
      <c r="H44" s="32">
        <f t="shared" si="1"/>
        <v>1</v>
      </c>
      <c r="I44" s="72">
        <v>5500</v>
      </c>
      <c r="J44" s="72">
        <f t="shared" si="0"/>
        <v>5500</v>
      </c>
      <c r="K44" s="33"/>
    </row>
    <row r="45" spans="1:14">
      <c r="A45" s="258"/>
      <c r="B45" s="13" t="s">
        <v>63</v>
      </c>
      <c r="C45" s="13" t="s">
        <v>144</v>
      </c>
      <c r="D45" s="13" t="s">
        <v>443</v>
      </c>
      <c r="E45" s="13" t="s">
        <v>442</v>
      </c>
      <c r="F45" s="32">
        <v>1</v>
      </c>
      <c r="G45" s="32" t="s">
        <v>250</v>
      </c>
      <c r="H45" s="32">
        <f t="shared" si="1"/>
        <v>1</v>
      </c>
      <c r="I45" s="72">
        <v>7000</v>
      </c>
      <c r="J45" s="72">
        <f t="shared" si="0"/>
        <v>7000</v>
      </c>
      <c r="K45" s="243" t="s">
        <v>1676</v>
      </c>
    </row>
    <row r="46" spans="1:14">
      <c r="A46" s="258"/>
      <c r="B46" s="13" t="s">
        <v>63</v>
      </c>
      <c r="C46" s="13" t="s">
        <v>144</v>
      </c>
      <c r="D46" s="13" t="s">
        <v>441</v>
      </c>
      <c r="E46" s="13" t="s">
        <v>440</v>
      </c>
      <c r="F46" s="32">
        <v>1</v>
      </c>
      <c r="G46" s="32" t="s">
        <v>250</v>
      </c>
      <c r="H46" s="32">
        <f t="shared" si="1"/>
        <v>1</v>
      </c>
      <c r="I46" s="72">
        <v>7000</v>
      </c>
      <c r="J46" s="72">
        <f t="shared" si="0"/>
        <v>7000</v>
      </c>
      <c r="K46" s="243" t="s">
        <v>1676</v>
      </c>
    </row>
    <row r="47" spans="1:14">
      <c r="A47" s="258"/>
      <c r="B47" s="13" t="s">
        <v>63</v>
      </c>
      <c r="C47" s="13" t="s">
        <v>144</v>
      </c>
      <c r="D47" s="13" t="s">
        <v>546</v>
      </c>
      <c r="E47" s="13" t="s">
        <v>547</v>
      </c>
      <c r="F47" s="32">
        <v>1</v>
      </c>
      <c r="G47" s="32" t="s">
        <v>571</v>
      </c>
      <c r="H47" s="32">
        <f t="shared" si="1"/>
        <v>1</v>
      </c>
      <c r="I47" s="72">
        <v>3200</v>
      </c>
      <c r="J47" s="72">
        <f t="shared" si="0"/>
        <v>3200</v>
      </c>
      <c r="K47" s="33"/>
    </row>
    <row r="48" spans="1:14">
      <c r="A48" s="258"/>
      <c r="B48" s="13" t="s">
        <v>63</v>
      </c>
      <c r="C48" s="13" t="s">
        <v>144</v>
      </c>
      <c r="D48" s="13" t="s">
        <v>554</v>
      </c>
      <c r="E48" s="13" t="s">
        <v>533</v>
      </c>
      <c r="F48" s="32">
        <v>1</v>
      </c>
      <c r="G48" s="32" t="s">
        <v>686</v>
      </c>
      <c r="H48" s="32">
        <f t="shared" si="1"/>
        <v>1</v>
      </c>
      <c r="I48" s="72">
        <v>900</v>
      </c>
      <c r="J48" s="72">
        <f t="shared" si="0"/>
        <v>900</v>
      </c>
      <c r="K48" s="33"/>
    </row>
    <row r="49" spans="1:13">
      <c r="A49" s="258"/>
      <c r="B49" s="13" t="s">
        <v>63</v>
      </c>
      <c r="C49" s="13" t="s">
        <v>144</v>
      </c>
      <c r="D49" s="98" t="s">
        <v>578</v>
      </c>
      <c r="E49" s="98" t="s">
        <v>522</v>
      </c>
      <c r="F49" s="99">
        <v>2</v>
      </c>
      <c r="G49" s="99" t="s">
        <v>560</v>
      </c>
      <c r="H49" s="99">
        <f t="shared" si="1"/>
        <v>2</v>
      </c>
      <c r="I49" s="100">
        <v>76000</v>
      </c>
      <c r="J49" s="100">
        <f t="shared" si="0"/>
        <v>152000</v>
      </c>
      <c r="K49" s="33"/>
    </row>
    <row r="50" spans="1:13">
      <c r="A50" s="258"/>
      <c r="B50" s="13" t="s">
        <v>63</v>
      </c>
      <c r="C50" s="13" t="s">
        <v>144</v>
      </c>
      <c r="D50" s="109" t="s">
        <v>444</v>
      </c>
      <c r="E50" s="109" t="s">
        <v>448</v>
      </c>
      <c r="F50" s="110">
        <v>1</v>
      </c>
      <c r="G50" s="110" t="s">
        <v>235</v>
      </c>
      <c r="H50" s="110">
        <f t="shared" si="1"/>
        <v>1</v>
      </c>
      <c r="I50" s="111">
        <f>(72*2700)+300000</f>
        <v>494400</v>
      </c>
      <c r="J50" s="111">
        <f t="shared" si="0"/>
        <v>494400</v>
      </c>
      <c r="K50" s="33"/>
    </row>
    <row r="51" spans="1:13" ht="16.5" customHeight="1">
      <c r="A51" s="264"/>
      <c r="B51" s="13" t="s">
        <v>63</v>
      </c>
      <c r="C51" s="13" t="s">
        <v>144</v>
      </c>
      <c r="D51" s="15" t="s">
        <v>624</v>
      </c>
      <c r="E51" s="15" t="s">
        <v>626</v>
      </c>
      <c r="F51" s="38">
        <v>1</v>
      </c>
      <c r="G51" s="38" t="s">
        <v>691</v>
      </c>
      <c r="H51" s="38">
        <f t="shared" si="1"/>
        <v>1</v>
      </c>
      <c r="I51" s="73">
        <f>16000+1800</f>
        <v>17800</v>
      </c>
      <c r="J51" s="73">
        <f t="shared" si="0"/>
        <v>17800</v>
      </c>
      <c r="K51" s="39"/>
      <c r="L51" s="1"/>
      <c r="M51" s="83"/>
    </row>
    <row r="52" spans="1:13" ht="16.5" customHeight="1" thickBot="1">
      <c r="A52" s="264"/>
      <c r="B52" s="13" t="s">
        <v>63</v>
      </c>
      <c r="C52" s="13" t="s">
        <v>144</v>
      </c>
      <c r="D52" s="15" t="s">
        <v>1735</v>
      </c>
      <c r="E52" s="13" t="s">
        <v>693</v>
      </c>
      <c r="F52" s="38">
        <v>1</v>
      </c>
      <c r="G52" s="38" t="s">
        <v>1736</v>
      </c>
      <c r="H52" s="38">
        <f t="shared" si="1"/>
        <v>1</v>
      </c>
      <c r="I52" s="73">
        <v>6500</v>
      </c>
      <c r="J52" s="73">
        <f t="shared" si="0"/>
        <v>6500</v>
      </c>
      <c r="K52" s="39"/>
      <c r="L52" s="1"/>
      <c r="M52" s="83"/>
    </row>
    <row r="53" spans="1:13" ht="17.25" customHeight="1" thickBot="1">
      <c r="A53" s="259"/>
      <c r="B53" s="9" t="s">
        <v>63</v>
      </c>
      <c r="C53" s="9" t="s">
        <v>144</v>
      </c>
      <c r="D53" s="9" t="s">
        <v>113</v>
      </c>
      <c r="E53" s="9" t="s">
        <v>113</v>
      </c>
      <c r="F53" s="43">
        <v>1</v>
      </c>
      <c r="G53" s="43" t="s">
        <v>240</v>
      </c>
      <c r="H53" s="43">
        <f t="shared" si="1"/>
        <v>1</v>
      </c>
      <c r="I53" s="74">
        <v>13400</v>
      </c>
      <c r="J53" s="74">
        <f t="shared" si="0"/>
        <v>13400</v>
      </c>
      <c r="K53" s="44"/>
      <c r="L53" s="87">
        <f>SUBTOTAL(9,J28:J53)</f>
        <v>1033997</v>
      </c>
      <c r="M53" s="83"/>
    </row>
    <row r="54" spans="1:13" hidden="1">
      <c r="A54" s="274">
        <v>2</v>
      </c>
      <c r="B54" s="10" t="s">
        <v>63</v>
      </c>
      <c r="C54" s="10" t="s">
        <v>175</v>
      </c>
      <c r="D54" s="10" t="s">
        <v>380</v>
      </c>
      <c r="E54" s="10" t="s">
        <v>381</v>
      </c>
      <c r="F54" s="5">
        <v>1</v>
      </c>
      <c r="G54" s="5" t="s">
        <v>250</v>
      </c>
      <c r="H54" s="5">
        <f>$G$5*F54</f>
        <v>0</v>
      </c>
      <c r="I54" s="75"/>
      <c r="J54" s="75">
        <f t="shared" si="0"/>
        <v>0</v>
      </c>
      <c r="K54" s="40" t="s">
        <v>238</v>
      </c>
      <c r="L54" s="1"/>
      <c r="M54" s="1"/>
    </row>
    <row r="55" spans="1:13" hidden="1">
      <c r="A55" s="258"/>
      <c r="B55" s="34" t="s">
        <v>63</v>
      </c>
      <c r="C55" s="34" t="s">
        <v>175</v>
      </c>
      <c r="D55" s="34" t="s">
        <v>383</v>
      </c>
      <c r="E55" s="34" t="s">
        <v>384</v>
      </c>
      <c r="F55" s="32">
        <v>12</v>
      </c>
      <c r="G55" s="32" t="s">
        <v>954</v>
      </c>
      <c r="H55" s="32">
        <f t="shared" ref="H55:H78" si="2">$G$5*F55</f>
        <v>0</v>
      </c>
      <c r="I55" s="72"/>
      <c r="J55" s="72">
        <f t="shared" si="0"/>
        <v>0</v>
      </c>
      <c r="K55" s="33"/>
      <c r="L55" s="1"/>
      <c r="M55" s="1"/>
    </row>
    <row r="56" spans="1:13" hidden="1">
      <c r="A56" s="258"/>
      <c r="B56" s="13" t="s">
        <v>63</v>
      </c>
      <c r="C56" s="13" t="s">
        <v>175</v>
      </c>
      <c r="D56" s="13" t="s">
        <v>404</v>
      </c>
      <c r="E56" s="13" t="s">
        <v>413</v>
      </c>
      <c r="F56" s="32">
        <v>1</v>
      </c>
      <c r="G56" s="32" t="s">
        <v>567</v>
      </c>
      <c r="H56" s="32">
        <f t="shared" si="2"/>
        <v>0</v>
      </c>
      <c r="I56" s="76"/>
      <c r="J56" s="76">
        <f t="shared" si="0"/>
        <v>0</v>
      </c>
      <c r="K56" s="33"/>
      <c r="L56" s="1"/>
      <c r="M56" s="1"/>
    </row>
    <row r="57" spans="1:13" hidden="1">
      <c r="A57" s="258"/>
      <c r="B57" s="13" t="s">
        <v>63</v>
      </c>
      <c r="C57" s="13" t="s">
        <v>175</v>
      </c>
      <c r="D57" s="13" t="s">
        <v>409</v>
      </c>
      <c r="E57" s="13" t="s">
        <v>415</v>
      </c>
      <c r="F57" s="32">
        <v>1</v>
      </c>
      <c r="G57" s="32" t="s">
        <v>567</v>
      </c>
      <c r="H57" s="32">
        <f t="shared" si="2"/>
        <v>0</v>
      </c>
      <c r="I57" s="76"/>
      <c r="J57" s="76">
        <f t="shared" si="0"/>
        <v>0</v>
      </c>
      <c r="K57" s="33"/>
      <c r="L57" s="1"/>
      <c r="M57" s="1"/>
    </row>
    <row r="58" spans="1:13" hidden="1">
      <c r="A58" s="258"/>
      <c r="B58" s="13" t="s">
        <v>63</v>
      </c>
      <c r="C58" s="13" t="s">
        <v>175</v>
      </c>
      <c r="D58" s="13" t="s">
        <v>406</v>
      </c>
      <c r="E58" s="13" t="s">
        <v>418</v>
      </c>
      <c r="F58" s="32">
        <v>1</v>
      </c>
      <c r="G58" s="32" t="s">
        <v>567</v>
      </c>
      <c r="H58" s="32">
        <f t="shared" si="2"/>
        <v>0</v>
      </c>
      <c r="I58" s="76"/>
      <c r="J58" s="76">
        <f t="shared" si="0"/>
        <v>0</v>
      </c>
      <c r="K58" s="33"/>
      <c r="L58" s="1"/>
      <c r="M58" s="1"/>
    </row>
    <row r="59" spans="1:13" hidden="1">
      <c r="A59" s="258"/>
      <c r="B59" s="13" t="s">
        <v>63</v>
      </c>
      <c r="C59" s="13" t="s">
        <v>175</v>
      </c>
      <c r="D59" s="13" t="s">
        <v>486</v>
      </c>
      <c r="E59" s="13" t="s">
        <v>386</v>
      </c>
      <c r="F59" s="32">
        <v>1</v>
      </c>
      <c r="G59" s="32" t="s">
        <v>569</v>
      </c>
      <c r="H59" s="32">
        <f t="shared" si="2"/>
        <v>0</v>
      </c>
      <c r="I59" s="76"/>
      <c r="J59" s="76">
        <f t="shared" si="0"/>
        <v>0</v>
      </c>
      <c r="K59" s="33"/>
      <c r="L59" s="1"/>
      <c r="M59" s="1"/>
    </row>
    <row r="60" spans="1:13" hidden="1">
      <c r="A60" s="258"/>
      <c r="B60" s="13" t="s">
        <v>63</v>
      </c>
      <c r="C60" s="13" t="s">
        <v>175</v>
      </c>
      <c r="D60" s="13" t="s">
        <v>542</v>
      </c>
      <c r="E60" s="13" t="s">
        <v>422</v>
      </c>
      <c r="F60" s="32">
        <v>2</v>
      </c>
      <c r="G60" s="32" t="s">
        <v>561</v>
      </c>
      <c r="H60" s="32">
        <f t="shared" si="2"/>
        <v>0</v>
      </c>
      <c r="I60" s="72"/>
      <c r="J60" s="72">
        <f t="shared" si="0"/>
        <v>0</v>
      </c>
      <c r="K60" s="33"/>
      <c r="L60" s="1"/>
      <c r="M60" s="1"/>
    </row>
    <row r="61" spans="1:13" hidden="1">
      <c r="A61" s="258"/>
      <c r="B61" s="13" t="s">
        <v>63</v>
      </c>
      <c r="C61" s="13" t="s">
        <v>175</v>
      </c>
      <c r="D61" s="13" t="s">
        <v>543</v>
      </c>
      <c r="E61" s="13" t="s">
        <v>424</v>
      </c>
      <c r="F61" s="32">
        <v>2</v>
      </c>
      <c r="G61" s="32" t="s">
        <v>561</v>
      </c>
      <c r="H61" s="32">
        <f t="shared" si="2"/>
        <v>0</v>
      </c>
      <c r="I61" s="72"/>
      <c r="J61" s="72">
        <f t="shared" si="0"/>
        <v>0</v>
      </c>
      <c r="K61" s="33"/>
      <c r="L61" s="1"/>
      <c r="M61" s="1"/>
    </row>
    <row r="62" spans="1:13" hidden="1">
      <c r="A62" s="258"/>
      <c r="B62" s="13" t="s">
        <v>63</v>
      </c>
      <c r="C62" s="13" t="s">
        <v>175</v>
      </c>
      <c r="D62" s="13" t="s">
        <v>544</v>
      </c>
      <c r="E62" s="13" t="s">
        <v>420</v>
      </c>
      <c r="F62" s="32">
        <v>2</v>
      </c>
      <c r="G62" s="32" t="s">
        <v>561</v>
      </c>
      <c r="H62" s="32">
        <f t="shared" si="2"/>
        <v>0</v>
      </c>
      <c r="I62" s="72"/>
      <c r="J62" s="72">
        <f t="shared" si="0"/>
        <v>0</v>
      </c>
      <c r="K62" s="33"/>
      <c r="L62" s="1"/>
      <c r="M62" s="1"/>
    </row>
    <row r="63" spans="1:13" hidden="1">
      <c r="A63" s="258"/>
      <c r="B63" s="13" t="s">
        <v>63</v>
      </c>
      <c r="C63" s="13" t="s">
        <v>175</v>
      </c>
      <c r="D63" s="13" t="s">
        <v>553</v>
      </c>
      <c r="E63" s="13" t="s">
        <v>425</v>
      </c>
      <c r="F63" s="32">
        <v>2</v>
      </c>
      <c r="G63" s="32" t="s">
        <v>561</v>
      </c>
      <c r="H63" s="32">
        <f t="shared" si="2"/>
        <v>0</v>
      </c>
      <c r="I63" s="72"/>
      <c r="J63" s="72">
        <f t="shared" si="0"/>
        <v>0</v>
      </c>
      <c r="K63" s="33"/>
      <c r="L63" s="1"/>
      <c r="M63" s="1"/>
    </row>
    <row r="64" spans="1:13" hidden="1">
      <c r="A64" s="258"/>
      <c r="B64" s="13" t="s">
        <v>63</v>
      </c>
      <c r="C64" s="13" t="s">
        <v>175</v>
      </c>
      <c r="D64" s="13" t="s">
        <v>538</v>
      </c>
      <c r="E64" s="13" t="s">
        <v>427</v>
      </c>
      <c r="F64" s="32">
        <v>1</v>
      </c>
      <c r="G64" s="32" t="s">
        <v>562</v>
      </c>
      <c r="H64" s="32">
        <f t="shared" si="2"/>
        <v>0</v>
      </c>
      <c r="I64" s="72"/>
      <c r="J64" s="72">
        <f t="shared" si="0"/>
        <v>0</v>
      </c>
      <c r="K64" s="33"/>
      <c r="L64" s="1"/>
      <c r="M64" s="1"/>
    </row>
    <row r="65" spans="1:13" hidden="1">
      <c r="A65" s="258"/>
      <c r="B65" s="34" t="s">
        <v>63</v>
      </c>
      <c r="C65" s="34" t="s">
        <v>175</v>
      </c>
      <c r="D65" s="34" t="s">
        <v>540</v>
      </c>
      <c r="E65" s="34" t="s">
        <v>429</v>
      </c>
      <c r="F65" s="32">
        <v>1</v>
      </c>
      <c r="G65" s="32" t="s">
        <v>568</v>
      </c>
      <c r="H65" s="32">
        <f t="shared" si="2"/>
        <v>0</v>
      </c>
      <c r="I65" s="72"/>
      <c r="J65" s="72">
        <f t="shared" si="0"/>
        <v>0</v>
      </c>
      <c r="K65" s="33"/>
      <c r="L65" s="1"/>
      <c r="M65" s="1"/>
    </row>
    <row r="66" spans="1:13" hidden="1">
      <c r="A66" s="258"/>
      <c r="B66" s="13" t="s">
        <v>63</v>
      </c>
      <c r="C66" s="13" t="s">
        <v>175</v>
      </c>
      <c r="D66" s="13" t="s">
        <v>432</v>
      </c>
      <c r="E66" s="13" t="s">
        <v>430</v>
      </c>
      <c r="F66" s="32">
        <v>1</v>
      </c>
      <c r="G66" s="32" t="s">
        <v>561</v>
      </c>
      <c r="H66" s="32">
        <f t="shared" si="2"/>
        <v>0</v>
      </c>
      <c r="I66" s="76"/>
      <c r="J66" s="76">
        <f t="shared" si="0"/>
        <v>0</v>
      </c>
      <c r="K66" s="33"/>
      <c r="L66" s="1"/>
      <c r="M66" s="1"/>
    </row>
    <row r="67" spans="1:13" hidden="1">
      <c r="A67" s="258"/>
      <c r="B67" s="13" t="s">
        <v>63</v>
      </c>
      <c r="C67" s="13" t="s">
        <v>175</v>
      </c>
      <c r="D67" s="13" t="s">
        <v>436</v>
      </c>
      <c r="E67" s="13" t="s">
        <v>434</v>
      </c>
      <c r="F67" s="32">
        <v>1</v>
      </c>
      <c r="G67" s="32" t="s">
        <v>561</v>
      </c>
      <c r="H67" s="32">
        <f t="shared" si="2"/>
        <v>0</v>
      </c>
      <c r="I67" s="76"/>
      <c r="J67" s="76">
        <f t="shared" si="0"/>
        <v>0</v>
      </c>
      <c r="K67" s="33"/>
      <c r="L67" s="1"/>
      <c r="M67" s="1"/>
    </row>
    <row r="68" spans="1:13" hidden="1">
      <c r="A68" s="258"/>
      <c r="B68" s="13" t="s">
        <v>63</v>
      </c>
      <c r="C68" s="13" t="s">
        <v>175</v>
      </c>
      <c r="D68" s="13" t="s">
        <v>439</v>
      </c>
      <c r="E68" s="13" t="s">
        <v>612</v>
      </c>
      <c r="F68" s="32">
        <v>2</v>
      </c>
      <c r="G68" s="32" t="s">
        <v>561</v>
      </c>
      <c r="H68" s="32">
        <f t="shared" si="2"/>
        <v>0</v>
      </c>
      <c r="I68" s="76"/>
      <c r="J68" s="76">
        <f t="shared" si="0"/>
        <v>0</v>
      </c>
      <c r="K68" s="33"/>
      <c r="L68" s="1"/>
      <c r="M68" s="1"/>
    </row>
    <row r="69" spans="1:13" hidden="1">
      <c r="A69" s="258"/>
      <c r="B69" s="34" t="s">
        <v>63</v>
      </c>
      <c r="C69" s="34" t="s">
        <v>175</v>
      </c>
      <c r="D69" s="34" t="s">
        <v>529</v>
      </c>
      <c r="E69" s="34" t="s">
        <v>530</v>
      </c>
      <c r="F69" s="32">
        <v>1</v>
      </c>
      <c r="G69" s="32" t="s">
        <v>566</v>
      </c>
      <c r="H69" s="32">
        <f t="shared" si="2"/>
        <v>0</v>
      </c>
      <c r="I69" s="72"/>
      <c r="J69" s="72">
        <f t="shared" si="0"/>
        <v>0</v>
      </c>
      <c r="K69" s="33"/>
      <c r="L69" s="1"/>
      <c r="M69" s="1"/>
    </row>
    <row r="70" spans="1:13" hidden="1">
      <c r="A70" s="258"/>
      <c r="B70" s="34" t="s">
        <v>63</v>
      </c>
      <c r="C70" s="34" t="s">
        <v>175</v>
      </c>
      <c r="D70" s="34" t="s">
        <v>531</v>
      </c>
      <c r="E70" s="34" t="s">
        <v>532</v>
      </c>
      <c r="F70" s="32">
        <v>1</v>
      </c>
      <c r="G70" s="32" t="s">
        <v>566</v>
      </c>
      <c r="H70" s="32">
        <f t="shared" si="2"/>
        <v>0</v>
      </c>
      <c r="I70" s="72"/>
      <c r="J70" s="72">
        <f t="shared" si="0"/>
        <v>0</v>
      </c>
      <c r="K70" s="33"/>
      <c r="L70" s="1"/>
      <c r="M70" s="1"/>
    </row>
    <row r="71" spans="1:13" hidden="1">
      <c r="A71" s="258"/>
      <c r="B71" s="34" t="s">
        <v>63</v>
      </c>
      <c r="C71" s="34" t="s">
        <v>175</v>
      </c>
      <c r="D71" s="34" t="s">
        <v>443</v>
      </c>
      <c r="E71" s="34" t="s">
        <v>442</v>
      </c>
      <c r="F71" s="32">
        <v>1</v>
      </c>
      <c r="G71" s="32" t="s">
        <v>570</v>
      </c>
      <c r="H71" s="32">
        <f t="shared" si="2"/>
        <v>0</v>
      </c>
      <c r="I71" s="72"/>
      <c r="J71" s="72">
        <f t="shared" si="0"/>
        <v>0</v>
      </c>
      <c r="K71" s="33"/>
      <c r="L71" s="1"/>
      <c r="M71" s="1"/>
    </row>
    <row r="72" spans="1:13" hidden="1">
      <c r="A72" s="258"/>
      <c r="B72" s="34" t="s">
        <v>63</v>
      </c>
      <c r="C72" s="34" t="s">
        <v>175</v>
      </c>
      <c r="D72" s="34" t="s">
        <v>441</v>
      </c>
      <c r="E72" s="34" t="s">
        <v>440</v>
      </c>
      <c r="F72" s="32">
        <v>1</v>
      </c>
      <c r="G72" s="32" t="s">
        <v>570</v>
      </c>
      <c r="H72" s="32">
        <f t="shared" si="2"/>
        <v>0</v>
      </c>
      <c r="I72" s="72"/>
      <c r="J72" s="72">
        <f t="shared" si="0"/>
        <v>0</v>
      </c>
      <c r="K72" s="33"/>
      <c r="L72" s="1"/>
      <c r="M72" s="1"/>
    </row>
    <row r="73" spans="1:13" hidden="1">
      <c r="A73" s="258"/>
      <c r="B73" s="34" t="s">
        <v>63</v>
      </c>
      <c r="C73" s="34" t="s">
        <v>175</v>
      </c>
      <c r="D73" s="34" t="s">
        <v>546</v>
      </c>
      <c r="E73" s="34" t="s">
        <v>547</v>
      </c>
      <c r="F73" s="32">
        <v>1</v>
      </c>
      <c r="G73" s="32" t="s">
        <v>571</v>
      </c>
      <c r="H73" s="32">
        <f t="shared" si="2"/>
        <v>0</v>
      </c>
      <c r="I73" s="72"/>
      <c r="J73" s="72">
        <f t="shared" si="0"/>
        <v>0</v>
      </c>
      <c r="K73" s="33"/>
      <c r="L73" s="1"/>
      <c r="M73" s="1"/>
    </row>
    <row r="74" spans="1:13" hidden="1">
      <c r="A74" s="258"/>
      <c r="B74" s="34" t="s">
        <v>63</v>
      </c>
      <c r="C74" s="34" t="s">
        <v>175</v>
      </c>
      <c r="D74" s="34" t="s">
        <v>554</v>
      </c>
      <c r="E74" s="34" t="s">
        <v>533</v>
      </c>
      <c r="F74" s="32">
        <v>1</v>
      </c>
      <c r="G74" s="32" t="s">
        <v>571</v>
      </c>
      <c r="H74" s="32">
        <f t="shared" si="2"/>
        <v>0</v>
      </c>
      <c r="I74" s="72"/>
      <c r="J74" s="72">
        <f t="shared" si="0"/>
        <v>0</v>
      </c>
      <c r="K74" s="33"/>
      <c r="L74" s="1"/>
      <c r="M74" s="1"/>
    </row>
    <row r="75" spans="1:13" hidden="1">
      <c r="A75" s="258"/>
      <c r="B75" s="13" t="s">
        <v>63</v>
      </c>
      <c r="C75" s="13" t="s">
        <v>175</v>
      </c>
      <c r="D75" s="13" t="s">
        <v>101</v>
      </c>
      <c r="E75" s="13" t="s">
        <v>522</v>
      </c>
      <c r="F75" s="32">
        <v>2</v>
      </c>
      <c r="G75" s="32" t="s">
        <v>560</v>
      </c>
      <c r="H75" s="32">
        <f t="shared" si="2"/>
        <v>0</v>
      </c>
      <c r="I75" s="72">
        <v>53400</v>
      </c>
      <c r="J75" s="72">
        <f t="shared" si="0"/>
        <v>0</v>
      </c>
      <c r="K75" s="33"/>
      <c r="L75" s="1"/>
      <c r="M75" s="1"/>
    </row>
    <row r="76" spans="1:13" hidden="1">
      <c r="A76" s="258"/>
      <c r="B76" s="13" t="s">
        <v>63</v>
      </c>
      <c r="C76" s="13" t="s">
        <v>175</v>
      </c>
      <c r="D76" s="13" t="s">
        <v>445</v>
      </c>
      <c r="E76" s="13" t="s">
        <v>449</v>
      </c>
      <c r="F76" s="32">
        <v>1</v>
      </c>
      <c r="G76" s="32" t="s">
        <v>235</v>
      </c>
      <c r="H76" s="32">
        <f t="shared" si="2"/>
        <v>0</v>
      </c>
      <c r="I76" s="72"/>
      <c r="J76" s="72">
        <f t="shared" si="0"/>
        <v>0</v>
      </c>
      <c r="K76" s="33"/>
      <c r="L76" s="1"/>
      <c r="M76" s="1"/>
    </row>
    <row r="77" spans="1:13" hidden="1">
      <c r="A77" s="264"/>
      <c r="B77" s="46" t="s">
        <v>627</v>
      </c>
      <c r="C77" s="46" t="s">
        <v>628</v>
      </c>
      <c r="D77" s="46" t="s">
        <v>623</v>
      </c>
      <c r="E77" s="46" t="s">
        <v>625</v>
      </c>
      <c r="F77" s="38">
        <v>1</v>
      </c>
      <c r="G77" s="38"/>
      <c r="H77" s="38"/>
      <c r="I77" s="73"/>
      <c r="J77" s="73"/>
      <c r="K77" s="39"/>
      <c r="L77" s="1"/>
      <c r="M77" s="1"/>
    </row>
    <row r="78" spans="1:13" ht="17.5" hidden="1" thickBot="1">
      <c r="A78" s="297"/>
      <c r="B78" s="46" t="s">
        <v>63</v>
      </c>
      <c r="C78" s="46" t="s">
        <v>175</v>
      </c>
      <c r="D78" s="46" t="s">
        <v>113</v>
      </c>
      <c r="E78" s="46" t="s">
        <v>113</v>
      </c>
      <c r="F78" s="38">
        <v>1</v>
      </c>
      <c r="G78" s="38" t="s">
        <v>240</v>
      </c>
      <c r="H78" s="38">
        <f t="shared" si="2"/>
        <v>0</v>
      </c>
      <c r="I78" s="73"/>
      <c r="J78" s="73">
        <f t="shared" si="0"/>
        <v>0</v>
      </c>
      <c r="K78" s="39"/>
      <c r="L78" s="1"/>
      <c r="M78" s="1"/>
    </row>
    <row r="79" spans="1:13">
      <c r="A79" s="257">
        <v>3</v>
      </c>
      <c r="B79" s="11" t="s">
        <v>63</v>
      </c>
      <c r="C79" s="11" t="s">
        <v>176</v>
      </c>
      <c r="D79" s="11" t="s">
        <v>555</v>
      </c>
      <c r="E79" s="11" t="s">
        <v>381</v>
      </c>
      <c r="F79" s="30">
        <v>1</v>
      </c>
      <c r="G79" s="30" t="s">
        <v>679</v>
      </c>
      <c r="H79" s="30">
        <f t="shared" ref="H79:H104" si="3">$G$6*F79</f>
        <v>1</v>
      </c>
      <c r="I79" s="71">
        <f>158000+56000</f>
        <v>214000</v>
      </c>
      <c r="J79" s="77">
        <f t="shared" si="0"/>
        <v>214000</v>
      </c>
      <c r="K79" s="31" t="s">
        <v>238</v>
      </c>
      <c r="L79" s="59"/>
      <c r="M79" s="59"/>
    </row>
    <row r="80" spans="1:13">
      <c r="A80" s="258"/>
      <c r="B80" s="13" t="s">
        <v>63</v>
      </c>
      <c r="C80" s="13" t="s">
        <v>176</v>
      </c>
      <c r="D80" s="13" t="s">
        <v>383</v>
      </c>
      <c r="E80" s="13" t="s">
        <v>384</v>
      </c>
      <c r="F80" s="32">
        <v>12</v>
      </c>
      <c r="G80" s="32" t="s">
        <v>954</v>
      </c>
      <c r="H80" s="32">
        <f t="shared" si="3"/>
        <v>12</v>
      </c>
      <c r="I80" s="72">
        <v>2470</v>
      </c>
      <c r="J80" s="72">
        <f t="shared" si="0"/>
        <v>29640</v>
      </c>
      <c r="K80" s="33"/>
    </row>
    <row r="81" spans="1:13">
      <c r="A81" s="258"/>
      <c r="B81" s="13" t="s">
        <v>63</v>
      </c>
      <c r="C81" s="13" t="s">
        <v>176</v>
      </c>
      <c r="D81" s="13" t="s">
        <v>403</v>
      </c>
      <c r="E81" s="13" t="s">
        <v>977</v>
      </c>
      <c r="F81" s="32">
        <v>1</v>
      </c>
      <c r="G81" s="13" t="s">
        <v>1733</v>
      </c>
      <c r="H81" s="32">
        <f t="shared" si="3"/>
        <v>1</v>
      </c>
      <c r="I81" s="301">
        <v>32037</v>
      </c>
      <c r="J81" s="298">
        <f t="shared" si="0"/>
        <v>32037</v>
      </c>
      <c r="K81" s="33"/>
      <c r="L81" s="59"/>
      <c r="M81" s="59"/>
    </row>
    <row r="82" spans="1:13">
      <c r="A82" s="258"/>
      <c r="B82" s="13" t="s">
        <v>63</v>
      </c>
      <c r="C82" s="13" t="s">
        <v>176</v>
      </c>
      <c r="D82" s="13" t="s">
        <v>410</v>
      </c>
      <c r="E82" s="13" t="s">
        <v>979</v>
      </c>
      <c r="F82" s="32">
        <v>1</v>
      </c>
      <c r="G82" s="13" t="s">
        <v>1733</v>
      </c>
      <c r="H82" s="32">
        <f t="shared" si="3"/>
        <v>1</v>
      </c>
      <c r="I82" s="302"/>
      <c r="J82" s="299"/>
      <c r="K82" s="33"/>
      <c r="L82" s="59"/>
      <c r="M82" s="59"/>
    </row>
    <row r="83" spans="1:13">
      <c r="A83" s="258"/>
      <c r="B83" s="13" t="s">
        <v>63</v>
      </c>
      <c r="C83" s="13" t="s">
        <v>176</v>
      </c>
      <c r="D83" s="13" t="s">
        <v>406</v>
      </c>
      <c r="E83" s="13" t="s">
        <v>980</v>
      </c>
      <c r="F83" s="32">
        <v>1</v>
      </c>
      <c r="G83" s="13" t="s">
        <v>1733</v>
      </c>
      <c r="H83" s="32">
        <f t="shared" si="3"/>
        <v>1</v>
      </c>
      <c r="I83" s="303"/>
      <c r="J83" s="300"/>
      <c r="K83" s="33"/>
      <c r="L83" s="59"/>
      <c r="M83" s="59"/>
    </row>
    <row r="84" spans="1:13">
      <c r="A84" s="258"/>
      <c r="B84" s="13" t="s">
        <v>63</v>
      </c>
      <c r="C84" s="13" t="s">
        <v>176</v>
      </c>
      <c r="D84" s="13" t="s">
        <v>556</v>
      </c>
      <c r="E84" s="13" t="s">
        <v>401</v>
      </c>
      <c r="F84" s="32">
        <v>1</v>
      </c>
      <c r="G84" s="32" t="s">
        <v>569</v>
      </c>
      <c r="H84" s="32">
        <f t="shared" si="3"/>
        <v>1</v>
      </c>
      <c r="I84" s="72">
        <v>5300</v>
      </c>
      <c r="J84" s="76">
        <f t="shared" si="0"/>
        <v>5300</v>
      </c>
      <c r="K84" s="33"/>
      <c r="L84" s="59"/>
      <c r="M84" s="59"/>
    </row>
    <row r="85" spans="1:13">
      <c r="A85" s="258"/>
      <c r="B85" s="13" t="s">
        <v>63</v>
      </c>
      <c r="C85" s="13" t="s">
        <v>176</v>
      </c>
      <c r="D85" s="13" t="s">
        <v>542</v>
      </c>
      <c r="E85" s="13" t="s">
        <v>983</v>
      </c>
      <c r="F85" s="32">
        <v>2</v>
      </c>
      <c r="G85" s="32" t="s">
        <v>955</v>
      </c>
      <c r="H85" s="32">
        <f t="shared" si="3"/>
        <v>2</v>
      </c>
      <c r="I85" s="72">
        <v>400</v>
      </c>
      <c r="J85" s="72">
        <f t="shared" si="0"/>
        <v>800</v>
      </c>
      <c r="K85" s="33"/>
    </row>
    <row r="86" spans="1:13">
      <c r="A86" s="258"/>
      <c r="B86" s="13" t="s">
        <v>63</v>
      </c>
      <c r="C86" s="13" t="s">
        <v>176</v>
      </c>
      <c r="D86" s="13" t="s">
        <v>543</v>
      </c>
      <c r="E86" s="13" t="s">
        <v>984</v>
      </c>
      <c r="F86" s="32">
        <v>2</v>
      </c>
      <c r="G86" s="32" t="s">
        <v>955</v>
      </c>
      <c r="H86" s="32">
        <f t="shared" si="3"/>
        <v>2</v>
      </c>
      <c r="I86" s="72">
        <v>400</v>
      </c>
      <c r="J86" s="72">
        <f t="shared" si="0"/>
        <v>800</v>
      </c>
      <c r="K86" s="33"/>
    </row>
    <row r="87" spans="1:13">
      <c r="A87" s="258"/>
      <c r="B87" s="13" t="s">
        <v>63</v>
      </c>
      <c r="C87" s="13" t="s">
        <v>176</v>
      </c>
      <c r="D87" s="13" t="s">
        <v>544</v>
      </c>
      <c r="E87" s="13" t="s">
        <v>985</v>
      </c>
      <c r="F87" s="32">
        <v>2</v>
      </c>
      <c r="G87" s="32" t="s">
        <v>955</v>
      </c>
      <c r="H87" s="32">
        <f t="shared" si="3"/>
        <v>2</v>
      </c>
      <c r="I87" s="72">
        <v>400</v>
      </c>
      <c r="J87" s="72">
        <f t="shared" si="0"/>
        <v>800</v>
      </c>
      <c r="K87" s="33"/>
    </row>
    <row r="88" spans="1:13">
      <c r="A88" s="258"/>
      <c r="B88" s="13" t="s">
        <v>63</v>
      </c>
      <c r="C88" s="13" t="s">
        <v>176</v>
      </c>
      <c r="D88" s="13" t="s">
        <v>553</v>
      </c>
      <c r="E88" s="13" t="s">
        <v>425</v>
      </c>
      <c r="F88" s="32">
        <v>2</v>
      </c>
      <c r="G88" s="32" t="s">
        <v>955</v>
      </c>
      <c r="H88" s="32">
        <f t="shared" si="3"/>
        <v>2</v>
      </c>
      <c r="I88" s="72">
        <v>1700</v>
      </c>
      <c r="J88" s="72">
        <f t="shared" si="0"/>
        <v>3400</v>
      </c>
      <c r="K88" s="33"/>
    </row>
    <row r="89" spans="1:13">
      <c r="A89" s="258"/>
      <c r="B89" s="13" t="s">
        <v>63</v>
      </c>
      <c r="C89" s="13" t="s">
        <v>176</v>
      </c>
      <c r="D89" s="13" t="s">
        <v>537</v>
      </c>
      <c r="E89" s="13" t="s">
        <v>427</v>
      </c>
      <c r="F89" s="32">
        <v>1</v>
      </c>
      <c r="G89" s="32" t="s">
        <v>680</v>
      </c>
      <c r="H89" s="32">
        <f t="shared" ref="H89" si="4">$G$4*F89</f>
        <v>1</v>
      </c>
      <c r="I89" s="72">
        <v>8500</v>
      </c>
      <c r="J89" s="72">
        <f t="shared" si="0"/>
        <v>8500</v>
      </c>
      <c r="K89" s="33"/>
    </row>
    <row r="90" spans="1:13">
      <c r="A90" s="258"/>
      <c r="B90" s="13" t="s">
        <v>63</v>
      </c>
      <c r="C90" s="13" t="s">
        <v>176</v>
      </c>
      <c r="D90" s="13" t="s">
        <v>540</v>
      </c>
      <c r="E90" s="13" t="s">
        <v>429</v>
      </c>
      <c r="F90" s="32">
        <v>1</v>
      </c>
      <c r="G90" s="32" t="s">
        <v>957</v>
      </c>
      <c r="H90" s="32">
        <f t="shared" si="3"/>
        <v>1</v>
      </c>
      <c r="I90" s="72">
        <v>4800</v>
      </c>
      <c r="J90" s="72">
        <f t="shared" si="0"/>
        <v>4800</v>
      </c>
      <c r="K90" s="33"/>
    </row>
    <row r="91" spans="1:13">
      <c r="A91" s="258"/>
      <c r="B91" s="13" t="s">
        <v>63</v>
      </c>
      <c r="C91" s="13" t="s">
        <v>176</v>
      </c>
      <c r="D91" s="13" t="s">
        <v>432</v>
      </c>
      <c r="E91" s="13" t="s">
        <v>430</v>
      </c>
      <c r="F91" s="32">
        <v>1</v>
      </c>
      <c r="G91" s="32" t="s">
        <v>955</v>
      </c>
      <c r="H91" s="32">
        <f t="shared" si="3"/>
        <v>1</v>
      </c>
      <c r="I91" s="76">
        <v>4000</v>
      </c>
      <c r="J91" s="76">
        <f t="shared" si="0"/>
        <v>4000</v>
      </c>
      <c r="K91" s="33"/>
      <c r="L91" s="59"/>
      <c r="M91" s="59"/>
    </row>
    <row r="92" spans="1:13">
      <c r="A92" s="258"/>
      <c r="B92" s="13" t="s">
        <v>63</v>
      </c>
      <c r="C92" s="13" t="s">
        <v>176</v>
      </c>
      <c r="D92" s="13" t="s">
        <v>436</v>
      </c>
      <c r="E92" s="13" t="s">
        <v>434</v>
      </c>
      <c r="F92" s="32">
        <v>1</v>
      </c>
      <c r="G92" s="32" t="s">
        <v>955</v>
      </c>
      <c r="H92" s="32">
        <f t="shared" si="3"/>
        <v>1</v>
      </c>
      <c r="I92" s="76">
        <v>4000</v>
      </c>
      <c r="J92" s="76">
        <f t="shared" si="0"/>
        <v>4000</v>
      </c>
      <c r="K92" s="33"/>
      <c r="L92" s="59"/>
      <c r="M92" s="59"/>
    </row>
    <row r="93" spans="1:13">
      <c r="A93" s="258"/>
      <c r="B93" s="13" t="s">
        <v>63</v>
      </c>
      <c r="C93" s="13" t="s">
        <v>176</v>
      </c>
      <c r="D93" s="13" t="s">
        <v>439</v>
      </c>
      <c r="E93" s="13" t="s">
        <v>612</v>
      </c>
      <c r="F93" s="32">
        <v>2</v>
      </c>
      <c r="G93" s="32" t="s">
        <v>955</v>
      </c>
      <c r="H93" s="32">
        <f t="shared" si="3"/>
        <v>2</v>
      </c>
      <c r="I93" s="76">
        <v>8000</v>
      </c>
      <c r="J93" s="76">
        <f t="shared" si="0"/>
        <v>16000</v>
      </c>
      <c r="K93" s="33"/>
      <c r="L93" s="59"/>
      <c r="M93" s="59"/>
    </row>
    <row r="94" spans="1:13">
      <c r="A94" s="258"/>
      <c r="B94" s="13" t="s">
        <v>63</v>
      </c>
      <c r="C94" s="13" t="s">
        <v>176</v>
      </c>
      <c r="D94" s="13" t="s">
        <v>529</v>
      </c>
      <c r="E94" s="13" t="s">
        <v>530</v>
      </c>
      <c r="F94" s="32">
        <v>1</v>
      </c>
      <c r="G94" s="32" t="s">
        <v>681</v>
      </c>
      <c r="H94" s="32">
        <f t="shared" ref="H94:H97" si="5">$G$4*F94</f>
        <v>1</v>
      </c>
      <c r="I94" s="72">
        <v>2520</v>
      </c>
      <c r="J94" s="72">
        <f t="shared" ref="J94:J159" si="6">H94*I94</f>
        <v>2520</v>
      </c>
      <c r="K94" s="33"/>
    </row>
    <row r="95" spans="1:13">
      <c r="A95" s="258"/>
      <c r="B95" s="13" t="s">
        <v>63</v>
      </c>
      <c r="C95" s="13" t="s">
        <v>176</v>
      </c>
      <c r="D95" s="13" t="s">
        <v>531</v>
      </c>
      <c r="E95" s="13" t="s">
        <v>532</v>
      </c>
      <c r="F95" s="32">
        <v>1</v>
      </c>
      <c r="G95" s="32" t="s">
        <v>976</v>
      </c>
      <c r="H95" s="32">
        <f t="shared" si="5"/>
        <v>1</v>
      </c>
      <c r="I95" s="72">
        <v>5500</v>
      </c>
      <c r="J95" s="72">
        <f t="shared" si="6"/>
        <v>5500</v>
      </c>
      <c r="K95" s="33"/>
    </row>
    <row r="96" spans="1:13">
      <c r="A96" s="258"/>
      <c r="B96" s="13" t="s">
        <v>63</v>
      </c>
      <c r="C96" s="13" t="s">
        <v>176</v>
      </c>
      <c r="D96" s="13" t="s">
        <v>443</v>
      </c>
      <c r="E96" s="13" t="s">
        <v>442</v>
      </c>
      <c r="F96" s="32">
        <v>1</v>
      </c>
      <c r="G96" s="32" t="s">
        <v>678</v>
      </c>
      <c r="H96" s="32">
        <f t="shared" si="5"/>
        <v>1</v>
      </c>
      <c r="I96" s="72">
        <v>7000</v>
      </c>
      <c r="J96" s="72">
        <f t="shared" si="6"/>
        <v>7000</v>
      </c>
      <c r="K96" s="33"/>
    </row>
    <row r="97" spans="1:13">
      <c r="A97" s="258"/>
      <c r="B97" s="13" t="s">
        <v>63</v>
      </c>
      <c r="C97" s="13" t="s">
        <v>176</v>
      </c>
      <c r="D97" s="13" t="s">
        <v>441</v>
      </c>
      <c r="E97" s="13" t="s">
        <v>440</v>
      </c>
      <c r="F97" s="32">
        <v>1</v>
      </c>
      <c r="G97" s="32" t="s">
        <v>678</v>
      </c>
      <c r="H97" s="32">
        <f t="shared" si="5"/>
        <v>1</v>
      </c>
      <c r="I97" s="72">
        <v>7000</v>
      </c>
      <c r="J97" s="72">
        <f t="shared" si="6"/>
        <v>7000</v>
      </c>
      <c r="K97" s="33"/>
    </row>
    <row r="98" spans="1:13">
      <c r="A98" s="258"/>
      <c r="B98" s="13" t="s">
        <v>63</v>
      </c>
      <c r="C98" s="13" t="s">
        <v>176</v>
      </c>
      <c r="D98" s="13" t="s">
        <v>546</v>
      </c>
      <c r="E98" s="13" t="s">
        <v>547</v>
      </c>
      <c r="F98" s="32">
        <v>1</v>
      </c>
      <c r="G98" s="32" t="s">
        <v>571</v>
      </c>
      <c r="H98" s="32">
        <f t="shared" ref="H98:H99" si="7">$G$4*F98</f>
        <v>1</v>
      </c>
      <c r="I98" s="72">
        <v>3200</v>
      </c>
      <c r="J98" s="72">
        <f t="shared" si="6"/>
        <v>3200</v>
      </c>
      <c r="K98" s="33"/>
    </row>
    <row r="99" spans="1:13">
      <c r="A99" s="258"/>
      <c r="B99" s="13" t="s">
        <v>63</v>
      </c>
      <c r="C99" s="13" t="s">
        <v>176</v>
      </c>
      <c r="D99" s="13" t="s">
        <v>554</v>
      </c>
      <c r="E99" s="13" t="s">
        <v>533</v>
      </c>
      <c r="F99" s="32">
        <v>1</v>
      </c>
      <c r="G99" s="32" t="s">
        <v>686</v>
      </c>
      <c r="H99" s="32">
        <f t="shared" si="7"/>
        <v>1</v>
      </c>
      <c r="I99" s="72">
        <v>900</v>
      </c>
      <c r="J99" s="72">
        <f t="shared" si="6"/>
        <v>900</v>
      </c>
      <c r="K99" s="33"/>
    </row>
    <row r="100" spans="1:13">
      <c r="A100" s="258"/>
      <c r="B100" s="13" t="s">
        <v>63</v>
      </c>
      <c r="C100" s="13" t="s">
        <v>176</v>
      </c>
      <c r="D100" s="98" t="s">
        <v>101</v>
      </c>
      <c r="E100" s="98" t="s">
        <v>522</v>
      </c>
      <c r="F100" s="99">
        <v>2</v>
      </c>
      <c r="G100" s="99" t="s">
        <v>560</v>
      </c>
      <c r="H100" s="99">
        <f t="shared" si="3"/>
        <v>2</v>
      </c>
      <c r="I100" s="100">
        <v>76000</v>
      </c>
      <c r="J100" s="100">
        <f t="shared" si="6"/>
        <v>152000</v>
      </c>
      <c r="K100" s="33"/>
    </row>
    <row r="101" spans="1:13">
      <c r="A101" s="258"/>
      <c r="B101" s="13" t="s">
        <v>63</v>
      </c>
      <c r="C101" s="13" t="s">
        <v>176</v>
      </c>
      <c r="D101" s="109" t="s">
        <v>548</v>
      </c>
      <c r="E101" s="109" t="s">
        <v>448</v>
      </c>
      <c r="F101" s="110">
        <v>1</v>
      </c>
      <c r="G101" s="110" t="s">
        <v>235</v>
      </c>
      <c r="H101" s="110">
        <f t="shared" si="3"/>
        <v>1</v>
      </c>
      <c r="I101" s="111">
        <f>(72*2700)+300000</f>
        <v>494400</v>
      </c>
      <c r="J101" s="111">
        <f t="shared" si="6"/>
        <v>494400</v>
      </c>
      <c r="K101" s="33"/>
    </row>
    <row r="102" spans="1:13" ht="16.5" customHeight="1">
      <c r="A102" s="264"/>
      <c r="B102" s="15" t="s">
        <v>627</v>
      </c>
      <c r="C102" s="15" t="s">
        <v>629</v>
      </c>
      <c r="D102" s="15" t="s">
        <v>623</v>
      </c>
      <c r="E102" s="15" t="s">
        <v>625</v>
      </c>
      <c r="F102" s="38">
        <v>1</v>
      </c>
      <c r="G102" s="38" t="s">
        <v>690</v>
      </c>
      <c r="H102" s="32">
        <f t="shared" si="3"/>
        <v>1</v>
      </c>
      <c r="I102" s="73">
        <f>16000+1800</f>
        <v>17800</v>
      </c>
      <c r="J102" s="72">
        <f t="shared" si="6"/>
        <v>17800</v>
      </c>
      <c r="K102" s="39"/>
      <c r="L102" s="1"/>
      <c r="M102" s="83"/>
    </row>
    <row r="103" spans="1:13" ht="16.5" customHeight="1" thickBot="1">
      <c r="A103" s="264"/>
      <c r="B103" s="15" t="s">
        <v>627</v>
      </c>
      <c r="C103" s="15" t="s">
        <v>629</v>
      </c>
      <c r="D103" s="15" t="s">
        <v>1735</v>
      </c>
      <c r="E103" s="13" t="s">
        <v>693</v>
      </c>
      <c r="F103" s="38">
        <v>1</v>
      </c>
      <c r="G103" s="38" t="s">
        <v>1736</v>
      </c>
      <c r="H103" s="38">
        <f t="shared" ref="H103" si="8">$G$4*F103</f>
        <v>1</v>
      </c>
      <c r="I103" s="73">
        <v>6500</v>
      </c>
      <c r="J103" s="73">
        <f t="shared" si="6"/>
        <v>6500</v>
      </c>
      <c r="K103" s="39"/>
      <c r="L103" s="1"/>
      <c r="M103" s="83"/>
    </row>
    <row r="104" spans="1:13" ht="17.25" customHeight="1" thickBot="1">
      <c r="A104" s="259"/>
      <c r="B104" s="53" t="s">
        <v>63</v>
      </c>
      <c r="C104" s="53" t="s">
        <v>176</v>
      </c>
      <c r="D104" s="53" t="s">
        <v>113</v>
      </c>
      <c r="E104" s="53" t="s">
        <v>113</v>
      </c>
      <c r="F104" s="85">
        <v>1</v>
      </c>
      <c r="G104" s="85" t="s">
        <v>240</v>
      </c>
      <c r="H104" s="85">
        <f t="shared" si="3"/>
        <v>1</v>
      </c>
      <c r="I104" s="86">
        <v>13400</v>
      </c>
      <c r="J104" s="86">
        <f t="shared" si="6"/>
        <v>13400</v>
      </c>
      <c r="K104" s="44"/>
      <c r="L104" s="87">
        <f>SUBTOTAL(9,J79:J129)</f>
        <v>1034297</v>
      </c>
      <c r="M104" s="83"/>
    </row>
    <row r="105" spans="1:13" hidden="1">
      <c r="A105" s="274">
        <v>4</v>
      </c>
      <c r="B105" s="10" t="s">
        <v>63</v>
      </c>
      <c r="C105" s="10" t="s">
        <v>177</v>
      </c>
      <c r="D105" s="10" t="s">
        <v>380</v>
      </c>
      <c r="E105" s="10" t="s">
        <v>381</v>
      </c>
      <c r="F105" s="5">
        <v>1</v>
      </c>
      <c r="G105" s="5" t="s">
        <v>250</v>
      </c>
      <c r="H105" s="5">
        <f>$G$7*F105</f>
        <v>0</v>
      </c>
      <c r="I105" s="75"/>
      <c r="J105" s="75">
        <f t="shared" si="6"/>
        <v>0</v>
      </c>
      <c r="K105" s="40" t="s">
        <v>238</v>
      </c>
      <c r="L105" s="1"/>
      <c r="M105" s="1"/>
    </row>
    <row r="106" spans="1:13" hidden="1">
      <c r="A106" s="258"/>
      <c r="B106" s="34" t="s">
        <v>63</v>
      </c>
      <c r="C106" s="34" t="s">
        <v>177</v>
      </c>
      <c r="D106" s="34" t="s">
        <v>383</v>
      </c>
      <c r="E106" s="34" t="s">
        <v>384</v>
      </c>
      <c r="F106" s="32">
        <v>12</v>
      </c>
      <c r="G106" s="32" t="s">
        <v>954</v>
      </c>
      <c r="H106" s="32">
        <f t="shared" ref="H106:H129" si="9">$G$7*F106</f>
        <v>0</v>
      </c>
      <c r="I106" s="72"/>
      <c r="J106" s="72">
        <f t="shared" si="6"/>
        <v>0</v>
      </c>
      <c r="K106" s="33"/>
      <c r="L106" s="1"/>
      <c r="M106" s="1"/>
    </row>
    <row r="107" spans="1:13" hidden="1">
      <c r="A107" s="258"/>
      <c r="B107" s="13" t="s">
        <v>63</v>
      </c>
      <c r="C107" s="13" t="s">
        <v>177</v>
      </c>
      <c r="D107" s="13" t="s">
        <v>403</v>
      </c>
      <c r="E107" s="13" t="s">
        <v>412</v>
      </c>
      <c r="F107" s="32">
        <v>1</v>
      </c>
      <c r="G107" s="32" t="s">
        <v>567</v>
      </c>
      <c r="H107" s="32">
        <f t="shared" si="9"/>
        <v>0</v>
      </c>
      <c r="I107" s="76"/>
      <c r="J107" s="76">
        <f t="shared" si="6"/>
        <v>0</v>
      </c>
      <c r="K107" s="33"/>
      <c r="L107" s="1"/>
      <c r="M107" s="1"/>
    </row>
    <row r="108" spans="1:13" hidden="1">
      <c r="A108" s="258"/>
      <c r="B108" s="13" t="s">
        <v>63</v>
      </c>
      <c r="C108" s="13" t="s">
        <v>177</v>
      </c>
      <c r="D108" s="13" t="s">
        <v>409</v>
      </c>
      <c r="E108" s="13" t="s">
        <v>415</v>
      </c>
      <c r="F108" s="32">
        <v>1</v>
      </c>
      <c r="G108" s="32" t="s">
        <v>567</v>
      </c>
      <c r="H108" s="32">
        <f t="shared" si="9"/>
        <v>0</v>
      </c>
      <c r="I108" s="76"/>
      <c r="J108" s="76">
        <f t="shared" si="6"/>
        <v>0</v>
      </c>
      <c r="K108" s="33"/>
      <c r="L108" s="1"/>
      <c r="M108" s="1"/>
    </row>
    <row r="109" spans="1:13" hidden="1">
      <c r="A109" s="258"/>
      <c r="B109" s="13" t="s">
        <v>63</v>
      </c>
      <c r="C109" s="13" t="s">
        <v>177</v>
      </c>
      <c r="D109" s="13" t="s">
        <v>406</v>
      </c>
      <c r="E109" s="13" t="s">
        <v>418</v>
      </c>
      <c r="F109" s="32">
        <v>1</v>
      </c>
      <c r="G109" s="32" t="s">
        <v>567</v>
      </c>
      <c r="H109" s="32">
        <f t="shared" si="9"/>
        <v>0</v>
      </c>
      <c r="I109" s="76"/>
      <c r="J109" s="76">
        <f t="shared" si="6"/>
        <v>0</v>
      </c>
      <c r="K109" s="33"/>
      <c r="L109" s="1"/>
      <c r="M109" s="1"/>
    </row>
    <row r="110" spans="1:13" hidden="1">
      <c r="A110" s="258"/>
      <c r="B110" s="13" t="s">
        <v>63</v>
      </c>
      <c r="C110" s="13" t="s">
        <v>177</v>
      </c>
      <c r="D110" s="13" t="s">
        <v>556</v>
      </c>
      <c r="E110" s="13" t="s">
        <v>401</v>
      </c>
      <c r="F110" s="32">
        <v>1</v>
      </c>
      <c r="G110" s="32" t="s">
        <v>569</v>
      </c>
      <c r="H110" s="32">
        <f t="shared" si="9"/>
        <v>0</v>
      </c>
      <c r="I110" s="76"/>
      <c r="J110" s="76">
        <f t="shared" si="6"/>
        <v>0</v>
      </c>
      <c r="K110" s="33"/>
      <c r="L110" s="1"/>
      <c r="M110" s="1"/>
    </row>
    <row r="111" spans="1:13" hidden="1">
      <c r="A111" s="258"/>
      <c r="B111" s="13" t="s">
        <v>63</v>
      </c>
      <c r="C111" s="13" t="s">
        <v>177</v>
      </c>
      <c r="D111" s="13" t="s">
        <v>542</v>
      </c>
      <c r="E111" s="13" t="s">
        <v>422</v>
      </c>
      <c r="F111" s="32">
        <v>2</v>
      </c>
      <c r="G111" s="32" t="s">
        <v>561</v>
      </c>
      <c r="H111" s="32">
        <f t="shared" si="9"/>
        <v>0</v>
      </c>
      <c r="I111" s="72"/>
      <c r="J111" s="72">
        <f t="shared" si="6"/>
        <v>0</v>
      </c>
      <c r="K111" s="33"/>
      <c r="L111" s="1"/>
      <c r="M111" s="1"/>
    </row>
    <row r="112" spans="1:13" hidden="1">
      <c r="A112" s="258"/>
      <c r="B112" s="13" t="s">
        <v>63</v>
      </c>
      <c r="C112" s="13" t="s">
        <v>177</v>
      </c>
      <c r="D112" s="13" t="s">
        <v>543</v>
      </c>
      <c r="E112" s="13" t="s">
        <v>424</v>
      </c>
      <c r="F112" s="32">
        <v>2</v>
      </c>
      <c r="G112" s="32" t="s">
        <v>561</v>
      </c>
      <c r="H112" s="32">
        <f t="shared" si="9"/>
        <v>0</v>
      </c>
      <c r="I112" s="72"/>
      <c r="J112" s="72">
        <f t="shared" si="6"/>
        <v>0</v>
      </c>
      <c r="K112" s="33"/>
      <c r="L112" s="1"/>
      <c r="M112" s="1"/>
    </row>
    <row r="113" spans="1:13" hidden="1">
      <c r="A113" s="258"/>
      <c r="B113" s="13" t="s">
        <v>63</v>
      </c>
      <c r="C113" s="13" t="s">
        <v>177</v>
      </c>
      <c r="D113" s="13" t="s">
        <v>544</v>
      </c>
      <c r="E113" s="13" t="s">
        <v>420</v>
      </c>
      <c r="F113" s="32">
        <v>2</v>
      </c>
      <c r="G113" s="32" t="s">
        <v>561</v>
      </c>
      <c r="H113" s="32">
        <f t="shared" si="9"/>
        <v>0</v>
      </c>
      <c r="I113" s="72"/>
      <c r="J113" s="72">
        <f t="shared" si="6"/>
        <v>0</v>
      </c>
      <c r="K113" s="33"/>
      <c r="L113" s="1"/>
      <c r="M113" s="1"/>
    </row>
    <row r="114" spans="1:13" hidden="1">
      <c r="A114" s="258"/>
      <c r="B114" s="13" t="s">
        <v>63</v>
      </c>
      <c r="C114" s="13" t="s">
        <v>177</v>
      </c>
      <c r="D114" s="13" t="s">
        <v>553</v>
      </c>
      <c r="E114" s="13" t="s">
        <v>425</v>
      </c>
      <c r="F114" s="32">
        <v>2</v>
      </c>
      <c r="G114" s="32" t="s">
        <v>561</v>
      </c>
      <c r="H114" s="32">
        <f t="shared" si="9"/>
        <v>0</v>
      </c>
      <c r="I114" s="72"/>
      <c r="J114" s="72">
        <f t="shared" si="6"/>
        <v>0</v>
      </c>
      <c r="K114" s="33"/>
      <c r="L114" s="1"/>
      <c r="M114" s="1"/>
    </row>
    <row r="115" spans="1:13" hidden="1">
      <c r="A115" s="258"/>
      <c r="B115" s="13" t="s">
        <v>63</v>
      </c>
      <c r="C115" s="13" t="s">
        <v>177</v>
      </c>
      <c r="D115" s="13" t="s">
        <v>537</v>
      </c>
      <c r="E115" s="13" t="s">
        <v>427</v>
      </c>
      <c r="F115" s="32">
        <v>1</v>
      </c>
      <c r="G115" s="32" t="s">
        <v>562</v>
      </c>
      <c r="H115" s="32">
        <f t="shared" si="9"/>
        <v>0</v>
      </c>
      <c r="I115" s="72"/>
      <c r="J115" s="72">
        <f t="shared" si="6"/>
        <v>0</v>
      </c>
      <c r="K115" s="33"/>
      <c r="L115" s="1"/>
      <c r="M115" s="1"/>
    </row>
    <row r="116" spans="1:13" hidden="1">
      <c r="A116" s="258"/>
      <c r="B116" s="34" t="s">
        <v>63</v>
      </c>
      <c r="C116" s="34" t="s">
        <v>177</v>
      </c>
      <c r="D116" s="34" t="s">
        <v>540</v>
      </c>
      <c r="E116" s="34" t="s">
        <v>429</v>
      </c>
      <c r="F116" s="32">
        <v>1</v>
      </c>
      <c r="G116" s="32" t="s">
        <v>568</v>
      </c>
      <c r="H116" s="32">
        <f t="shared" si="9"/>
        <v>0</v>
      </c>
      <c r="I116" s="72"/>
      <c r="J116" s="72">
        <f t="shared" si="6"/>
        <v>0</v>
      </c>
      <c r="K116" s="33"/>
      <c r="L116" s="1"/>
      <c r="M116" s="1"/>
    </row>
    <row r="117" spans="1:13" hidden="1">
      <c r="A117" s="258"/>
      <c r="B117" s="13" t="s">
        <v>63</v>
      </c>
      <c r="C117" s="13" t="s">
        <v>177</v>
      </c>
      <c r="D117" s="13" t="s">
        <v>432</v>
      </c>
      <c r="E117" s="13" t="s">
        <v>430</v>
      </c>
      <c r="F117" s="32">
        <v>1</v>
      </c>
      <c r="G117" s="32" t="s">
        <v>561</v>
      </c>
      <c r="H117" s="32">
        <f t="shared" si="9"/>
        <v>0</v>
      </c>
      <c r="I117" s="76"/>
      <c r="J117" s="76">
        <f t="shared" si="6"/>
        <v>0</v>
      </c>
      <c r="K117" s="33"/>
      <c r="L117" s="1"/>
      <c r="M117" s="1"/>
    </row>
    <row r="118" spans="1:13" hidden="1">
      <c r="A118" s="258"/>
      <c r="B118" s="13" t="s">
        <v>63</v>
      </c>
      <c r="C118" s="13" t="s">
        <v>177</v>
      </c>
      <c r="D118" s="13" t="s">
        <v>436</v>
      </c>
      <c r="E118" s="13" t="s">
        <v>434</v>
      </c>
      <c r="F118" s="32">
        <v>1</v>
      </c>
      <c r="G118" s="32" t="s">
        <v>561</v>
      </c>
      <c r="H118" s="32">
        <f t="shared" si="9"/>
        <v>0</v>
      </c>
      <c r="I118" s="76"/>
      <c r="J118" s="76">
        <f t="shared" si="6"/>
        <v>0</v>
      </c>
      <c r="K118" s="33"/>
      <c r="L118" s="1"/>
      <c r="M118" s="1"/>
    </row>
    <row r="119" spans="1:13" hidden="1">
      <c r="A119" s="258"/>
      <c r="B119" s="13" t="s">
        <v>63</v>
      </c>
      <c r="C119" s="13" t="s">
        <v>177</v>
      </c>
      <c r="D119" s="13" t="s">
        <v>439</v>
      </c>
      <c r="E119" s="13" t="s">
        <v>612</v>
      </c>
      <c r="F119" s="32">
        <v>2</v>
      </c>
      <c r="G119" s="32" t="s">
        <v>561</v>
      </c>
      <c r="H119" s="32">
        <f t="shared" si="9"/>
        <v>0</v>
      </c>
      <c r="I119" s="76"/>
      <c r="J119" s="76">
        <f t="shared" si="6"/>
        <v>0</v>
      </c>
      <c r="K119" s="33"/>
      <c r="L119" s="1"/>
      <c r="M119" s="1"/>
    </row>
    <row r="120" spans="1:13" hidden="1">
      <c r="A120" s="258"/>
      <c r="B120" s="34" t="s">
        <v>63</v>
      </c>
      <c r="C120" s="34" t="s">
        <v>177</v>
      </c>
      <c r="D120" s="34" t="s">
        <v>529</v>
      </c>
      <c r="E120" s="34" t="s">
        <v>530</v>
      </c>
      <c r="F120" s="32">
        <v>1</v>
      </c>
      <c r="G120" s="32" t="s">
        <v>566</v>
      </c>
      <c r="H120" s="32">
        <f t="shared" si="9"/>
        <v>0</v>
      </c>
      <c r="I120" s="72"/>
      <c r="J120" s="72">
        <f t="shared" si="6"/>
        <v>0</v>
      </c>
      <c r="K120" s="33"/>
      <c r="L120" s="1"/>
      <c r="M120" s="1"/>
    </row>
    <row r="121" spans="1:13" hidden="1">
      <c r="A121" s="258"/>
      <c r="B121" s="34" t="s">
        <v>63</v>
      </c>
      <c r="C121" s="34" t="s">
        <v>177</v>
      </c>
      <c r="D121" s="34" t="s">
        <v>531</v>
      </c>
      <c r="E121" s="34" t="s">
        <v>532</v>
      </c>
      <c r="F121" s="32">
        <v>1</v>
      </c>
      <c r="G121" s="32" t="s">
        <v>566</v>
      </c>
      <c r="H121" s="32">
        <f t="shared" si="9"/>
        <v>0</v>
      </c>
      <c r="I121" s="72"/>
      <c r="J121" s="72">
        <f t="shared" si="6"/>
        <v>0</v>
      </c>
      <c r="K121" s="33"/>
      <c r="L121" s="1"/>
      <c r="M121" s="1"/>
    </row>
    <row r="122" spans="1:13" hidden="1">
      <c r="A122" s="258"/>
      <c r="B122" s="34" t="s">
        <v>63</v>
      </c>
      <c r="C122" s="34" t="s">
        <v>177</v>
      </c>
      <c r="D122" s="34" t="s">
        <v>443</v>
      </c>
      <c r="E122" s="34" t="s">
        <v>442</v>
      </c>
      <c r="F122" s="32">
        <v>1</v>
      </c>
      <c r="G122" s="32" t="s">
        <v>570</v>
      </c>
      <c r="H122" s="32">
        <f t="shared" si="9"/>
        <v>0</v>
      </c>
      <c r="I122" s="72"/>
      <c r="J122" s="72">
        <f t="shared" si="6"/>
        <v>0</v>
      </c>
      <c r="K122" s="33"/>
      <c r="L122" s="1"/>
      <c r="M122" s="1"/>
    </row>
    <row r="123" spans="1:13" hidden="1">
      <c r="A123" s="258"/>
      <c r="B123" s="34" t="s">
        <v>63</v>
      </c>
      <c r="C123" s="34" t="s">
        <v>177</v>
      </c>
      <c r="D123" s="34" t="s">
        <v>441</v>
      </c>
      <c r="E123" s="34" t="s">
        <v>440</v>
      </c>
      <c r="F123" s="32">
        <v>1</v>
      </c>
      <c r="G123" s="32" t="s">
        <v>570</v>
      </c>
      <c r="H123" s="32">
        <f t="shared" si="9"/>
        <v>0</v>
      </c>
      <c r="I123" s="72"/>
      <c r="J123" s="72">
        <f t="shared" si="6"/>
        <v>0</v>
      </c>
      <c r="K123" s="33"/>
      <c r="L123" s="1"/>
      <c r="M123" s="1"/>
    </row>
    <row r="124" spans="1:13" hidden="1">
      <c r="A124" s="258"/>
      <c r="B124" s="34" t="s">
        <v>63</v>
      </c>
      <c r="C124" s="34" t="s">
        <v>177</v>
      </c>
      <c r="D124" s="34" t="s">
        <v>546</v>
      </c>
      <c r="E124" s="34" t="s">
        <v>547</v>
      </c>
      <c r="F124" s="32">
        <v>1</v>
      </c>
      <c r="G124" s="32" t="s">
        <v>571</v>
      </c>
      <c r="H124" s="32">
        <f t="shared" si="9"/>
        <v>0</v>
      </c>
      <c r="I124" s="72"/>
      <c r="J124" s="72">
        <f t="shared" si="6"/>
        <v>0</v>
      </c>
      <c r="K124" s="33"/>
      <c r="L124" s="1"/>
      <c r="M124" s="1"/>
    </row>
    <row r="125" spans="1:13" hidden="1">
      <c r="A125" s="258"/>
      <c r="B125" s="34" t="s">
        <v>63</v>
      </c>
      <c r="C125" s="34" t="s">
        <v>177</v>
      </c>
      <c r="D125" s="34" t="s">
        <v>554</v>
      </c>
      <c r="E125" s="34" t="s">
        <v>533</v>
      </c>
      <c r="F125" s="32">
        <v>1</v>
      </c>
      <c r="G125" s="32" t="s">
        <v>571</v>
      </c>
      <c r="H125" s="32">
        <f t="shared" si="9"/>
        <v>0</v>
      </c>
      <c r="I125" s="72"/>
      <c r="J125" s="72">
        <f t="shared" si="6"/>
        <v>0</v>
      </c>
      <c r="K125" s="33"/>
      <c r="L125" s="1"/>
      <c r="M125" s="1"/>
    </row>
    <row r="126" spans="1:13" hidden="1">
      <c r="A126" s="258"/>
      <c r="B126" s="13" t="s">
        <v>63</v>
      </c>
      <c r="C126" s="13" t="s">
        <v>177</v>
      </c>
      <c r="D126" s="13" t="s">
        <v>101</v>
      </c>
      <c r="E126" s="13" t="s">
        <v>522</v>
      </c>
      <c r="F126" s="32">
        <v>2</v>
      </c>
      <c r="G126" s="32" t="s">
        <v>560</v>
      </c>
      <c r="H126" s="32">
        <f t="shared" si="9"/>
        <v>0</v>
      </c>
      <c r="I126" s="72">
        <v>53400</v>
      </c>
      <c r="J126" s="72">
        <f t="shared" si="6"/>
        <v>0</v>
      </c>
      <c r="K126" s="33"/>
      <c r="L126" s="1"/>
      <c r="M126" s="1"/>
    </row>
    <row r="127" spans="1:13" hidden="1">
      <c r="A127" s="258"/>
      <c r="B127" s="13" t="s">
        <v>63</v>
      </c>
      <c r="C127" s="13" t="s">
        <v>177</v>
      </c>
      <c r="D127" s="13" t="s">
        <v>549</v>
      </c>
      <c r="E127" s="13" t="s">
        <v>449</v>
      </c>
      <c r="F127" s="32">
        <v>1</v>
      </c>
      <c r="G127" s="32" t="s">
        <v>235</v>
      </c>
      <c r="H127" s="32">
        <f t="shared" si="9"/>
        <v>0</v>
      </c>
      <c r="I127" s="72"/>
      <c r="J127" s="72">
        <f t="shared" si="6"/>
        <v>0</v>
      </c>
      <c r="K127" s="33"/>
      <c r="L127" s="1"/>
      <c r="M127" s="1"/>
    </row>
    <row r="128" spans="1:13" hidden="1">
      <c r="A128" s="264"/>
      <c r="B128" s="46" t="s">
        <v>627</v>
      </c>
      <c r="C128" s="46" t="s">
        <v>630</v>
      </c>
      <c r="D128" s="46" t="s">
        <v>623</v>
      </c>
      <c r="E128" s="46" t="s">
        <v>625</v>
      </c>
      <c r="F128" s="38">
        <v>1</v>
      </c>
      <c r="G128" s="38"/>
      <c r="H128" s="38"/>
      <c r="I128" s="73"/>
      <c r="J128" s="73"/>
      <c r="K128" s="39"/>
      <c r="L128" s="1"/>
      <c r="M128" s="1"/>
    </row>
    <row r="129" spans="1:13" ht="17.5" hidden="1" thickBot="1">
      <c r="A129" s="297"/>
      <c r="B129" s="46" t="s">
        <v>63</v>
      </c>
      <c r="C129" s="46" t="s">
        <v>177</v>
      </c>
      <c r="D129" s="46" t="s">
        <v>113</v>
      </c>
      <c r="E129" s="46" t="s">
        <v>113</v>
      </c>
      <c r="F129" s="38">
        <v>1</v>
      </c>
      <c r="G129" s="38" t="s">
        <v>240</v>
      </c>
      <c r="H129" s="38">
        <f t="shared" si="9"/>
        <v>0</v>
      </c>
      <c r="I129" s="73"/>
      <c r="J129" s="73">
        <f t="shared" si="6"/>
        <v>0</v>
      </c>
      <c r="K129" s="39"/>
      <c r="L129" s="1"/>
      <c r="M129" s="1"/>
    </row>
    <row r="130" spans="1:13">
      <c r="A130" s="257">
        <v>5</v>
      </c>
      <c r="B130" s="11" t="s">
        <v>63</v>
      </c>
      <c r="C130" s="11" t="s">
        <v>178</v>
      </c>
      <c r="D130" s="11" t="s">
        <v>555</v>
      </c>
      <c r="E130" s="11" t="s">
        <v>381</v>
      </c>
      <c r="F130" s="30">
        <v>1</v>
      </c>
      <c r="G130" s="30" t="s">
        <v>679</v>
      </c>
      <c r="H130" s="32">
        <f t="shared" ref="H130:H156" si="10">$G$8*F130</f>
        <v>1</v>
      </c>
      <c r="I130" s="71">
        <f>158000+56000</f>
        <v>214000</v>
      </c>
      <c r="J130" s="77">
        <f t="shared" si="6"/>
        <v>214000</v>
      </c>
      <c r="K130" s="31" t="s">
        <v>238</v>
      </c>
      <c r="L130" s="59"/>
      <c r="M130" s="59"/>
    </row>
    <row r="131" spans="1:13">
      <c r="A131" s="258"/>
      <c r="B131" s="13" t="s">
        <v>63</v>
      </c>
      <c r="C131" s="13" t="s">
        <v>178</v>
      </c>
      <c r="D131" s="13" t="s">
        <v>383</v>
      </c>
      <c r="E131" s="13" t="s">
        <v>384</v>
      </c>
      <c r="F131" s="32">
        <v>12</v>
      </c>
      <c r="G131" s="32" t="s">
        <v>954</v>
      </c>
      <c r="H131" s="32">
        <f t="shared" si="10"/>
        <v>12</v>
      </c>
      <c r="I131" s="72">
        <v>2470</v>
      </c>
      <c r="J131" s="72">
        <f t="shared" si="6"/>
        <v>29640</v>
      </c>
      <c r="K131" s="33"/>
    </row>
    <row r="132" spans="1:13">
      <c r="A132" s="258"/>
      <c r="B132" s="13" t="s">
        <v>63</v>
      </c>
      <c r="C132" s="13" t="s">
        <v>178</v>
      </c>
      <c r="D132" s="13" t="s">
        <v>403</v>
      </c>
      <c r="E132" s="13" t="s">
        <v>977</v>
      </c>
      <c r="F132" s="32">
        <v>1</v>
      </c>
      <c r="G132" s="13" t="s">
        <v>1733</v>
      </c>
      <c r="H132" s="32">
        <f t="shared" si="10"/>
        <v>1</v>
      </c>
      <c r="I132" s="301">
        <v>32037</v>
      </c>
      <c r="J132" s="298">
        <f t="shared" si="6"/>
        <v>32037</v>
      </c>
      <c r="K132" s="33"/>
      <c r="L132" s="59"/>
      <c r="M132" s="59"/>
    </row>
    <row r="133" spans="1:13">
      <c r="A133" s="258"/>
      <c r="B133" s="13" t="s">
        <v>63</v>
      </c>
      <c r="C133" s="13" t="s">
        <v>178</v>
      </c>
      <c r="D133" s="13" t="s">
        <v>409</v>
      </c>
      <c r="E133" s="13" t="s">
        <v>979</v>
      </c>
      <c r="F133" s="32">
        <v>1</v>
      </c>
      <c r="G133" s="13" t="s">
        <v>1733</v>
      </c>
      <c r="H133" s="32">
        <f t="shared" si="10"/>
        <v>1</v>
      </c>
      <c r="I133" s="302"/>
      <c r="J133" s="299"/>
      <c r="K133" s="33"/>
      <c r="L133" s="59"/>
      <c r="M133" s="59"/>
    </row>
    <row r="134" spans="1:13">
      <c r="A134" s="258"/>
      <c r="B134" s="13" t="s">
        <v>63</v>
      </c>
      <c r="C134" s="13" t="s">
        <v>178</v>
      </c>
      <c r="D134" s="13" t="s">
        <v>406</v>
      </c>
      <c r="E134" s="13" t="s">
        <v>980</v>
      </c>
      <c r="F134" s="32">
        <v>1</v>
      </c>
      <c r="G134" s="13" t="s">
        <v>1733</v>
      </c>
      <c r="H134" s="32">
        <f t="shared" si="10"/>
        <v>1</v>
      </c>
      <c r="I134" s="303"/>
      <c r="J134" s="300"/>
      <c r="K134" s="33"/>
      <c r="L134" s="59"/>
      <c r="M134" s="59"/>
    </row>
    <row r="135" spans="1:13">
      <c r="A135" s="258"/>
      <c r="B135" s="13" t="s">
        <v>63</v>
      </c>
      <c r="C135" s="13" t="s">
        <v>178</v>
      </c>
      <c r="D135" s="13" t="s">
        <v>486</v>
      </c>
      <c r="E135" s="13" t="s">
        <v>386</v>
      </c>
      <c r="F135" s="32">
        <v>1</v>
      </c>
      <c r="G135" s="32" t="s">
        <v>569</v>
      </c>
      <c r="H135" s="32">
        <f t="shared" si="10"/>
        <v>1</v>
      </c>
      <c r="I135" s="72">
        <v>5000</v>
      </c>
      <c r="J135" s="76">
        <f t="shared" si="6"/>
        <v>5000</v>
      </c>
      <c r="K135" s="33"/>
      <c r="L135" s="59"/>
      <c r="M135" s="59"/>
    </row>
    <row r="136" spans="1:13">
      <c r="A136" s="258"/>
      <c r="B136" s="13" t="s">
        <v>63</v>
      </c>
      <c r="C136" s="13" t="s">
        <v>178</v>
      </c>
      <c r="D136" s="13" t="s">
        <v>525</v>
      </c>
      <c r="E136" s="13" t="s">
        <v>523</v>
      </c>
      <c r="F136" s="32">
        <v>12</v>
      </c>
      <c r="G136" s="32" t="s">
        <v>731</v>
      </c>
      <c r="H136" s="32">
        <f t="shared" si="10"/>
        <v>12</v>
      </c>
      <c r="I136" s="72">
        <v>2600</v>
      </c>
      <c r="J136" s="72">
        <f t="shared" si="6"/>
        <v>31200</v>
      </c>
      <c r="K136" s="33"/>
    </row>
    <row r="137" spans="1:13">
      <c r="A137" s="258"/>
      <c r="B137" s="13" t="s">
        <v>63</v>
      </c>
      <c r="C137" s="13" t="s">
        <v>178</v>
      </c>
      <c r="D137" s="13" t="s">
        <v>542</v>
      </c>
      <c r="E137" s="13" t="s">
        <v>983</v>
      </c>
      <c r="F137" s="32">
        <v>2</v>
      </c>
      <c r="G137" s="32" t="s">
        <v>955</v>
      </c>
      <c r="H137" s="32">
        <f t="shared" si="10"/>
        <v>2</v>
      </c>
      <c r="I137" s="72">
        <v>400</v>
      </c>
      <c r="J137" s="72">
        <f t="shared" si="6"/>
        <v>800</v>
      </c>
      <c r="K137" s="33"/>
    </row>
    <row r="138" spans="1:13">
      <c r="A138" s="258"/>
      <c r="B138" s="13" t="s">
        <v>63</v>
      </c>
      <c r="C138" s="13" t="s">
        <v>178</v>
      </c>
      <c r="D138" s="13" t="s">
        <v>543</v>
      </c>
      <c r="E138" s="13" t="s">
        <v>984</v>
      </c>
      <c r="F138" s="32">
        <v>2</v>
      </c>
      <c r="G138" s="32" t="s">
        <v>955</v>
      </c>
      <c r="H138" s="32">
        <f t="shared" si="10"/>
        <v>2</v>
      </c>
      <c r="I138" s="72">
        <v>400</v>
      </c>
      <c r="J138" s="72">
        <f t="shared" si="6"/>
        <v>800</v>
      </c>
      <c r="K138" s="33"/>
    </row>
    <row r="139" spans="1:13">
      <c r="A139" s="258"/>
      <c r="B139" s="13" t="s">
        <v>63</v>
      </c>
      <c r="C139" s="13" t="s">
        <v>178</v>
      </c>
      <c r="D139" s="13" t="s">
        <v>544</v>
      </c>
      <c r="E139" s="13" t="s">
        <v>985</v>
      </c>
      <c r="F139" s="32">
        <v>2</v>
      </c>
      <c r="G139" s="32" t="s">
        <v>955</v>
      </c>
      <c r="H139" s="32">
        <f t="shared" si="10"/>
        <v>2</v>
      </c>
      <c r="I139" s="72">
        <v>400</v>
      </c>
      <c r="J139" s="72">
        <f t="shared" si="6"/>
        <v>800</v>
      </c>
      <c r="K139" s="33"/>
    </row>
    <row r="140" spans="1:13">
      <c r="A140" s="258"/>
      <c r="B140" s="13" t="s">
        <v>63</v>
      </c>
      <c r="C140" s="13" t="s">
        <v>178</v>
      </c>
      <c r="D140" s="13" t="s">
        <v>553</v>
      </c>
      <c r="E140" s="13" t="s">
        <v>425</v>
      </c>
      <c r="F140" s="32">
        <v>2</v>
      </c>
      <c r="G140" s="32" t="s">
        <v>955</v>
      </c>
      <c r="H140" s="32">
        <f t="shared" si="10"/>
        <v>2</v>
      </c>
      <c r="I140" s="72">
        <v>1700</v>
      </c>
      <c r="J140" s="72">
        <f t="shared" si="6"/>
        <v>3400</v>
      </c>
      <c r="K140" s="33"/>
    </row>
    <row r="141" spans="1:13">
      <c r="A141" s="258"/>
      <c r="B141" s="13" t="s">
        <v>63</v>
      </c>
      <c r="C141" s="13" t="s">
        <v>178</v>
      </c>
      <c r="D141" s="13" t="s">
        <v>537</v>
      </c>
      <c r="E141" s="13" t="s">
        <v>427</v>
      </c>
      <c r="F141" s="32">
        <v>1</v>
      </c>
      <c r="G141" s="32" t="s">
        <v>680</v>
      </c>
      <c r="H141" s="32">
        <f t="shared" ref="H141" si="11">$G$4*F141</f>
        <v>1</v>
      </c>
      <c r="I141" s="72">
        <v>8500</v>
      </c>
      <c r="J141" s="72">
        <f t="shared" si="6"/>
        <v>8500</v>
      </c>
      <c r="K141" s="33"/>
    </row>
    <row r="142" spans="1:13">
      <c r="A142" s="258"/>
      <c r="B142" s="13" t="s">
        <v>63</v>
      </c>
      <c r="C142" s="13" t="s">
        <v>178</v>
      </c>
      <c r="D142" s="13" t="s">
        <v>540</v>
      </c>
      <c r="E142" s="13" t="s">
        <v>429</v>
      </c>
      <c r="F142" s="32">
        <v>1</v>
      </c>
      <c r="G142" s="32" t="s">
        <v>957</v>
      </c>
      <c r="H142" s="32">
        <f t="shared" si="10"/>
        <v>1</v>
      </c>
      <c r="I142" s="72">
        <v>4800</v>
      </c>
      <c r="J142" s="72">
        <f t="shared" si="6"/>
        <v>4800</v>
      </c>
      <c r="K142" s="33"/>
    </row>
    <row r="143" spans="1:13">
      <c r="A143" s="258"/>
      <c r="B143" s="13" t="s">
        <v>63</v>
      </c>
      <c r="C143" s="13" t="s">
        <v>178</v>
      </c>
      <c r="D143" s="13" t="s">
        <v>432</v>
      </c>
      <c r="E143" s="13" t="s">
        <v>430</v>
      </c>
      <c r="F143" s="32">
        <v>1</v>
      </c>
      <c r="G143" s="32" t="s">
        <v>955</v>
      </c>
      <c r="H143" s="32">
        <f t="shared" si="10"/>
        <v>1</v>
      </c>
      <c r="I143" s="76">
        <v>4000</v>
      </c>
      <c r="J143" s="76">
        <f t="shared" si="6"/>
        <v>4000</v>
      </c>
      <c r="K143" s="33"/>
      <c r="L143" s="59"/>
      <c r="M143" s="59"/>
    </row>
    <row r="144" spans="1:13">
      <c r="A144" s="258"/>
      <c r="B144" s="13" t="s">
        <v>63</v>
      </c>
      <c r="C144" s="13" t="s">
        <v>178</v>
      </c>
      <c r="D144" s="13" t="s">
        <v>436</v>
      </c>
      <c r="E144" s="13" t="s">
        <v>434</v>
      </c>
      <c r="F144" s="32">
        <v>1</v>
      </c>
      <c r="G144" s="32" t="s">
        <v>955</v>
      </c>
      <c r="H144" s="32">
        <f t="shared" si="10"/>
        <v>1</v>
      </c>
      <c r="I144" s="76">
        <v>4000</v>
      </c>
      <c r="J144" s="76">
        <f t="shared" si="6"/>
        <v>4000</v>
      </c>
      <c r="K144" s="33"/>
      <c r="L144" s="59"/>
      <c r="M144" s="59"/>
    </row>
    <row r="145" spans="1:15">
      <c r="A145" s="258"/>
      <c r="B145" s="13" t="s">
        <v>63</v>
      </c>
      <c r="C145" s="13" t="s">
        <v>178</v>
      </c>
      <c r="D145" s="13" t="s">
        <v>439</v>
      </c>
      <c r="E145" s="13" t="s">
        <v>612</v>
      </c>
      <c r="F145" s="32">
        <v>2</v>
      </c>
      <c r="G145" s="32" t="s">
        <v>955</v>
      </c>
      <c r="H145" s="32">
        <f t="shared" si="10"/>
        <v>2</v>
      </c>
      <c r="I145" s="76">
        <v>8000</v>
      </c>
      <c r="J145" s="76">
        <f t="shared" si="6"/>
        <v>16000</v>
      </c>
      <c r="K145" s="33"/>
      <c r="L145" s="59"/>
      <c r="M145" s="59"/>
    </row>
    <row r="146" spans="1:15">
      <c r="A146" s="258"/>
      <c r="B146" s="13" t="s">
        <v>63</v>
      </c>
      <c r="C146" s="13" t="s">
        <v>178</v>
      </c>
      <c r="D146" s="13" t="s">
        <v>529</v>
      </c>
      <c r="E146" s="13" t="s">
        <v>530</v>
      </c>
      <c r="F146" s="32">
        <v>1</v>
      </c>
      <c r="G146" s="32" t="s">
        <v>681</v>
      </c>
      <c r="H146" s="32">
        <f t="shared" ref="H146:H149" si="12">$G$4*F146</f>
        <v>1</v>
      </c>
      <c r="I146" s="72">
        <v>2520</v>
      </c>
      <c r="J146" s="72">
        <f t="shared" si="6"/>
        <v>2520</v>
      </c>
      <c r="K146" s="33"/>
    </row>
    <row r="147" spans="1:15">
      <c r="A147" s="258"/>
      <c r="B147" s="13" t="s">
        <v>63</v>
      </c>
      <c r="C147" s="13" t="s">
        <v>178</v>
      </c>
      <c r="D147" s="13" t="s">
        <v>531</v>
      </c>
      <c r="E147" s="13" t="s">
        <v>532</v>
      </c>
      <c r="F147" s="32">
        <v>1</v>
      </c>
      <c r="G147" s="32" t="s">
        <v>976</v>
      </c>
      <c r="H147" s="32">
        <f t="shared" si="12"/>
        <v>1</v>
      </c>
      <c r="I147" s="72">
        <v>5500</v>
      </c>
      <c r="J147" s="72">
        <f t="shared" si="6"/>
        <v>5500</v>
      </c>
      <c r="K147" s="33"/>
    </row>
    <row r="148" spans="1:15">
      <c r="A148" s="258"/>
      <c r="B148" s="13" t="s">
        <v>63</v>
      </c>
      <c r="C148" s="13" t="s">
        <v>178</v>
      </c>
      <c r="D148" s="13" t="s">
        <v>443</v>
      </c>
      <c r="E148" s="13" t="s">
        <v>442</v>
      </c>
      <c r="F148" s="32">
        <v>1</v>
      </c>
      <c r="G148" s="32" t="s">
        <v>678</v>
      </c>
      <c r="H148" s="32">
        <f t="shared" si="12"/>
        <v>1</v>
      </c>
      <c r="I148" s="72">
        <v>7000</v>
      </c>
      <c r="J148" s="72">
        <f t="shared" si="6"/>
        <v>7000</v>
      </c>
      <c r="K148" s="33"/>
    </row>
    <row r="149" spans="1:15">
      <c r="A149" s="258"/>
      <c r="B149" s="13" t="s">
        <v>63</v>
      </c>
      <c r="C149" s="13" t="s">
        <v>178</v>
      </c>
      <c r="D149" s="13" t="s">
        <v>441</v>
      </c>
      <c r="E149" s="13" t="s">
        <v>440</v>
      </c>
      <c r="F149" s="32">
        <v>1</v>
      </c>
      <c r="G149" s="32" t="s">
        <v>678</v>
      </c>
      <c r="H149" s="32">
        <f t="shared" si="12"/>
        <v>1</v>
      </c>
      <c r="I149" s="72">
        <v>7000</v>
      </c>
      <c r="J149" s="72">
        <f t="shared" si="6"/>
        <v>7000</v>
      </c>
      <c r="K149" s="33"/>
    </row>
    <row r="150" spans="1:15">
      <c r="A150" s="258"/>
      <c r="B150" s="13" t="s">
        <v>63</v>
      </c>
      <c r="C150" s="13" t="s">
        <v>178</v>
      </c>
      <c r="D150" s="13" t="s">
        <v>546</v>
      </c>
      <c r="E150" s="13" t="s">
        <v>547</v>
      </c>
      <c r="F150" s="32">
        <v>1</v>
      </c>
      <c r="G150" s="32" t="s">
        <v>571</v>
      </c>
      <c r="H150" s="32">
        <f t="shared" ref="H150:H151" si="13">$G$4*F150</f>
        <v>1</v>
      </c>
      <c r="I150" s="72">
        <v>3200</v>
      </c>
      <c r="J150" s="72">
        <f t="shared" si="6"/>
        <v>3200</v>
      </c>
      <c r="K150" s="33"/>
    </row>
    <row r="151" spans="1:15">
      <c r="A151" s="258"/>
      <c r="B151" s="13" t="s">
        <v>63</v>
      </c>
      <c r="C151" s="13" t="s">
        <v>178</v>
      </c>
      <c r="D151" s="13" t="s">
        <v>554</v>
      </c>
      <c r="E151" s="13" t="s">
        <v>533</v>
      </c>
      <c r="F151" s="32">
        <v>1</v>
      </c>
      <c r="G151" s="32" t="s">
        <v>686</v>
      </c>
      <c r="H151" s="32">
        <f t="shared" si="13"/>
        <v>1</v>
      </c>
      <c r="I151" s="72">
        <v>900</v>
      </c>
      <c r="J151" s="72">
        <f t="shared" si="6"/>
        <v>900</v>
      </c>
      <c r="K151" s="33"/>
    </row>
    <row r="152" spans="1:15" ht="17.5">
      <c r="A152" s="258"/>
      <c r="B152" s="13" t="s">
        <v>63</v>
      </c>
      <c r="C152" s="13" t="s">
        <v>178</v>
      </c>
      <c r="D152" s="98" t="s">
        <v>101</v>
      </c>
      <c r="E152" s="98" t="s">
        <v>522</v>
      </c>
      <c r="F152" s="99">
        <v>2</v>
      </c>
      <c r="G152" s="99" t="s">
        <v>560</v>
      </c>
      <c r="H152" s="99">
        <f t="shared" si="10"/>
        <v>2</v>
      </c>
      <c r="I152" s="100">
        <v>76000</v>
      </c>
      <c r="J152" s="100">
        <f t="shared" si="6"/>
        <v>152000</v>
      </c>
      <c r="K152" s="33"/>
      <c r="M152" s="213" t="s">
        <v>1557</v>
      </c>
      <c r="N152" s="214">
        <f>L156*7%</f>
        <v>74563.790000000008</v>
      </c>
    </row>
    <row r="153" spans="1:15" ht="17.5">
      <c r="A153" s="258"/>
      <c r="B153" s="13" t="s">
        <v>63</v>
      </c>
      <c r="C153" s="13" t="s">
        <v>178</v>
      </c>
      <c r="D153" s="109" t="s">
        <v>548</v>
      </c>
      <c r="E153" s="109" t="s">
        <v>448</v>
      </c>
      <c r="F153" s="110">
        <v>1</v>
      </c>
      <c r="G153" s="110" t="s">
        <v>235</v>
      </c>
      <c r="H153" s="110">
        <f t="shared" si="10"/>
        <v>1</v>
      </c>
      <c r="I153" s="111">
        <f>(72*2700)+300000</f>
        <v>494400</v>
      </c>
      <c r="J153" s="111">
        <f t="shared" si="6"/>
        <v>494400</v>
      </c>
      <c r="K153" s="33"/>
      <c r="M153" s="213" t="s">
        <v>1558</v>
      </c>
      <c r="N153" s="214">
        <f>(L156+N152)*20%</f>
        <v>227952.15800000002</v>
      </c>
    </row>
    <row r="154" spans="1:15" ht="17.5">
      <c r="A154" s="264"/>
      <c r="B154" s="15" t="s">
        <v>627</v>
      </c>
      <c r="C154" s="15" t="s">
        <v>631</v>
      </c>
      <c r="D154" s="15" t="s">
        <v>623</v>
      </c>
      <c r="E154" s="15" t="s">
        <v>625</v>
      </c>
      <c r="F154" s="38">
        <v>1</v>
      </c>
      <c r="G154" s="38" t="s">
        <v>690</v>
      </c>
      <c r="H154" s="32">
        <f t="shared" si="10"/>
        <v>1</v>
      </c>
      <c r="I154" s="73">
        <f>16000+1800</f>
        <v>17800</v>
      </c>
      <c r="J154" s="72">
        <f t="shared" si="6"/>
        <v>17800</v>
      </c>
      <c r="K154" s="39"/>
      <c r="M154" s="213" t="s">
        <v>1559</v>
      </c>
      <c r="N154" s="214">
        <f>(L156+N152+N153)*25%</f>
        <v>341928.23700000002</v>
      </c>
    </row>
    <row r="155" spans="1:15" ht="18" thickBot="1">
      <c r="A155" s="264"/>
      <c r="B155" s="15" t="s">
        <v>627</v>
      </c>
      <c r="C155" s="15" t="s">
        <v>178</v>
      </c>
      <c r="D155" s="15" t="s">
        <v>1735</v>
      </c>
      <c r="E155" s="13" t="s">
        <v>693</v>
      </c>
      <c r="F155" s="38">
        <v>1</v>
      </c>
      <c r="G155" s="38" t="s">
        <v>1736</v>
      </c>
      <c r="H155" s="38">
        <f t="shared" ref="H155" si="14">$G$4*F155</f>
        <v>1</v>
      </c>
      <c r="I155" s="73">
        <v>6500</v>
      </c>
      <c r="J155" s="73">
        <f t="shared" ref="J155" si="15">H155*I155</f>
        <v>6500</v>
      </c>
      <c r="K155" s="39"/>
      <c r="M155" s="213"/>
      <c r="N155" s="214"/>
    </row>
    <row r="156" spans="1:15" ht="26.5" thickBot="1">
      <c r="A156" s="259"/>
      <c r="B156" s="9" t="s">
        <v>63</v>
      </c>
      <c r="C156" s="9" t="s">
        <v>178</v>
      </c>
      <c r="D156" s="9" t="s">
        <v>113</v>
      </c>
      <c r="E156" s="9" t="s">
        <v>113</v>
      </c>
      <c r="F156" s="43">
        <v>1</v>
      </c>
      <c r="G156" s="43" t="s">
        <v>240</v>
      </c>
      <c r="H156" s="32">
        <f t="shared" si="10"/>
        <v>1</v>
      </c>
      <c r="I156" s="74">
        <v>13400</v>
      </c>
      <c r="J156" s="74">
        <f t="shared" si="6"/>
        <v>13400</v>
      </c>
      <c r="K156" s="44"/>
      <c r="L156" s="87">
        <f>SUBTOTAL(9,J130:J181)</f>
        <v>1065197</v>
      </c>
      <c r="N156" s="211">
        <f>L156+N152+N153+N154</f>
        <v>1709641.1850000001</v>
      </c>
      <c r="O156" s="212" t="s">
        <v>1563</v>
      </c>
    </row>
    <row r="157" spans="1:15" hidden="1">
      <c r="A157" s="274">
        <v>6</v>
      </c>
      <c r="B157" s="10" t="s">
        <v>63</v>
      </c>
      <c r="C157" s="10" t="s">
        <v>179</v>
      </c>
      <c r="D157" s="10" t="s">
        <v>555</v>
      </c>
      <c r="E157" s="10" t="s">
        <v>381</v>
      </c>
      <c r="F157" s="5">
        <v>1</v>
      </c>
      <c r="G157" s="5" t="s">
        <v>250</v>
      </c>
      <c r="H157" s="5">
        <f>$G$9*F157</f>
        <v>0</v>
      </c>
      <c r="I157" s="75"/>
      <c r="J157" s="75">
        <f t="shared" si="6"/>
        <v>0</v>
      </c>
      <c r="K157" s="40" t="s">
        <v>238</v>
      </c>
      <c r="L157" s="1"/>
      <c r="M157" s="1"/>
    </row>
    <row r="158" spans="1:15" hidden="1">
      <c r="A158" s="258"/>
      <c r="B158" s="34" t="s">
        <v>63</v>
      </c>
      <c r="C158" s="34" t="s">
        <v>179</v>
      </c>
      <c r="D158" s="34" t="s">
        <v>383</v>
      </c>
      <c r="E158" s="34" t="s">
        <v>384</v>
      </c>
      <c r="F158" s="32">
        <v>12</v>
      </c>
      <c r="G158" s="32" t="s">
        <v>954</v>
      </c>
      <c r="H158" s="32">
        <f t="shared" ref="H158:H182" si="16">$G$9*F158</f>
        <v>0</v>
      </c>
      <c r="I158" s="72"/>
      <c r="J158" s="72">
        <f t="shared" si="6"/>
        <v>0</v>
      </c>
      <c r="K158" s="33"/>
      <c r="L158" s="1"/>
      <c r="M158" s="1"/>
    </row>
    <row r="159" spans="1:15" hidden="1">
      <c r="A159" s="258"/>
      <c r="B159" s="13" t="s">
        <v>63</v>
      </c>
      <c r="C159" s="13" t="s">
        <v>179</v>
      </c>
      <c r="D159" s="13" t="s">
        <v>403</v>
      </c>
      <c r="E159" s="13" t="s">
        <v>412</v>
      </c>
      <c r="F159" s="32">
        <v>1</v>
      </c>
      <c r="G159" s="32" t="s">
        <v>567</v>
      </c>
      <c r="H159" s="32">
        <f t="shared" si="16"/>
        <v>0</v>
      </c>
      <c r="I159" s="76"/>
      <c r="J159" s="76">
        <f t="shared" si="6"/>
        <v>0</v>
      </c>
      <c r="K159" s="33"/>
      <c r="L159" s="1"/>
      <c r="M159" s="1"/>
    </row>
    <row r="160" spans="1:15" hidden="1">
      <c r="A160" s="258"/>
      <c r="B160" s="13" t="s">
        <v>63</v>
      </c>
      <c r="C160" s="13" t="s">
        <v>179</v>
      </c>
      <c r="D160" s="13" t="s">
        <v>409</v>
      </c>
      <c r="E160" s="13" t="s">
        <v>415</v>
      </c>
      <c r="F160" s="32">
        <v>1</v>
      </c>
      <c r="G160" s="32" t="s">
        <v>567</v>
      </c>
      <c r="H160" s="32">
        <f t="shared" si="16"/>
        <v>0</v>
      </c>
      <c r="I160" s="76"/>
      <c r="J160" s="76">
        <f t="shared" ref="J160:J223" si="17">H160*I160</f>
        <v>0</v>
      </c>
      <c r="K160" s="33"/>
      <c r="L160" s="1"/>
      <c r="M160" s="1"/>
    </row>
    <row r="161" spans="1:13" hidden="1">
      <c r="A161" s="258"/>
      <c r="B161" s="13" t="s">
        <v>63</v>
      </c>
      <c r="C161" s="13" t="s">
        <v>179</v>
      </c>
      <c r="D161" s="13" t="s">
        <v>406</v>
      </c>
      <c r="E161" s="13" t="s">
        <v>418</v>
      </c>
      <c r="F161" s="32">
        <v>1</v>
      </c>
      <c r="G161" s="32" t="s">
        <v>567</v>
      </c>
      <c r="H161" s="32">
        <f t="shared" si="16"/>
        <v>0</v>
      </c>
      <c r="I161" s="76"/>
      <c r="J161" s="76">
        <f t="shared" si="17"/>
        <v>0</v>
      </c>
      <c r="K161" s="33"/>
      <c r="L161" s="1"/>
      <c r="M161" s="1"/>
    </row>
    <row r="162" spans="1:13" hidden="1">
      <c r="A162" s="258"/>
      <c r="B162" s="13" t="s">
        <v>63</v>
      </c>
      <c r="C162" s="13" t="s">
        <v>179</v>
      </c>
      <c r="D162" s="13" t="s">
        <v>486</v>
      </c>
      <c r="E162" s="13" t="s">
        <v>386</v>
      </c>
      <c r="F162" s="32">
        <v>1</v>
      </c>
      <c r="G162" s="32" t="s">
        <v>569</v>
      </c>
      <c r="H162" s="32">
        <f t="shared" si="16"/>
        <v>0</v>
      </c>
      <c r="I162" s="76"/>
      <c r="J162" s="76">
        <f t="shared" si="17"/>
        <v>0</v>
      </c>
      <c r="K162" s="33"/>
      <c r="L162" s="1"/>
      <c r="M162" s="1"/>
    </row>
    <row r="163" spans="1:13" hidden="1">
      <c r="A163" s="258"/>
      <c r="B163" s="13" t="s">
        <v>63</v>
      </c>
      <c r="C163" s="13" t="s">
        <v>179</v>
      </c>
      <c r="D163" s="13" t="s">
        <v>525</v>
      </c>
      <c r="E163" s="13" t="s">
        <v>523</v>
      </c>
      <c r="F163" s="32">
        <v>12</v>
      </c>
      <c r="G163" s="32"/>
      <c r="H163" s="32">
        <f t="shared" si="16"/>
        <v>0</v>
      </c>
      <c r="I163" s="72"/>
      <c r="J163" s="72">
        <f t="shared" si="17"/>
        <v>0</v>
      </c>
      <c r="K163" s="33"/>
      <c r="L163" s="1"/>
      <c r="M163" s="1"/>
    </row>
    <row r="164" spans="1:13" hidden="1">
      <c r="A164" s="258"/>
      <c r="B164" s="13" t="s">
        <v>63</v>
      </c>
      <c r="C164" s="13" t="s">
        <v>179</v>
      </c>
      <c r="D164" s="13" t="s">
        <v>542</v>
      </c>
      <c r="E164" s="13" t="s">
        <v>422</v>
      </c>
      <c r="F164" s="32">
        <v>2</v>
      </c>
      <c r="G164" s="32" t="s">
        <v>561</v>
      </c>
      <c r="H164" s="32">
        <f t="shared" si="16"/>
        <v>0</v>
      </c>
      <c r="I164" s="72"/>
      <c r="J164" s="72">
        <f t="shared" si="17"/>
        <v>0</v>
      </c>
      <c r="K164" s="33"/>
      <c r="L164" s="1"/>
      <c r="M164" s="1"/>
    </row>
    <row r="165" spans="1:13" hidden="1">
      <c r="A165" s="258"/>
      <c r="B165" s="13" t="s">
        <v>63</v>
      </c>
      <c r="C165" s="13" t="s">
        <v>179</v>
      </c>
      <c r="D165" s="13" t="s">
        <v>543</v>
      </c>
      <c r="E165" s="13" t="s">
        <v>424</v>
      </c>
      <c r="F165" s="32">
        <v>2</v>
      </c>
      <c r="G165" s="32" t="s">
        <v>561</v>
      </c>
      <c r="H165" s="32">
        <f t="shared" si="16"/>
        <v>0</v>
      </c>
      <c r="I165" s="72"/>
      <c r="J165" s="72">
        <f t="shared" si="17"/>
        <v>0</v>
      </c>
      <c r="K165" s="33"/>
      <c r="L165" s="1"/>
      <c r="M165" s="1"/>
    </row>
    <row r="166" spans="1:13" hidden="1">
      <c r="A166" s="258"/>
      <c r="B166" s="13" t="s">
        <v>63</v>
      </c>
      <c r="C166" s="13" t="s">
        <v>179</v>
      </c>
      <c r="D166" s="13" t="s">
        <v>544</v>
      </c>
      <c r="E166" s="13" t="s">
        <v>420</v>
      </c>
      <c r="F166" s="32">
        <v>2</v>
      </c>
      <c r="G166" s="32" t="s">
        <v>561</v>
      </c>
      <c r="H166" s="32">
        <f t="shared" si="16"/>
        <v>0</v>
      </c>
      <c r="I166" s="72"/>
      <c r="J166" s="72">
        <f t="shared" si="17"/>
        <v>0</v>
      </c>
      <c r="K166" s="33"/>
      <c r="L166" s="1"/>
      <c r="M166" s="1"/>
    </row>
    <row r="167" spans="1:13" hidden="1">
      <c r="A167" s="258"/>
      <c r="B167" s="13" t="s">
        <v>63</v>
      </c>
      <c r="C167" s="13" t="s">
        <v>179</v>
      </c>
      <c r="D167" s="13" t="s">
        <v>553</v>
      </c>
      <c r="E167" s="13" t="s">
        <v>425</v>
      </c>
      <c r="F167" s="32">
        <v>2</v>
      </c>
      <c r="G167" s="32" t="s">
        <v>561</v>
      </c>
      <c r="H167" s="32">
        <f t="shared" si="16"/>
        <v>0</v>
      </c>
      <c r="I167" s="72"/>
      <c r="J167" s="72">
        <f t="shared" si="17"/>
        <v>0</v>
      </c>
      <c r="K167" s="33"/>
      <c r="L167" s="1"/>
      <c r="M167" s="1"/>
    </row>
    <row r="168" spans="1:13" hidden="1">
      <c r="A168" s="258"/>
      <c r="B168" s="13" t="s">
        <v>63</v>
      </c>
      <c r="C168" s="13" t="s">
        <v>179</v>
      </c>
      <c r="D168" s="13" t="s">
        <v>537</v>
      </c>
      <c r="E168" s="13" t="s">
        <v>427</v>
      </c>
      <c r="F168" s="32">
        <v>1</v>
      </c>
      <c r="G168" s="32" t="s">
        <v>562</v>
      </c>
      <c r="H168" s="32">
        <f t="shared" si="16"/>
        <v>0</v>
      </c>
      <c r="I168" s="72"/>
      <c r="J168" s="72">
        <f t="shared" si="17"/>
        <v>0</v>
      </c>
      <c r="K168" s="33"/>
      <c r="L168" s="1"/>
      <c r="M168" s="1"/>
    </row>
    <row r="169" spans="1:13" hidden="1">
      <c r="A169" s="258"/>
      <c r="B169" s="34" t="s">
        <v>63</v>
      </c>
      <c r="C169" s="34" t="s">
        <v>179</v>
      </c>
      <c r="D169" s="34" t="s">
        <v>540</v>
      </c>
      <c r="E169" s="34" t="s">
        <v>429</v>
      </c>
      <c r="F169" s="32">
        <v>1</v>
      </c>
      <c r="G169" s="32" t="s">
        <v>568</v>
      </c>
      <c r="H169" s="32">
        <f t="shared" si="16"/>
        <v>0</v>
      </c>
      <c r="I169" s="72"/>
      <c r="J169" s="72">
        <f t="shared" si="17"/>
        <v>0</v>
      </c>
      <c r="K169" s="33"/>
      <c r="L169" s="1"/>
      <c r="M169" s="1"/>
    </row>
    <row r="170" spans="1:13" hidden="1">
      <c r="A170" s="258"/>
      <c r="B170" s="13" t="s">
        <v>63</v>
      </c>
      <c r="C170" s="13" t="s">
        <v>179</v>
      </c>
      <c r="D170" s="13" t="s">
        <v>432</v>
      </c>
      <c r="E170" s="13" t="s">
        <v>430</v>
      </c>
      <c r="F170" s="32">
        <v>1</v>
      </c>
      <c r="G170" s="32" t="s">
        <v>561</v>
      </c>
      <c r="H170" s="32">
        <f t="shared" si="16"/>
        <v>0</v>
      </c>
      <c r="I170" s="76"/>
      <c r="J170" s="76">
        <f t="shared" si="17"/>
        <v>0</v>
      </c>
      <c r="K170" s="33"/>
      <c r="L170" s="1"/>
      <c r="M170" s="1"/>
    </row>
    <row r="171" spans="1:13" hidden="1">
      <c r="A171" s="258"/>
      <c r="B171" s="13" t="s">
        <v>63</v>
      </c>
      <c r="C171" s="13" t="s">
        <v>179</v>
      </c>
      <c r="D171" s="13" t="s">
        <v>436</v>
      </c>
      <c r="E171" s="13" t="s">
        <v>434</v>
      </c>
      <c r="F171" s="32">
        <v>1</v>
      </c>
      <c r="G171" s="32" t="s">
        <v>561</v>
      </c>
      <c r="H171" s="32">
        <f t="shared" si="16"/>
        <v>0</v>
      </c>
      <c r="I171" s="76"/>
      <c r="J171" s="76">
        <f t="shared" si="17"/>
        <v>0</v>
      </c>
      <c r="K171" s="33"/>
      <c r="L171" s="1"/>
      <c r="M171" s="1"/>
    </row>
    <row r="172" spans="1:13" hidden="1">
      <c r="A172" s="258"/>
      <c r="B172" s="13" t="s">
        <v>63</v>
      </c>
      <c r="C172" s="13" t="s">
        <v>179</v>
      </c>
      <c r="D172" s="13" t="s">
        <v>439</v>
      </c>
      <c r="E172" s="13" t="s">
        <v>612</v>
      </c>
      <c r="F172" s="32">
        <v>2</v>
      </c>
      <c r="G172" s="32" t="s">
        <v>561</v>
      </c>
      <c r="H172" s="32">
        <f t="shared" si="16"/>
        <v>0</v>
      </c>
      <c r="I172" s="76"/>
      <c r="J172" s="76">
        <f t="shared" si="17"/>
        <v>0</v>
      </c>
      <c r="K172" s="33"/>
      <c r="L172" s="1"/>
      <c r="M172" s="1"/>
    </row>
    <row r="173" spans="1:13" hidden="1">
      <c r="A173" s="258"/>
      <c r="B173" s="34" t="s">
        <v>63</v>
      </c>
      <c r="C173" s="34" t="s">
        <v>179</v>
      </c>
      <c r="D173" s="34" t="s">
        <v>529</v>
      </c>
      <c r="E173" s="34" t="s">
        <v>530</v>
      </c>
      <c r="F173" s="32">
        <v>1</v>
      </c>
      <c r="G173" s="32" t="s">
        <v>566</v>
      </c>
      <c r="H173" s="32">
        <f t="shared" si="16"/>
        <v>0</v>
      </c>
      <c r="I173" s="72"/>
      <c r="J173" s="72">
        <f t="shared" si="17"/>
        <v>0</v>
      </c>
      <c r="K173" s="33"/>
      <c r="L173" s="1"/>
      <c r="M173" s="1"/>
    </row>
    <row r="174" spans="1:13" hidden="1">
      <c r="A174" s="258"/>
      <c r="B174" s="34" t="s">
        <v>63</v>
      </c>
      <c r="C174" s="34" t="s">
        <v>179</v>
      </c>
      <c r="D174" s="34" t="s">
        <v>531</v>
      </c>
      <c r="E174" s="34" t="s">
        <v>532</v>
      </c>
      <c r="F174" s="32">
        <v>1</v>
      </c>
      <c r="G174" s="32" t="s">
        <v>566</v>
      </c>
      <c r="H174" s="32">
        <f t="shared" si="16"/>
        <v>0</v>
      </c>
      <c r="I174" s="72"/>
      <c r="J174" s="72">
        <f t="shared" si="17"/>
        <v>0</v>
      </c>
      <c r="K174" s="33"/>
      <c r="L174" s="1"/>
      <c r="M174" s="1"/>
    </row>
    <row r="175" spans="1:13" hidden="1">
      <c r="A175" s="258"/>
      <c r="B175" s="34" t="s">
        <v>63</v>
      </c>
      <c r="C175" s="34" t="s">
        <v>179</v>
      </c>
      <c r="D175" s="34" t="s">
        <v>443</v>
      </c>
      <c r="E175" s="34" t="s">
        <v>442</v>
      </c>
      <c r="F175" s="32">
        <v>1</v>
      </c>
      <c r="G175" s="32" t="s">
        <v>570</v>
      </c>
      <c r="H175" s="32">
        <f t="shared" si="16"/>
        <v>0</v>
      </c>
      <c r="I175" s="72"/>
      <c r="J175" s="72">
        <f t="shared" si="17"/>
        <v>0</v>
      </c>
      <c r="K175" s="33"/>
      <c r="L175" s="1"/>
      <c r="M175" s="1"/>
    </row>
    <row r="176" spans="1:13" hidden="1">
      <c r="A176" s="258"/>
      <c r="B176" s="34" t="s">
        <v>63</v>
      </c>
      <c r="C176" s="34" t="s">
        <v>179</v>
      </c>
      <c r="D176" s="34" t="s">
        <v>441</v>
      </c>
      <c r="E176" s="34" t="s">
        <v>440</v>
      </c>
      <c r="F176" s="32">
        <v>1</v>
      </c>
      <c r="G176" s="32" t="s">
        <v>570</v>
      </c>
      <c r="H176" s="32">
        <f t="shared" si="16"/>
        <v>0</v>
      </c>
      <c r="I176" s="72"/>
      <c r="J176" s="72">
        <f t="shared" si="17"/>
        <v>0</v>
      </c>
      <c r="K176" s="33"/>
      <c r="L176" s="1"/>
      <c r="M176" s="1"/>
    </row>
    <row r="177" spans="1:13" hidden="1">
      <c r="A177" s="258"/>
      <c r="B177" s="34" t="s">
        <v>63</v>
      </c>
      <c r="C177" s="34" t="s">
        <v>179</v>
      </c>
      <c r="D177" s="34" t="s">
        <v>546</v>
      </c>
      <c r="E177" s="34" t="s">
        <v>547</v>
      </c>
      <c r="F177" s="32">
        <v>1</v>
      </c>
      <c r="G177" s="32" t="s">
        <v>571</v>
      </c>
      <c r="H177" s="32">
        <f t="shared" si="16"/>
        <v>0</v>
      </c>
      <c r="I177" s="72"/>
      <c r="J177" s="72">
        <f t="shared" si="17"/>
        <v>0</v>
      </c>
      <c r="K177" s="33"/>
      <c r="L177" s="1"/>
      <c r="M177" s="1"/>
    </row>
    <row r="178" spans="1:13" hidden="1">
      <c r="A178" s="258"/>
      <c r="B178" s="34" t="s">
        <v>63</v>
      </c>
      <c r="C178" s="34" t="s">
        <v>179</v>
      </c>
      <c r="D178" s="34" t="s">
        <v>554</v>
      </c>
      <c r="E178" s="34" t="s">
        <v>533</v>
      </c>
      <c r="F178" s="32">
        <v>1</v>
      </c>
      <c r="G178" s="32" t="s">
        <v>571</v>
      </c>
      <c r="H178" s="32">
        <f t="shared" si="16"/>
        <v>0</v>
      </c>
      <c r="I178" s="72"/>
      <c r="J178" s="72">
        <f t="shared" si="17"/>
        <v>0</v>
      </c>
      <c r="K178" s="33"/>
      <c r="L178" s="1"/>
      <c r="M178" s="1"/>
    </row>
    <row r="179" spans="1:13" hidden="1">
      <c r="A179" s="258"/>
      <c r="B179" s="13" t="s">
        <v>63</v>
      </c>
      <c r="C179" s="13" t="s">
        <v>179</v>
      </c>
      <c r="D179" s="13" t="s">
        <v>101</v>
      </c>
      <c r="E179" s="13" t="s">
        <v>522</v>
      </c>
      <c r="F179" s="32">
        <v>2</v>
      </c>
      <c r="G179" s="32" t="s">
        <v>560</v>
      </c>
      <c r="H179" s="32">
        <f t="shared" si="16"/>
        <v>0</v>
      </c>
      <c r="I179" s="72">
        <v>53400</v>
      </c>
      <c r="J179" s="72">
        <f t="shared" si="17"/>
        <v>0</v>
      </c>
      <c r="K179" s="33"/>
      <c r="L179" s="1"/>
      <c r="M179" s="1"/>
    </row>
    <row r="180" spans="1:13" hidden="1">
      <c r="A180" s="258"/>
      <c r="B180" s="13" t="s">
        <v>63</v>
      </c>
      <c r="C180" s="13" t="s">
        <v>179</v>
      </c>
      <c r="D180" s="13" t="s">
        <v>445</v>
      </c>
      <c r="E180" s="13" t="s">
        <v>449</v>
      </c>
      <c r="F180" s="32">
        <v>1</v>
      </c>
      <c r="G180" s="32" t="s">
        <v>235</v>
      </c>
      <c r="H180" s="32">
        <f t="shared" si="16"/>
        <v>0</v>
      </c>
      <c r="I180" s="72"/>
      <c r="J180" s="72">
        <f t="shared" si="17"/>
        <v>0</v>
      </c>
      <c r="K180" s="33"/>
      <c r="L180" s="1"/>
      <c r="M180" s="1"/>
    </row>
    <row r="181" spans="1:13" hidden="1">
      <c r="A181" s="264"/>
      <c r="B181" s="46" t="s">
        <v>627</v>
      </c>
      <c r="C181" s="46" t="s">
        <v>179</v>
      </c>
      <c r="D181" s="46" t="s">
        <v>623</v>
      </c>
      <c r="E181" s="46" t="s">
        <v>625</v>
      </c>
      <c r="F181" s="38">
        <v>1</v>
      </c>
      <c r="G181" s="38"/>
      <c r="H181" s="38"/>
      <c r="I181" s="73"/>
      <c r="J181" s="73"/>
      <c r="K181" s="39"/>
      <c r="L181" s="1"/>
      <c r="M181" s="1"/>
    </row>
    <row r="182" spans="1:13" ht="17.5" hidden="1" thickBot="1">
      <c r="A182" s="297"/>
      <c r="B182" s="46" t="s">
        <v>63</v>
      </c>
      <c r="C182" s="46" t="s">
        <v>179</v>
      </c>
      <c r="D182" s="46" t="s">
        <v>113</v>
      </c>
      <c r="E182" s="46" t="s">
        <v>113</v>
      </c>
      <c r="F182" s="38">
        <v>1</v>
      </c>
      <c r="G182" s="38" t="s">
        <v>240</v>
      </c>
      <c r="H182" s="38">
        <f t="shared" si="16"/>
        <v>0</v>
      </c>
      <c r="I182" s="73"/>
      <c r="J182" s="73">
        <f t="shared" si="17"/>
        <v>0</v>
      </c>
      <c r="K182" s="39"/>
      <c r="L182" s="1"/>
      <c r="M182" s="1"/>
    </row>
    <row r="183" spans="1:13">
      <c r="A183" s="257">
        <v>7</v>
      </c>
      <c r="B183" s="11" t="s">
        <v>65</v>
      </c>
      <c r="C183" s="11" t="s">
        <v>180</v>
      </c>
      <c r="D183" s="11" t="s">
        <v>555</v>
      </c>
      <c r="E183" s="11" t="s">
        <v>381</v>
      </c>
      <c r="F183" s="30">
        <v>1</v>
      </c>
      <c r="G183" s="30" t="s">
        <v>679</v>
      </c>
      <c r="H183" s="30">
        <f t="shared" ref="H183:H197" si="18">$G$10*F183</f>
        <v>1</v>
      </c>
      <c r="I183" s="71">
        <f>158000+56000</f>
        <v>214000</v>
      </c>
      <c r="J183" s="77">
        <f t="shared" si="17"/>
        <v>214000</v>
      </c>
      <c r="K183" s="31" t="s">
        <v>238</v>
      </c>
      <c r="L183" s="59"/>
      <c r="M183" s="59"/>
    </row>
    <row r="184" spans="1:13">
      <c r="A184" s="258"/>
      <c r="B184" s="13" t="s">
        <v>65</v>
      </c>
      <c r="C184" s="13" t="s">
        <v>180</v>
      </c>
      <c r="D184" s="13" t="s">
        <v>383</v>
      </c>
      <c r="E184" s="13" t="s">
        <v>384</v>
      </c>
      <c r="F184" s="32">
        <v>12</v>
      </c>
      <c r="G184" s="32" t="s">
        <v>954</v>
      </c>
      <c r="H184" s="32">
        <f t="shared" si="18"/>
        <v>12</v>
      </c>
      <c r="I184" s="72">
        <v>2470</v>
      </c>
      <c r="J184" s="72">
        <f t="shared" si="17"/>
        <v>29640</v>
      </c>
      <c r="K184" s="33"/>
    </row>
    <row r="185" spans="1:13">
      <c r="A185" s="258"/>
      <c r="B185" s="13" t="s">
        <v>65</v>
      </c>
      <c r="C185" s="13" t="s">
        <v>180</v>
      </c>
      <c r="D185" s="13" t="s">
        <v>403</v>
      </c>
      <c r="E185" s="13" t="s">
        <v>977</v>
      </c>
      <c r="F185" s="32">
        <v>1</v>
      </c>
      <c r="G185" s="13" t="s">
        <v>1733</v>
      </c>
      <c r="H185" s="32">
        <f t="shared" si="18"/>
        <v>1</v>
      </c>
      <c r="I185" s="301">
        <v>32037</v>
      </c>
      <c r="J185" s="298">
        <f t="shared" si="17"/>
        <v>32037</v>
      </c>
      <c r="K185" s="33"/>
      <c r="L185" s="59"/>
      <c r="M185" s="59"/>
    </row>
    <row r="186" spans="1:13">
      <c r="A186" s="258"/>
      <c r="B186" s="13" t="s">
        <v>65</v>
      </c>
      <c r="C186" s="13" t="s">
        <v>180</v>
      </c>
      <c r="D186" s="13" t="s">
        <v>409</v>
      </c>
      <c r="E186" s="13" t="s">
        <v>979</v>
      </c>
      <c r="F186" s="32">
        <v>1</v>
      </c>
      <c r="G186" s="13" t="s">
        <v>1733</v>
      </c>
      <c r="H186" s="32">
        <f t="shared" si="18"/>
        <v>1</v>
      </c>
      <c r="I186" s="302"/>
      <c r="J186" s="299"/>
      <c r="K186" s="33"/>
      <c r="L186" s="59"/>
      <c r="M186" s="59"/>
    </row>
    <row r="187" spans="1:13">
      <c r="A187" s="258"/>
      <c r="B187" s="13" t="s">
        <v>65</v>
      </c>
      <c r="C187" s="13" t="s">
        <v>180</v>
      </c>
      <c r="D187" s="13" t="s">
        <v>406</v>
      </c>
      <c r="E187" s="13" t="s">
        <v>980</v>
      </c>
      <c r="F187" s="32">
        <v>1</v>
      </c>
      <c r="G187" s="13" t="s">
        <v>1733</v>
      </c>
      <c r="H187" s="32">
        <f t="shared" si="18"/>
        <v>1</v>
      </c>
      <c r="I187" s="303"/>
      <c r="J187" s="300"/>
      <c r="K187" s="33"/>
      <c r="L187" s="59"/>
      <c r="M187" s="59"/>
    </row>
    <row r="188" spans="1:13">
      <c r="A188" s="258"/>
      <c r="B188" s="13" t="s">
        <v>65</v>
      </c>
      <c r="C188" s="13" t="s">
        <v>180</v>
      </c>
      <c r="D188" s="13" t="s">
        <v>486</v>
      </c>
      <c r="E188" s="13" t="s">
        <v>386</v>
      </c>
      <c r="F188" s="32">
        <v>1</v>
      </c>
      <c r="G188" s="32" t="s">
        <v>569</v>
      </c>
      <c r="H188" s="32">
        <f t="shared" si="18"/>
        <v>1</v>
      </c>
      <c r="I188" s="72">
        <v>5000</v>
      </c>
      <c r="J188" s="76">
        <f t="shared" si="17"/>
        <v>5000</v>
      </c>
      <c r="K188" s="33"/>
      <c r="L188" s="59"/>
      <c r="M188" s="59"/>
    </row>
    <row r="189" spans="1:13">
      <c r="A189" s="258"/>
      <c r="B189" s="13" t="s">
        <v>65</v>
      </c>
      <c r="C189" s="13" t="s">
        <v>180</v>
      </c>
      <c r="D189" s="13" t="s">
        <v>542</v>
      </c>
      <c r="E189" s="13" t="s">
        <v>983</v>
      </c>
      <c r="F189" s="32">
        <v>2</v>
      </c>
      <c r="G189" s="32" t="s">
        <v>955</v>
      </c>
      <c r="H189" s="32">
        <f t="shared" si="18"/>
        <v>2</v>
      </c>
      <c r="I189" s="72">
        <v>400</v>
      </c>
      <c r="J189" s="72">
        <f t="shared" si="17"/>
        <v>800</v>
      </c>
      <c r="K189" s="33"/>
    </row>
    <row r="190" spans="1:13">
      <c r="A190" s="258"/>
      <c r="B190" s="13" t="s">
        <v>65</v>
      </c>
      <c r="C190" s="13" t="s">
        <v>180</v>
      </c>
      <c r="D190" s="13" t="s">
        <v>543</v>
      </c>
      <c r="E190" s="13" t="s">
        <v>984</v>
      </c>
      <c r="F190" s="32">
        <v>2</v>
      </c>
      <c r="G190" s="32" t="s">
        <v>955</v>
      </c>
      <c r="H190" s="32">
        <f t="shared" si="18"/>
        <v>2</v>
      </c>
      <c r="I190" s="72">
        <v>400</v>
      </c>
      <c r="J190" s="72">
        <f t="shared" si="17"/>
        <v>800</v>
      </c>
      <c r="K190" s="33"/>
    </row>
    <row r="191" spans="1:13">
      <c r="A191" s="258"/>
      <c r="B191" s="13" t="s">
        <v>65</v>
      </c>
      <c r="C191" s="13" t="s">
        <v>180</v>
      </c>
      <c r="D191" s="13" t="s">
        <v>544</v>
      </c>
      <c r="E191" s="13" t="s">
        <v>985</v>
      </c>
      <c r="F191" s="32">
        <v>2</v>
      </c>
      <c r="G191" s="32" t="s">
        <v>955</v>
      </c>
      <c r="H191" s="32">
        <f t="shared" si="18"/>
        <v>2</v>
      </c>
      <c r="I191" s="72">
        <v>400</v>
      </c>
      <c r="J191" s="72">
        <f t="shared" si="17"/>
        <v>800</v>
      </c>
      <c r="K191" s="33"/>
    </row>
    <row r="192" spans="1:13">
      <c r="A192" s="258"/>
      <c r="B192" s="13" t="s">
        <v>65</v>
      </c>
      <c r="C192" s="13" t="s">
        <v>180</v>
      </c>
      <c r="D192" s="13" t="s">
        <v>553</v>
      </c>
      <c r="E192" s="13" t="s">
        <v>425</v>
      </c>
      <c r="F192" s="32">
        <v>2</v>
      </c>
      <c r="G192" s="32" t="s">
        <v>955</v>
      </c>
      <c r="H192" s="32">
        <f t="shared" si="18"/>
        <v>2</v>
      </c>
      <c r="I192" s="72">
        <v>1700</v>
      </c>
      <c r="J192" s="72">
        <f t="shared" si="17"/>
        <v>3400</v>
      </c>
      <c r="K192" s="33"/>
    </row>
    <row r="193" spans="1:13">
      <c r="A193" s="258"/>
      <c r="B193" s="13" t="s">
        <v>65</v>
      </c>
      <c r="C193" s="13" t="s">
        <v>180</v>
      </c>
      <c r="D193" s="13" t="s">
        <v>537</v>
      </c>
      <c r="E193" s="13" t="s">
        <v>427</v>
      </c>
      <c r="F193" s="32">
        <v>1</v>
      </c>
      <c r="G193" s="32" t="s">
        <v>680</v>
      </c>
      <c r="H193" s="32">
        <f t="shared" ref="H193" si="19">$G$4*F193</f>
        <v>1</v>
      </c>
      <c r="I193" s="72">
        <v>8500</v>
      </c>
      <c r="J193" s="72">
        <f t="shared" si="17"/>
        <v>8500</v>
      </c>
      <c r="K193" s="33"/>
    </row>
    <row r="194" spans="1:13">
      <c r="A194" s="258"/>
      <c r="B194" s="13" t="s">
        <v>65</v>
      </c>
      <c r="C194" s="13" t="s">
        <v>180</v>
      </c>
      <c r="D194" s="13" t="s">
        <v>540</v>
      </c>
      <c r="E194" s="13" t="s">
        <v>429</v>
      </c>
      <c r="F194" s="32">
        <v>1</v>
      </c>
      <c r="G194" s="32" t="s">
        <v>957</v>
      </c>
      <c r="H194" s="32">
        <f t="shared" si="18"/>
        <v>1</v>
      </c>
      <c r="I194" s="72">
        <v>4800</v>
      </c>
      <c r="J194" s="72">
        <f t="shared" si="17"/>
        <v>4800</v>
      </c>
      <c r="K194" s="33"/>
    </row>
    <row r="195" spans="1:13">
      <c r="A195" s="258"/>
      <c r="B195" s="13" t="s">
        <v>65</v>
      </c>
      <c r="C195" s="13" t="s">
        <v>180</v>
      </c>
      <c r="D195" s="13" t="s">
        <v>432</v>
      </c>
      <c r="E195" s="13" t="s">
        <v>430</v>
      </c>
      <c r="F195" s="32">
        <v>1</v>
      </c>
      <c r="G195" s="32" t="s">
        <v>955</v>
      </c>
      <c r="H195" s="32">
        <f t="shared" si="18"/>
        <v>1</v>
      </c>
      <c r="I195" s="76">
        <v>4000</v>
      </c>
      <c r="J195" s="76">
        <f t="shared" si="17"/>
        <v>4000</v>
      </c>
      <c r="K195" s="33"/>
      <c r="L195" s="59"/>
      <c r="M195" s="59"/>
    </row>
    <row r="196" spans="1:13">
      <c r="A196" s="258"/>
      <c r="B196" s="13" t="s">
        <v>65</v>
      </c>
      <c r="C196" s="13" t="s">
        <v>180</v>
      </c>
      <c r="D196" s="13" t="s">
        <v>436</v>
      </c>
      <c r="E196" s="13" t="s">
        <v>434</v>
      </c>
      <c r="F196" s="32">
        <v>1</v>
      </c>
      <c r="G196" s="32" t="s">
        <v>955</v>
      </c>
      <c r="H196" s="32">
        <f t="shared" si="18"/>
        <v>1</v>
      </c>
      <c r="I196" s="76">
        <v>4000</v>
      </c>
      <c r="J196" s="76">
        <f t="shared" si="17"/>
        <v>4000</v>
      </c>
      <c r="K196" s="33"/>
      <c r="L196" s="59"/>
      <c r="M196" s="59"/>
    </row>
    <row r="197" spans="1:13">
      <c r="A197" s="258"/>
      <c r="B197" s="13" t="s">
        <v>65</v>
      </c>
      <c r="C197" s="13" t="s">
        <v>180</v>
      </c>
      <c r="D197" s="13" t="s">
        <v>439</v>
      </c>
      <c r="E197" s="13" t="s">
        <v>612</v>
      </c>
      <c r="F197" s="32">
        <v>2</v>
      </c>
      <c r="G197" s="32" t="s">
        <v>955</v>
      </c>
      <c r="H197" s="32">
        <f t="shared" si="18"/>
        <v>2</v>
      </c>
      <c r="I197" s="76">
        <v>8000</v>
      </c>
      <c r="J197" s="76">
        <f t="shared" si="17"/>
        <v>16000</v>
      </c>
      <c r="K197" s="33"/>
      <c r="L197" s="59"/>
      <c r="M197" s="59"/>
    </row>
    <row r="198" spans="1:13">
      <c r="A198" s="258"/>
      <c r="B198" s="13" t="s">
        <v>65</v>
      </c>
      <c r="C198" s="13" t="s">
        <v>180</v>
      </c>
      <c r="D198" s="13" t="s">
        <v>529</v>
      </c>
      <c r="E198" s="13" t="s">
        <v>530</v>
      </c>
      <c r="F198" s="32">
        <v>1</v>
      </c>
      <c r="G198" s="32" t="s">
        <v>681</v>
      </c>
      <c r="H198" s="32">
        <f t="shared" ref="H198:H208" si="20">$G$4*F198</f>
        <v>1</v>
      </c>
      <c r="I198" s="72">
        <v>2520</v>
      </c>
      <c r="J198" s="72">
        <f t="shared" si="17"/>
        <v>2520</v>
      </c>
      <c r="K198" s="33"/>
    </row>
    <row r="199" spans="1:13">
      <c r="A199" s="258"/>
      <c r="B199" s="13" t="s">
        <v>65</v>
      </c>
      <c r="C199" s="13" t="s">
        <v>180</v>
      </c>
      <c r="D199" s="13" t="s">
        <v>531</v>
      </c>
      <c r="E199" s="13" t="s">
        <v>532</v>
      </c>
      <c r="F199" s="32">
        <v>1</v>
      </c>
      <c r="G199" s="32" t="s">
        <v>976</v>
      </c>
      <c r="H199" s="32">
        <f t="shared" si="20"/>
        <v>1</v>
      </c>
      <c r="I199" s="72">
        <v>5500</v>
      </c>
      <c r="J199" s="72">
        <f t="shared" si="17"/>
        <v>5500</v>
      </c>
      <c r="K199" s="33"/>
    </row>
    <row r="200" spans="1:13">
      <c r="A200" s="258"/>
      <c r="B200" s="13" t="s">
        <v>65</v>
      </c>
      <c r="C200" s="13" t="s">
        <v>180</v>
      </c>
      <c r="D200" s="13" t="s">
        <v>443</v>
      </c>
      <c r="E200" s="13" t="s">
        <v>442</v>
      </c>
      <c r="F200" s="32">
        <v>1</v>
      </c>
      <c r="G200" s="32" t="s">
        <v>678</v>
      </c>
      <c r="H200" s="32">
        <f t="shared" si="20"/>
        <v>1</v>
      </c>
      <c r="I200" s="72">
        <v>7000</v>
      </c>
      <c r="J200" s="72">
        <f t="shared" si="17"/>
        <v>7000</v>
      </c>
      <c r="K200" s="33"/>
    </row>
    <row r="201" spans="1:13">
      <c r="A201" s="258"/>
      <c r="B201" s="13" t="s">
        <v>65</v>
      </c>
      <c r="C201" s="13" t="s">
        <v>180</v>
      </c>
      <c r="D201" s="13" t="s">
        <v>441</v>
      </c>
      <c r="E201" s="13" t="s">
        <v>440</v>
      </c>
      <c r="F201" s="32">
        <v>1</v>
      </c>
      <c r="G201" s="32" t="s">
        <v>678</v>
      </c>
      <c r="H201" s="32">
        <f t="shared" si="20"/>
        <v>1</v>
      </c>
      <c r="I201" s="72">
        <v>7000</v>
      </c>
      <c r="J201" s="72">
        <f t="shared" si="17"/>
        <v>7000</v>
      </c>
      <c r="K201" s="33"/>
    </row>
    <row r="202" spans="1:13">
      <c r="A202" s="258"/>
      <c r="B202" s="13" t="s">
        <v>65</v>
      </c>
      <c r="C202" s="13" t="s">
        <v>180</v>
      </c>
      <c r="D202" s="13" t="s">
        <v>546</v>
      </c>
      <c r="E202" s="13" t="s">
        <v>547</v>
      </c>
      <c r="F202" s="32">
        <v>1</v>
      </c>
      <c r="G202" s="32" t="s">
        <v>571</v>
      </c>
      <c r="H202" s="32">
        <f t="shared" si="20"/>
        <v>1</v>
      </c>
      <c r="I202" s="72">
        <v>3200</v>
      </c>
      <c r="J202" s="72">
        <f t="shared" si="17"/>
        <v>3200</v>
      </c>
      <c r="K202" s="33"/>
    </row>
    <row r="203" spans="1:13">
      <c r="A203" s="258"/>
      <c r="B203" s="13" t="s">
        <v>65</v>
      </c>
      <c r="C203" s="13" t="s">
        <v>180</v>
      </c>
      <c r="D203" s="13" t="s">
        <v>554</v>
      </c>
      <c r="E203" s="13" t="s">
        <v>533</v>
      </c>
      <c r="F203" s="32">
        <v>1</v>
      </c>
      <c r="G203" s="32" t="s">
        <v>686</v>
      </c>
      <c r="H203" s="32">
        <f t="shared" si="20"/>
        <v>1</v>
      </c>
      <c r="I203" s="72">
        <v>900</v>
      </c>
      <c r="J203" s="72">
        <f t="shared" si="17"/>
        <v>900</v>
      </c>
      <c r="K203" s="33"/>
    </row>
    <row r="204" spans="1:13">
      <c r="A204" s="258"/>
      <c r="B204" s="13" t="s">
        <v>65</v>
      </c>
      <c r="C204" s="13" t="s">
        <v>180</v>
      </c>
      <c r="D204" s="98" t="s">
        <v>463</v>
      </c>
      <c r="E204" s="98" t="s">
        <v>522</v>
      </c>
      <c r="F204" s="99">
        <v>2</v>
      </c>
      <c r="G204" s="99" t="s">
        <v>560</v>
      </c>
      <c r="H204" s="99">
        <f t="shared" si="20"/>
        <v>2</v>
      </c>
      <c r="I204" s="100">
        <v>99000</v>
      </c>
      <c r="J204" s="100">
        <f t="shared" si="17"/>
        <v>198000</v>
      </c>
      <c r="K204" s="33"/>
    </row>
    <row r="205" spans="1:13">
      <c r="A205" s="258"/>
      <c r="B205" s="13" t="s">
        <v>65</v>
      </c>
      <c r="C205" s="13" t="s">
        <v>180</v>
      </c>
      <c r="D205" s="109" t="s">
        <v>548</v>
      </c>
      <c r="E205" s="109" t="s">
        <v>448</v>
      </c>
      <c r="F205" s="110">
        <v>1</v>
      </c>
      <c r="G205" s="110" t="s">
        <v>235</v>
      </c>
      <c r="H205" s="110">
        <f t="shared" si="20"/>
        <v>1</v>
      </c>
      <c r="I205" s="111">
        <f>(72*2700)+300000</f>
        <v>494400</v>
      </c>
      <c r="J205" s="111">
        <f t="shared" si="17"/>
        <v>494400</v>
      </c>
      <c r="K205" s="33"/>
    </row>
    <row r="206" spans="1:13">
      <c r="A206" s="264"/>
      <c r="B206" s="15" t="s">
        <v>632</v>
      </c>
      <c r="C206" s="15" t="s">
        <v>180</v>
      </c>
      <c r="D206" s="15" t="s">
        <v>623</v>
      </c>
      <c r="E206" s="15" t="s">
        <v>625</v>
      </c>
      <c r="F206" s="38">
        <v>1</v>
      </c>
      <c r="G206" s="38" t="s">
        <v>690</v>
      </c>
      <c r="H206" s="32">
        <f t="shared" si="20"/>
        <v>1</v>
      </c>
      <c r="I206" s="73">
        <f>16000+1800</f>
        <v>17800</v>
      </c>
      <c r="J206" s="72">
        <f t="shared" si="17"/>
        <v>17800</v>
      </c>
      <c r="K206" s="39"/>
    </row>
    <row r="207" spans="1:13" ht="17.5" thickBot="1">
      <c r="A207" s="264"/>
      <c r="B207" s="15" t="s">
        <v>65</v>
      </c>
      <c r="C207" s="15" t="s">
        <v>180</v>
      </c>
      <c r="D207" s="15" t="s">
        <v>1735</v>
      </c>
      <c r="E207" s="13" t="s">
        <v>693</v>
      </c>
      <c r="F207" s="38">
        <v>1</v>
      </c>
      <c r="G207" s="38" t="s">
        <v>1736</v>
      </c>
      <c r="H207" s="38">
        <f t="shared" si="20"/>
        <v>1</v>
      </c>
      <c r="I207" s="73">
        <v>6500</v>
      </c>
      <c r="J207" s="73">
        <f t="shared" si="17"/>
        <v>6500</v>
      </c>
      <c r="K207" s="39"/>
    </row>
    <row r="208" spans="1:13" ht="26" thickBot="1">
      <c r="A208" s="259"/>
      <c r="B208" s="53" t="s">
        <v>65</v>
      </c>
      <c r="C208" s="53" t="s">
        <v>180</v>
      </c>
      <c r="D208" s="53" t="s">
        <v>113</v>
      </c>
      <c r="E208" s="53" t="s">
        <v>113</v>
      </c>
      <c r="F208" s="85">
        <v>1</v>
      </c>
      <c r="G208" s="85" t="s">
        <v>240</v>
      </c>
      <c r="H208" s="85">
        <f t="shared" si="20"/>
        <v>1</v>
      </c>
      <c r="I208" s="86">
        <v>13400</v>
      </c>
      <c r="J208" s="86">
        <f t="shared" si="17"/>
        <v>13400</v>
      </c>
      <c r="K208" s="44"/>
      <c r="L208" s="254">
        <f>SUBTOTAL(9,J182:J233)</f>
        <v>1079997</v>
      </c>
    </row>
    <row r="209" spans="1:13" hidden="1">
      <c r="A209" s="274">
        <v>8</v>
      </c>
      <c r="B209" s="10" t="s">
        <v>65</v>
      </c>
      <c r="C209" s="10" t="s">
        <v>181</v>
      </c>
      <c r="D209" s="10" t="s">
        <v>555</v>
      </c>
      <c r="E209" s="10" t="s">
        <v>381</v>
      </c>
      <c r="F209" s="5">
        <v>1</v>
      </c>
      <c r="G209" s="5" t="s">
        <v>250</v>
      </c>
      <c r="H209" s="5">
        <f>$G$11*F209</f>
        <v>0</v>
      </c>
      <c r="I209" s="75"/>
      <c r="J209" s="75">
        <f t="shared" si="17"/>
        <v>0</v>
      </c>
      <c r="K209" s="40" t="s">
        <v>238</v>
      </c>
      <c r="L209" s="1"/>
      <c r="M209" s="1"/>
    </row>
    <row r="210" spans="1:13" hidden="1">
      <c r="A210" s="258"/>
      <c r="B210" s="34" t="s">
        <v>65</v>
      </c>
      <c r="C210" s="34" t="s">
        <v>181</v>
      </c>
      <c r="D210" s="34" t="s">
        <v>383</v>
      </c>
      <c r="E210" s="34" t="s">
        <v>384</v>
      </c>
      <c r="F210" s="32">
        <v>12</v>
      </c>
      <c r="G210" s="32" t="s">
        <v>954</v>
      </c>
      <c r="H210" s="32">
        <f t="shared" ref="H210:H233" si="21">$G$11*F210</f>
        <v>0</v>
      </c>
      <c r="I210" s="72"/>
      <c r="J210" s="72">
        <f t="shared" si="17"/>
        <v>0</v>
      </c>
      <c r="K210" s="33"/>
      <c r="L210" s="1"/>
      <c r="M210" s="1"/>
    </row>
    <row r="211" spans="1:13" hidden="1">
      <c r="A211" s="258"/>
      <c r="B211" s="13" t="s">
        <v>65</v>
      </c>
      <c r="C211" s="13" t="s">
        <v>181</v>
      </c>
      <c r="D211" s="13" t="s">
        <v>403</v>
      </c>
      <c r="E211" s="13" t="s">
        <v>412</v>
      </c>
      <c r="F211" s="32">
        <v>1</v>
      </c>
      <c r="G211" s="32" t="s">
        <v>567</v>
      </c>
      <c r="H211" s="32">
        <f t="shared" si="21"/>
        <v>0</v>
      </c>
      <c r="I211" s="76"/>
      <c r="J211" s="76">
        <f t="shared" si="17"/>
        <v>0</v>
      </c>
      <c r="K211" s="33"/>
      <c r="L211" s="1"/>
      <c r="M211" s="1"/>
    </row>
    <row r="212" spans="1:13" hidden="1">
      <c r="A212" s="258"/>
      <c r="B212" s="13" t="s">
        <v>65</v>
      </c>
      <c r="C212" s="13" t="s">
        <v>181</v>
      </c>
      <c r="D212" s="13" t="s">
        <v>409</v>
      </c>
      <c r="E212" s="13" t="s">
        <v>415</v>
      </c>
      <c r="F212" s="32">
        <v>1</v>
      </c>
      <c r="G212" s="32" t="s">
        <v>567</v>
      </c>
      <c r="H212" s="32">
        <f t="shared" si="21"/>
        <v>0</v>
      </c>
      <c r="I212" s="76"/>
      <c r="J212" s="76">
        <f t="shared" si="17"/>
        <v>0</v>
      </c>
      <c r="K212" s="33"/>
      <c r="L212" s="1"/>
      <c r="M212" s="1"/>
    </row>
    <row r="213" spans="1:13" hidden="1">
      <c r="A213" s="258"/>
      <c r="B213" s="13" t="s">
        <v>65</v>
      </c>
      <c r="C213" s="13" t="s">
        <v>181</v>
      </c>
      <c r="D213" s="13" t="s">
        <v>406</v>
      </c>
      <c r="E213" s="13" t="s">
        <v>418</v>
      </c>
      <c r="F213" s="32">
        <v>1</v>
      </c>
      <c r="G213" s="32" t="s">
        <v>567</v>
      </c>
      <c r="H213" s="32">
        <f t="shared" si="21"/>
        <v>0</v>
      </c>
      <c r="I213" s="76"/>
      <c r="J213" s="76">
        <f t="shared" si="17"/>
        <v>0</v>
      </c>
      <c r="K213" s="33"/>
      <c r="L213" s="1"/>
      <c r="M213" s="1"/>
    </row>
    <row r="214" spans="1:13" hidden="1">
      <c r="A214" s="258"/>
      <c r="B214" s="13" t="s">
        <v>65</v>
      </c>
      <c r="C214" s="13" t="s">
        <v>181</v>
      </c>
      <c r="D214" s="13" t="s">
        <v>486</v>
      </c>
      <c r="E214" s="13" t="s">
        <v>386</v>
      </c>
      <c r="F214" s="32">
        <v>1</v>
      </c>
      <c r="G214" s="32" t="s">
        <v>569</v>
      </c>
      <c r="H214" s="32">
        <f t="shared" si="21"/>
        <v>0</v>
      </c>
      <c r="I214" s="76"/>
      <c r="J214" s="76">
        <f t="shared" si="17"/>
        <v>0</v>
      </c>
      <c r="K214" s="33"/>
      <c r="L214" s="1"/>
      <c r="M214" s="1"/>
    </row>
    <row r="215" spans="1:13" hidden="1">
      <c r="A215" s="258"/>
      <c r="B215" s="13" t="s">
        <v>65</v>
      </c>
      <c r="C215" s="13" t="s">
        <v>181</v>
      </c>
      <c r="D215" s="13" t="s">
        <v>542</v>
      </c>
      <c r="E215" s="13" t="s">
        <v>422</v>
      </c>
      <c r="F215" s="32">
        <v>2</v>
      </c>
      <c r="G215" s="32" t="s">
        <v>561</v>
      </c>
      <c r="H215" s="32">
        <f t="shared" si="21"/>
        <v>0</v>
      </c>
      <c r="I215" s="72"/>
      <c r="J215" s="72">
        <f t="shared" si="17"/>
        <v>0</v>
      </c>
      <c r="K215" s="33"/>
      <c r="L215" s="1"/>
      <c r="M215" s="1"/>
    </row>
    <row r="216" spans="1:13" hidden="1">
      <c r="A216" s="258"/>
      <c r="B216" s="13" t="s">
        <v>65</v>
      </c>
      <c r="C216" s="13" t="s">
        <v>181</v>
      </c>
      <c r="D216" s="13" t="s">
        <v>543</v>
      </c>
      <c r="E216" s="13" t="s">
        <v>424</v>
      </c>
      <c r="F216" s="32">
        <v>2</v>
      </c>
      <c r="G216" s="32" t="s">
        <v>561</v>
      </c>
      <c r="H216" s="32">
        <f t="shared" si="21"/>
        <v>0</v>
      </c>
      <c r="I216" s="72"/>
      <c r="J216" s="72">
        <f t="shared" si="17"/>
        <v>0</v>
      </c>
      <c r="K216" s="33"/>
      <c r="L216" s="1"/>
      <c r="M216" s="1"/>
    </row>
    <row r="217" spans="1:13" hidden="1">
      <c r="A217" s="258"/>
      <c r="B217" s="13" t="s">
        <v>65</v>
      </c>
      <c r="C217" s="13" t="s">
        <v>181</v>
      </c>
      <c r="D217" s="13" t="s">
        <v>544</v>
      </c>
      <c r="E217" s="13" t="s">
        <v>420</v>
      </c>
      <c r="F217" s="32">
        <v>2</v>
      </c>
      <c r="G217" s="32" t="s">
        <v>561</v>
      </c>
      <c r="H217" s="32">
        <f t="shared" si="21"/>
        <v>0</v>
      </c>
      <c r="I217" s="72"/>
      <c r="J217" s="72">
        <f t="shared" si="17"/>
        <v>0</v>
      </c>
      <c r="K217" s="33"/>
      <c r="L217" s="1"/>
      <c r="M217" s="1"/>
    </row>
    <row r="218" spans="1:13" hidden="1">
      <c r="A218" s="258"/>
      <c r="B218" s="13" t="s">
        <v>65</v>
      </c>
      <c r="C218" s="13" t="s">
        <v>181</v>
      </c>
      <c r="D218" s="13" t="s">
        <v>553</v>
      </c>
      <c r="E218" s="13" t="s">
        <v>425</v>
      </c>
      <c r="F218" s="32">
        <v>2</v>
      </c>
      <c r="G218" s="32" t="s">
        <v>561</v>
      </c>
      <c r="H218" s="32">
        <f t="shared" si="21"/>
        <v>0</v>
      </c>
      <c r="I218" s="72"/>
      <c r="J218" s="72">
        <f t="shared" si="17"/>
        <v>0</v>
      </c>
      <c r="K218" s="33"/>
      <c r="L218" s="1"/>
      <c r="M218" s="1"/>
    </row>
    <row r="219" spans="1:13" hidden="1">
      <c r="A219" s="258"/>
      <c r="B219" s="13" t="s">
        <v>65</v>
      </c>
      <c r="C219" s="13" t="s">
        <v>181</v>
      </c>
      <c r="D219" s="13" t="s">
        <v>537</v>
      </c>
      <c r="E219" s="13" t="s">
        <v>427</v>
      </c>
      <c r="F219" s="32">
        <v>1</v>
      </c>
      <c r="G219" s="32" t="s">
        <v>562</v>
      </c>
      <c r="H219" s="32">
        <f t="shared" si="21"/>
        <v>0</v>
      </c>
      <c r="I219" s="72"/>
      <c r="J219" s="72">
        <f t="shared" si="17"/>
        <v>0</v>
      </c>
      <c r="K219" s="33"/>
      <c r="L219" s="1"/>
      <c r="M219" s="1"/>
    </row>
    <row r="220" spans="1:13" hidden="1">
      <c r="A220" s="258"/>
      <c r="B220" s="34" t="s">
        <v>65</v>
      </c>
      <c r="C220" s="34" t="s">
        <v>181</v>
      </c>
      <c r="D220" s="34" t="s">
        <v>540</v>
      </c>
      <c r="E220" s="34" t="s">
        <v>429</v>
      </c>
      <c r="F220" s="32">
        <v>1</v>
      </c>
      <c r="G220" s="32" t="s">
        <v>568</v>
      </c>
      <c r="H220" s="32">
        <f t="shared" si="21"/>
        <v>0</v>
      </c>
      <c r="I220" s="72"/>
      <c r="J220" s="72">
        <f t="shared" si="17"/>
        <v>0</v>
      </c>
      <c r="K220" s="33"/>
      <c r="L220" s="1"/>
      <c r="M220" s="1"/>
    </row>
    <row r="221" spans="1:13" hidden="1">
      <c r="A221" s="258"/>
      <c r="B221" s="13" t="s">
        <v>65</v>
      </c>
      <c r="C221" s="13" t="s">
        <v>181</v>
      </c>
      <c r="D221" s="13" t="s">
        <v>432</v>
      </c>
      <c r="E221" s="13" t="s">
        <v>430</v>
      </c>
      <c r="F221" s="32">
        <v>1</v>
      </c>
      <c r="G221" s="32" t="s">
        <v>561</v>
      </c>
      <c r="H221" s="32">
        <f t="shared" si="21"/>
        <v>0</v>
      </c>
      <c r="I221" s="76"/>
      <c r="J221" s="76">
        <f t="shared" si="17"/>
        <v>0</v>
      </c>
      <c r="K221" s="33"/>
      <c r="L221" s="1"/>
      <c r="M221" s="1"/>
    </row>
    <row r="222" spans="1:13" hidden="1">
      <c r="A222" s="258"/>
      <c r="B222" s="13" t="s">
        <v>65</v>
      </c>
      <c r="C222" s="13" t="s">
        <v>181</v>
      </c>
      <c r="D222" s="13" t="s">
        <v>436</v>
      </c>
      <c r="E222" s="13" t="s">
        <v>434</v>
      </c>
      <c r="F222" s="32">
        <v>1</v>
      </c>
      <c r="G222" s="32" t="s">
        <v>561</v>
      </c>
      <c r="H222" s="32">
        <f t="shared" si="21"/>
        <v>0</v>
      </c>
      <c r="I222" s="76"/>
      <c r="J222" s="76">
        <f t="shared" si="17"/>
        <v>0</v>
      </c>
      <c r="K222" s="33"/>
      <c r="L222" s="1"/>
      <c r="M222" s="1"/>
    </row>
    <row r="223" spans="1:13" hidden="1">
      <c r="A223" s="258"/>
      <c r="B223" s="13" t="s">
        <v>65</v>
      </c>
      <c r="C223" s="13" t="s">
        <v>181</v>
      </c>
      <c r="D223" s="13" t="s">
        <v>439</v>
      </c>
      <c r="E223" s="13" t="s">
        <v>612</v>
      </c>
      <c r="F223" s="32">
        <v>2</v>
      </c>
      <c r="G223" s="32" t="s">
        <v>561</v>
      </c>
      <c r="H223" s="32">
        <f t="shared" si="21"/>
        <v>0</v>
      </c>
      <c r="I223" s="76"/>
      <c r="J223" s="76">
        <f t="shared" si="17"/>
        <v>0</v>
      </c>
      <c r="K223" s="33"/>
      <c r="L223" s="1"/>
      <c r="M223" s="1"/>
    </row>
    <row r="224" spans="1:13" hidden="1">
      <c r="A224" s="258"/>
      <c r="B224" s="34" t="s">
        <v>65</v>
      </c>
      <c r="C224" s="34" t="s">
        <v>181</v>
      </c>
      <c r="D224" s="34" t="s">
        <v>529</v>
      </c>
      <c r="E224" s="34" t="s">
        <v>530</v>
      </c>
      <c r="F224" s="32">
        <v>1</v>
      </c>
      <c r="G224" s="32" t="s">
        <v>566</v>
      </c>
      <c r="H224" s="32">
        <f t="shared" si="21"/>
        <v>0</v>
      </c>
      <c r="I224" s="72"/>
      <c r="J224" s="72">
        <f t="shared" ref="J224:J287" si="22">H224*I224</f>
        <v>0</v>
      </c>
      <c r="K224" s="33"/>
      <c r="L224" s="1"/>
      <c r="M224" s="1"/>
    </row>
    <row r="225" spans="1:13" hidden="1">
      <c r="A225" s="258"/>
      <c r="B225" s="34" t="s">
        <v>65</v>
      </c>
      <c r="C225" s="34" t="s">
        <v>181</v>
      </c>
      <c r="D225" s="34" t="s">
        <v>531</v>
      </c>
      <c r="E225" s="34" t="s">
        <v>532</v>
      </c>
      <c r="F225" s="32">
        <v>1</v>
      </c>
      <c r="G225" s="32" t="s">
        <v>566</v>
      </c>
      <c r="H225" s="32">
        <f t="shared" si="21"/>
        <v>0</v>
      </c>
      <c r="I225" s="72"/>
      <c r="J225" s="72">
        <f t="shared" si="22"/>
        <v>0</v>
      </c>
      <c r="K225" s="33"/>
      <c r="L225" s="1"/>
      <c r="M225" s="1"/>
    </row>
    <row r="226" spans="1:13" hidden="1">
      <c r="A226" s="258"/>
      <c r="B226" s="34" t="s">
        <v>65</v>
      </c>
      <c r="C226" s="34" t="s">
        <v>181</v>
      </c>
      <c r="D226" s="34" t="s">
        <v>443</v>
      </c>
      <c r="E226" s="34" t="s">
        <v>442</v>
      </c>
      <c r="F226" s="32">
        <v>1</v>
      </c>
      <c r="G226" s="32" t="s">
        <v>570</v>
      </c>
      <c r="H226" s="32">
        <f t="shared" si="21"/>
        <v>0</v>
      </c>
      <c r="I226" s="72"/>
      <c r="J226" s="72">
        <f t="shared" si="22"/>
        <v>0</v>
      </c>
      <c r="K226" s="33"/>
      <c r="L226" s="1"/>
      <c r="M226" s="1"/>
    </row>
    <row r="227" spans="1:13" hidden="1">
      <c r="A227" s="258"/>
      <c r="B227" s="34" t="s">
        <v>65</v>
      </c>
      <c r="C227" s="34" t="s">
        <v>181</v>
      </c>
      <c r="D227" s="34" t="s">
        <v>441</v>
      </c>
      <c r="E227" s="34" t="s">
        <v>440</v>
      </c>
      <c r="F227" s="32">
        <v>1</v>
      </c>
      <c r="G227" s="32" t="s">
        <v>570</v>
      </c>
      <c r="H227" s="32">
        <f t="shared" si="21"/>
        <v>0</v>
      </c>
      <c r="I227" s="72"/>
      <c r="J227" s="72">
        <f t="shared" si="22"/>
        <v>0</v>
      </c>
      <c r="K227" s="33"/>
      <c r="L227" s="1"/>
      <c r="M227" s="1"/>
    </row>
    <row r="228" spans="1:13" hidden="1">
      <c r="A228" s="258"/>
      <c r="B228" s="34" t="s">
        <v>65</v>
      </c>
      <c r="C228" s="34" t="s">
        <v>181</v>
      </c>
      <c r="D228" s="34" t="s">
        <v>546</v>
      </c>
      <c r="E228" s="34" t="s">
        <v>547</v>
      </c>
      <c r="F228" s="32">
        <v>1</v>
      </c>
      <c r="G228" s="32" t="s">
        <v>571</v>
      </c>
      <c r="H228" s="32">
        <f t="shared" si="21"/>
        <v>0</v>
      </c>
      <c r="I228" s="72"/>
      <c r="J228" s="72">
        <f t="shared" si="22"/>
        <v>0</v>
      </c>
      <c r="K228" s="33"/>
      <c r="L228" s="1"/>
      <c r="M228" s="1"/>
    </row>
    <row r="229" spans="1:13" hidden="1">
      <c r="A229" s="258"/>
      <c r="B229" s="34" t="s">
        <v>65</v>
      </c>
      <c r="C229" s="34" t="s">
        <v>181</v>
      </c>
      <c r="D229" s="34" t="s">
        <v>554</v>
      </c>
      <c r="E229" s="34" t="s">
        <v>533</v>
      </c>
      <c r="F229" s="32">
        <v>1</v>
      </c>
      <c r="G229" s="32" t="s">
        <v>571</v>
      </c>
      <c r="H229" s="32">
        <f t="shared" si="21"/>
        <v>0</v>
      </c>
      <c r="I229" s="72"/>
      <c r="J229" s="72">
        <f t="shared" si="22"/>
        <v>0</v>
      </c>
      <c r="K229" s="33"/>
      <c r="L229" s="1"/>
      <c r="M229" s="1"/>
    </row>
    <row r="230" spans="1:13" hidden="1">
      <c r="A230" s="258"/>
      <c r="B230" s="13" t="s">
        <v>65</v>
      </c>
      <c r="C230" s="13" t="s">
        <v>181</v>
      </c>
      <c r="D230" s="13" t="s">
        <v>463</v>
      </c>
      <c r="E230" s="13" t="s">
        <v>522</v>
      </c>
      <c r="F230" s="32">
        <v>2</v>
      </c>
      <c r="G230" s="32" t="s">
        <v>560</v>
      </c>
      <c r="H230" s="32">
        <f t="shared" si="21"/>
        <v>0</v>
      </c>
      <c r="I230" s="72">
        <v>76100</v>
      </c>
      <c r="J230" s="72">
        <f t="shared" si="22"/>
        <v>0</v>
      </c>
      <c r="K230" s="33"/>
      <c r="L230" s="1"/>
      <c r="M230" s="1"/>
    </row>
    <row r="231" spans="1:13" hidden="1">
      <c r="A231" s="258"/>
      <c r="B231" s="13" t="s">
        <v>65</v>
      </c>
      <c r="C231" s="13" t="s">
        <v>181</v>
      </c>
      <c r="D231" s="13" t="s">
        <v>445</v>
      </c>
      <c r="E231" s="13" t="s">
        <v>449</v>
      </c>
      <c r="F231" s="32">
        <v>1</v>
      </c>
      <c r="G231" s="32" t="s">
        <v>235</v>
      </c>
      <c r="H231" s="32">
        <f t="shared" si="21"/>
        <v>0</v>
      </c>
      <c r="I231" s="72"/>
      <c r="J231" s="72">
        <f t="shared" si="22"/>
        <v>0</v>
      </c>
      <c r="K231" s="33"/>
      <c r="L231" s="1"/>
      <c r="M231" s="1"/>
    </row>
    <row r="232" spans="1:13" hidden="1">
      <c r="A232" s="264"/>
      <c r="B232" s="46" t="s">
        <v>632</v>
      </c>
      <c r="C232" s="46" t="s">
        <v>181</v>
      </c>
      <c r="D232" s="46" t="s">
        <v>623</v>
      </c>
      <c r="E232" s="46" t="s">
        <v>625</v>
      </c>
      <c r="F232" s="38">
        <v>1</v>
      </c>
      <c r="G232" s="38"/>
      <c r="H232" s="38"/>
      <c r="I232" s="73"/>
      <c r="J232" s="73"/>
      <c r="K232" s="39"/>
      <c r="L232" s="1"/>
      <c r="M232" s="1"/>
    </row>
    <row r="233" spans="1:13" ht="17.5" hidden="1" thickBot="1">
      <c r="A233" s="297"/>
      <c r="B233" s="46" t="s">
        <v>65</v>
      </c>
      <c r="C233" s="46" t="s">
        <v>181</v>
      </c>
      <c r="D233" s="46" t="s">
        <v>113</v>
      </c>
      <c r="E233" s="46" t="s">
        <v>113</v>
      </c>
      <c r="F233" s="38">
        <v>1</v>
      </c>
      <c r="G233" s="38" t="s">
        <v>240</v>
      </c>
      <c r="H233" s="38">
        <f t="shared" si="21"/>
        <v>0</v>
      </c>
      <c r="I233" s="73"/>
      <c r="J233" s="73">
        <f t="shared" si="22"/>
        <v>0</v>
      </c>
      <c r="K233" s="39"/>
      <c r="L233" s="1"/>
      <c r="M233" s="1"/>
    </row>
    <row r="234" spans="1:13">
      <c r="A234" s="257">
        <v>9</v>
      </c>
      <c r="B234" s="11" t="s">
        <v>65</v>
      </c>
      <c r="C234" s="11" t="s">
        <v>182</v>
      </c>
      <c r="D234" s="11" t="s">
        <v>555</v>
      </c>
      <c r="E234" s="11" t="s">
        <v>381</v>
      </c>
      <c r="F234" s="30">
        <v>1</v>
      </c>
      <c r="G234" s="30" t="s">
        <v>679</v>
      </c>
      <c r="H234" s="32">
        <f t="shared" ref="H234:H248" si="23">$G$12*F234</f>
        <v>1</v>
      </c>
      <c r="I234" s="71">
        <f>158000+56000</f>
        <v>214000</v>
      </c>
      <c r="J234" s="77">
        <f t="shared" si="22"/>
        <v>214000</v>
      </c>
      <c r="K234" s="31" t="s">
        <v>238</v>
      </c>
      <c r="L234" s="59"/>
      <c r="M234" s="59"/>
    </row>
    <row r="235" spans="1:13">
      <c r="A235" s="258"/>
      <c r="B235" s="13" t="s">
        <v>65</v>
      </c>
      <c r="C235" s="13" t="s">
        <v>182</v>
      </c>
      <c r="D235" s="13" t="s">
        <v>383</v>
      </c>
      <c r="E235" s="13" t="s">
        <v>384</v>
      </c>
      <c r="F235" s="32">
        <v>12</v>
      </c>
      <c r="G235" s="32" t="s">
        <v>954</v>
      </c>
      <c r="H235" s="32">
        <f t="shared" si="23"/>
        <v>12</v>
      </c>
      <c r="I235" s="72">
        <v>2470</v>
      </c>
      <c r="J235" s="72">
        <f t="shared" si="22"/>
        <v>29640</v>
      </c>
      <c r="K235" s="33"/>
    </row>
    <row r="236" spans="1:13">
      <c r="A236" s="258"/>
      <c r="B236" s="13" t="s">
        <v>65</v>
      </c>
      <c r="C236" s="13" t="s">
        <v>182</v>
      </c>
      <c r="D236" s="13" t="s">
        <v>403</v>
      </c>
      <c r="E236" s="13" t="s">
        <v>977</v>
      </c>
      <c r="F236" s="32">
        <v>1</v>
      </c>
      <c r="G236" s="13" t="s">
        <v>1733</v>
      </c>
      <c r="H236" s="32">
        <f t="shared" si="23"/>
        <v>1</v>
      </c>
      <c r="I236" s="301">
        <v>32037</v>
      </c>
      <c r="J236" s="298">
        <f t="shared" si="22"/>
        <v>32037</v>
      </c>
      <c r="K236" s="33"/>
      <c r="L236" s="59"/>
      <c r="M236" s="59"/>
    </row>
    <row r="237" spans="1:13">
      <c r="A237" s="258"/>
      <c r="B237" s="13" t="s">
        <v>65</v>
      </c>
      <c r="C237" s="13" t="s">
        <v>182</v>
      </c>
      <c r="D237" s="13" t="s">
        <v>409</v>
      </c>
      <c r="E237" s="13" t="s">
        <v>979</v>
      </c>
      <c r="F237" s="32">
        <v>1</v>
      </c>
      <c r="G237" s="13" t="s">
        <v>1733</v>
      </c>
      <c r="H237" s="32">
        <f t="shared" si="23"/>
        <v>1</v>
      </c>
      <c r="I237" s="302"/>
      <c r="J237" s="299"/>
      <c r="K237" s="33"/>
      <c r="L237" s="59"/>
      <c r="M237" s="59"/>
    </row>
    <row r="238" spans="1:13">
      <c r="A238" s="258"/>
      <c r="B238" s="13" t="s">
        <v>65</v>
      </c>
      <c r="C238" s="13" t="s">
        <v>182</v>
      </c>
      <c r="D238" s="13" t="s">
        <v>406</v>
      </c>
      <c r="E238" s="13" t="s">
        <v>980</v>
      </c>
      <c r="F238" s="32">
        <v>1</v>
      </c>
      <c r="G238" s="13" t="s">
        <v>1733</v>
      </c>
      <c r="H238" s="32">
        <f t="shared" si="23"/>
        <v>1</v>
      </c>
      <c r="I238" s="303"/>
      <c r="J238" s="300"/>
      <c r="K238" s="33"/>
      <c r="L238" s="59"/>
      <c r="M238" s="59"/>
    </row>
    <row r="239" spans="1:13">
      <c r="A239" s="258"/>
      <c r="B239" s="13" t="s">
        <v>65</v>
      </c>
      <c r="C239" s="13" t="s">
        <v>182</v>
      </c>
      <c r="D239" s="13" t="s">
        <v>556</v>
      </c>
      <c r="E239" s="13" t="s">
        <v>401</v>
      </c>
      <c r="F239" s="32">
        <v>1</v>
      </c>
      <c r="G239" s="32" t="s">
        <v>569</v>
      </c>
      <c r="H239" s="32">
        <f t="shared" si="23"/>
        <v>1</v>
      </c>
      <c r="I239" s="72">
        <v>5300</v>
      </c>
      <c r="J239" s="72">
        <f t="shared" si="22"/>
        <v>5300</v>
      </c>
      <c r="K239" s="33"/>
    </row>
    <row r="240" spans="1:13">
      <c r="A240" s="258"/>
      <c r="B240" s="13" t="s">
        <v>65</v>
      </c>
      <c r="C240" s="13" t="s">
        <v>182</v>
      </c>
      <c r="D240" s="13" t="s">
        <v>542</v>
      </c>
      <c r="E240" s="13" t="s">
        <v>983</v>
      </c>
      <c r="F240" s="32">
        <v>2</v>
      </c>
      <c r="G240" s="32" t="s">
        <v>955</v>
      </c>
      <c r="H240" s="32">
        <f t="shared" si="23"/>
        <v>2</v>
      </c>
      <c r="I240" s="72">
        <v>400</v>
      </c>
      <c r="J240" s="72">
        <f t="shared" si="22"/>
        <v>800</v>
      </c>
      <c r="K240" s="33"/>
    </row>
    <row r="241" spans="1:13">
      <c r="A241" s="258"/>
      <c r="B241" s="13" t="s">
        <v>65</v>
      </c>
      <c r="C241" s="13" t="s">
        <v>182</v>
      </c>
      <c r="D241" s="13" t="s">
        <v>543</v>
      </c>
      <c r="E241" s="13" t="s">
        <v>984</v>
      </c>
      <c r="F241" s="32">
        <v>2</v>
      </c>
      <c r="G241" s="32" t="s">
        <v>955</v>
      </c>
      <c r="H241" s="32">
        <f t="shared" si="23"/>
        <v>2</v>
      </c>
      <c r="I241" s="72">
        <v>400</v>
      </c>
      <c r="J241" s="72">
        <f t="shared" si="22"/>
        <v>800</v>
      </c>
      <c r="K241" s="33"/>
    </row>
    <row r="242" spans="1:13">
      <c r="A242" s="258"/>
      <c r="B242" s="13" t="s">
        <v>65</v>
      </c>
      <c r="C242" s="13" t="s">
        <v>182</v>
      </c>
      <c r="D242" s="13" t="s">
        <v>544</v>
      </c>
      <c r="E242" s="13" t="s">
        <v>985</v>
      </c>
      <c r="F242" s="32">
        <v>2</v>
      </c>
      <c r="G242" s="32" t="s">
        <v>955</v>
      </c>
      <c r="H242" s="32">
        <f t="shared" si="23"/>
        <v>2</v>
      </c>
      <c r="I242" s="72">
        <v>400</v>
      </c>
      <c r="J242" s="72">
        <f t="shared" si="22"/>
        <v>800</v>
      </c>
      <c r="K242" s="33"/>
    </row>
    <row r="243" spans="1:13">
      <c r="A243" s="258"/>
      <c r="B243" s="13" t="s">
        <v>65</v>
      </c>
      <c r="C243" s="13" t="s">
        <v>182</v>
      </c>
      <c r="D243" s="13" t="s">
        <v>553</v>
      </c>
      <c r="E243" s="13" t="s">
        <v>425</v>
      </c>
      <c r="F243" s="32">
        <v>2</v>
      </c>
      <c r="G243" s="32" t="s">
        <v>955</v>
      </c>
      <c r="H243" s="32">
        <f t="shared" si="23"/>
        <v>2</v>
      </c>
      <c r="I243" s="72">
        <v>1700</v>
      </c>
      <c r="J243" s="72">
        <f t="shared" si="22"/>
        <v>3400</v>
      </c>
      <c r="K243" s="33"/>
    </row>
    <row r="244" spans="1:13">
      <c r="A244" s="258"/>
      <c r="B244" s="13" t="s">
        <v>65</v>
      </c>
      <c r="C244" s="13" t="s">
        <v>182</v>
      </c>
      <c r="D244" s="13" t="s">
        <v>537</v>
      </c>
      <c r="E244" s="13" t="s">
        <v>427</v>
      </c>
      <c r="F244" s="32">
        <v>1</v>
      </c>
      <c r="G244" s="32" t="s">
        <v>680</v>
      </c>
      <c r="H244" s="32">
        <f t="shared" ref="H244" si="24">$G$4*F244</f>
        <v>1</v>
      </c>
      <c r="I244" s="72">
        <v>8500</v>
      </c>
      <c r="J244" s="72">
        <f t="shared" si="22"/>
        <v>8500</v>
      </c>
      <c r="K244" s="33"/>
    </row>
    <row r="245" spans="1:13">
      <c r="A245" s="258"/>
      <c r="B245" s="13" t="s">
        <v>65</v>
      </c>
      <c r="C245" s="13" t="s">
        <v>182</v>
      </c>
      <c r="D245" s="13" t="s">
        <v>540</v>
      </c>
      <c r="E245" s="13" t="s">
        <v>429</v>
      </c>
      <c r="F245" s="32">
        <v>1</v>
      </c>
      <c r="G245" s="32" t="s">
        <v>957</v>
      </c>
      <c r="H245" s="32">
        <f t="shared" si="23"/>
        <v>1</v>
      </c>
      <c r="I245" s="72">
        <v>4800</v>
      </c>
      <c r="J245" s="72">
        <f t="shared" si="22"/>
        <v>4800</v>
      </c>
      <c r="K245" s="33"/>
    </row>
    <row r="246" spans="1:13">
      <c r="A246" s="258"/>
      <c r="B246" s="13" t="s">
        <v>65</v>
      </c>
      <c r="C246" s="13" t="s">
        <v>182</v>
      </c>
      <c r="D246" s="13" t="s">
        <v>432</v>
      </c>
      <c r="E246" s="13" t="s">
        <v>430</v>
      </c>
      <c r="F246" s="32">
        <v>1</v>
      </c>
      <c r="G246" s="32" t="s">
        <v>955</v>
      </c>
      <c r="H246" s="32">
        <f t="shared" si="23"/>
        <v>1</v>
      </c>
      <c r="I246" s="76">
        <v>4000</v>
      </c>
      <c r="J246" s="76">
        <f t="shared" si="22"/>
        <v>4000</v>
      </c>
      <c r="K246" s="33"/>
      <c r="L246" s="59"/>
      <c r="M246" s="59"/>
    </row>
    <row r="247" spans="1:13">
      <c r="A247" s="258"/>
      <c r="B247" s="13" t="s">
        <v>65</v>
      </c>
      <c r="C247" s="13" t="s">
        <v>182</v>
      </c>
      <c r="D247" s="13" t="s">
        <v>436</v>
      </c>
      <c r="E247" s="13" t="s">
        <v>434</v>
      </c>
      <c r="F247" s="32">
        <v>1</v>
      </c>
      <c r="G247" s="32" t="s">
        <v>955</v>
      </c>
      <c r="H247" s="32">
        <f t="shared" si="23"/>
        <v>1</v>
      </c>
      <c r="I247" s="76">
        <v>4000</v>
      </c>
      <c r="J247" s="76">
        <f t="shared" si="22"/>
        <v>4000</v>
      </c>
      <c r="K247" s="33"/>
      <c r="L247" s="59"/>
      <c r="M247" s="59"/>
    </row>
    <row r="248" spans="1:13">
      <c r="A248" s="258"/>
      <c r="B248" s="13" t="s">
        <v>65</v>
      </c>
      <c r="C248" s="13" t="s">
        <v>182</v>
      </c>
      <c r="D248" s="13" t="s">
        <v>439</v>
      </c>
      <c r="E248" s="13" t="s">
        <v>612</v>
      </c>
      <c r="F248" s="32">
        <v>2</v>
      </c>
      <c r="G248" s="32" t="s">
        <v>955</v>
      </c>
      <c r="H248" s="32">
        <f t="shared" si="23"/>
        <v>2</v>
      </c>
      <c r="I248" s="76">
        <v>8000</v>
      </c>
      <c r="J248" s="76">
        <f t="shared" si="22"/>
        <v>16000</v>
      </c>
      <c r="K248" s="33"/>
      <c r="L248" s="59"/>
      <c r="M248" s="59"/>
    </row>
    <row r="249" spans="1:13">
      <c r="A249" s="258"/>
      <c r="B249" s="13" t="s">
        <v>65</v>
      </c>
      <c r="C249" s="13" t="s">
        <v>182</v>
      </c>
      <c r="D249" s="13" t="s">
        <v>529</v>
      </c>
      <c r="E249" s="13" t="s">
        <v>530</v>
      </c>
      <c r="F249" s="32">
        <v>1</v>
      </c>
      <c r="G249" s="32" t="s">
        <v>681</v>
      </c>
      <c r="H249" s="32">
        <f t="shared" ref="H249:H259" si="25">$G$4*F249</f>
        <v>1</v>
      </c>
      <c r="I249" s="72">
        <v>2520</v>
      </c>
      <c r="J249" s="72">
        <f t="shared" si="22"/>
        <v>2520</v>
      </c>
      <c r="K249" s="33"/>
    </row>
    <row r="250" spans="1:13">
      <c r="A250" s="258"/>
      <c r="B250" s="13" t="s">
        <v>65</v>
      </c>
      <c r="C250" s="13" t="s">
        <v>182</v>
      </c>
      <c r="D250" s="13" t="s">
        <v>531</v>
      </c>
      <c r="E250" s="13" t="s">
        <v>532</v>
      </c>
      <c r="F250" s="32">
        <v>1</v>
      </c>
      <c r="G250" s="32" t="s">
        <v>976</v>
      </c>
      <c r="H250" s="32">
        <f t="shared" si="25"/>
        <v>1</v>
      </c>
      <c r="I250" s="72">
        <v>5500</v>
      </c>
      <c r="J250" s="72">
        <f t="shared" si="22"/>
        <v>5500</v>
      </c>
      <c r="K250" s="33"/>
    </row>
    <row r="251" spans="1:13">
      <c r="A251" s="258"/>
      <c r="B251" s="13" t="s">
        <v>65</v>
      </c>
      <c r="C251" s="13" t="s">
        <v>182</v>
      </c>
      <c r="D251" s="13" t="s">
        <v>443</v>
      </c>
      <c r="E251" s="13" t="s">
        <v>442</v>
      </c>
      <c r="F251" s="32">
        <v>1</v>
      </c>
      <c r="G251" s="32" t="s">
        <v>678</v>
      </c>
      <c r="H251" s="32">
        <f t="shared" si="25"/>
        <v>1</v>
      </c>
      <c r="I251" s="72">
        <v>7000</v>
      </c>
      <c r="J251" s="72">
        <f t="shared" si="22"/>
        <v>7000</v>
      </c>
      <c r="K251" s="33"/>
    </row>
    <row r="252" spans="1:13">
      <c r="A252" s="258"/>
      <c r="B252" s="13" t="s">
        <v>65</v>
      </c>
      <c r="C252" s="13" t="s">
        <v>182</v>
      </c>
      <c r="D252" s="13" t="s">
        <v>441</v>
      </c>
      <c r="E252" s="13" t="s">
        <v>440</v>
      </c>
      <c r="F252" s="32">
        <v>1</v>
      </c>
      <c r="G252" s="32" t="s">
        <v>678</v>
      </c>
      <c r="H252" s="32">
        <f t="shared" si="25"/>
        <v>1</v>
      </c>
      <c r="I252" s="72">
        <v>7000</v>
      </c>
      <c r="J252" s="72">
        <f t="shared" si="22"/>
        <v>7000</v>
      </c>
      <c r="K252" s="33"/>
    </row>
    <row r="253" spans="1:13">
      <c r="A253" s="258"/>
      <c r="B253" s="13" t="s">
        <v>65</v>
      </c>
      <c r="C253" s="13" t="s">
        <v>182</v>
      </c>
      <c r="D253" s="13" t="s">
        <v>546</v>
      </c>
      <c r="E253" s="13" t="s">
        <v>547</v>
      </c>
      <c r="F253" s="32">
        <v>1</v>
      </c>
      <c r="G253" s="32" t="s">
        <v>571</v>
      </c>
      <c r="H253" s="32">
        <f t="shared" si="25"/>
        <v>1</v>
      </c>
      <c r="I253" s="72">
        <v>3200</v>
      </c>
      <c r="J253" s="72">
        <f t="shared" si="22"/>
        <v>3200</v>
      </c>
      <c r="K253" s="33"/>
    </row>
    <row r="254" spans="1:13">
      <c r="A254" s="258"/>
      <c r="B254" s="13" t="s">
        <v>65</v>
      </c>
      <c r="C254" s="13" t="s">
        <v>182</v>
      </c>
      <c r="D254" s="13" t="s">
        <v>554</v>
      </c>
      <c r="E254" s="13" t="s">
        <v>533</v>
      </c>
      <c r="F254" s="32">
        <v>1</v>
      </c>
      <c r="G254" s="32" t="s">
        <v>686</v>
      </c>
      <c r="H254" s="32">
        <f t="shared" si="25"/>
        <v>1</v>
      </c>
      <c r="I254" s="72">
        <v>900</v>
      </c>
      <c r="J254" s="72">
        <f t="shared" si="22"/>
        <v>900</v>
      </c>
      <c r="K254" s="33"/>
    </row>
    <row r="255" spans="1:13">
      <c r="A255" s="258"/>
      <c r="B255" s="13" t="s">
        <v>65</v>
      </c>
      <c r="C255" s="13" t="s">
        <v>182</v>
      </c>
      <c r="D255" s="98" t="s">
        <v>463</v>
      </c>
      <c r="E255" s="98" t="s">
        <v>522</v>
      </c>
      <c r="F255" s="99">
        <v>2</v>
      </c>
      <c r="G255" s="99" t="s">
        <v>560</v>
      </c>
      <c r="H255" s="99">
        <f t="shared" si="25"/>
        <v>2</v>
      </c>
      <c r="I255" s="100">
        <v>99000</v>
      </c>
      <c r="J255" s="100">
        <f t="shared" si="22"/>
        <v>198000</v>
      </c>
      <c r="K255" s="33"/>
    </row>
    <row r="256" spans="1:13">
      <c r="A256" s="258"/>
      <c r="B256" s="13" t="s">
        <v>65</v>
      </c>
      <c r="C256" s="13" t="s">
        <v>182</v>
      </c>
      <c r="D256" s="109" t="s">
        <v>548</v>
      </c>
      <c r="E256" s="109" t="s">
        <v>448</v>
      </c>
      <c r="F256" s="110">
        <v>1</v>
      </c>
      <c r="G256" s="110" t="s">
        <v>235</v>
      </c>
      <c r="H256" s="110">
        <f t="shared" si="25"/>
        <v>1</v>
      </c>
      <c r="I256" s="111">
        <f>(72*2700)+300000</f>
        <v>494400</v>
      </c>
      <c r="J256" s="111">
        <f t="shared" si="22"/>
        <v>494400</v>
      </c>
      <c r="K256" s="33"/>
    </row>
    <row r="257" spans="1:13">
      <c r="A257" s="264"/>
      <c r="B257" s="15" t="s">
        <v>632</v>
      </c>
      <c r="C257" s="15" t="s">
        <v>182</v>
      </c>
      <c r="D257" s="15" t="s">
        <v>623</v>
      </c>
      <c r="E257" s="15" t="s">
        <v>625</v>
      </c>
      <c r="F257" s="38">
        <v>1</v>
      </c>
      <c r="G257" s="38" t="s">
        <v>690</v>
      </c>
      <c r="H257" s="32">
        <f t="shared" si="25"/>
        <v>1</v>
      </c>
      <c r="I257" s="73">
        <f>16000+1800</f>
        <v>17800</v>
      </c>
      <c r="J257" s="72">
        <f t="shared" si="22"/>
        <v>17800</v>
      </c>
      <c r="K257" s="39"/>
    </row>
    <row r="258" spans="1:13" ht="17.5" thickBot="1">
      <c r="A258" s="264"/>
      <c r="B258" s="15" t="s">
        <v>65</v>
      </c>
      <c r="C258" s="15" t="s">
        <v>182</v>
      </c>
      <c r="D258" s="15" t="s">
        <v>1735</v>
      </c>
      <c r="E258" s="13" t="s">
        <v>693</v>
      </c>
      <c r="F258" s="38">
        <v>1</v>
      </c>
      <c r="G258" s="38" t="s">
        <v>1736</v>
      </c>
      <c r="H258" s="38">
        <f t="shared" si="25"/>
        <v>1</v>
      </c>
      <c r="I258" s="73">
        <v>6500</v>
      </c>
      <c r="J258" s="73">
        <f t="shared" si="22"/>
        <v>6500</v>
      </c>
      <c r="K258" s="39"/>
    </row>
    <row r="259" spans="1:13" ht="26" thickBot="1">
      <c r="A259" s="259"/>
      <c r="B259" s="9" t="s">
        <v>65</v>
      </c>
      <c r="C259" s="9" t="s">
        <v>182</v>
      </c>
      <c r="D259" s="9" t="s">
        <v>113</v>
      </c>
      <c r="E259" s="9" t="s">
        <v>113</v>
      </c>
      <c r="F259" s="43">
        <v>1</v>
      </c>
      <c r="G259" s="85" t="s">
        <v>240</v>
      </c>
      <c r="H259" s="85">
        <f t="shared" si="25"/>
        <v>1</v>
      </c>
      <c r="I259" s="86">
        <v>13400</v>
      </c>
      <c r="J259" s="74">
        <f t="shared" si="22"/>
        <v>13400</v>
      </c>
      <c r="K259" s="44"/>
      <c r="L259" s="254">
        <f>SUBTOTAL(9,J233:J284)</f>
        <v>1080297</v>
      </c>
    </row>
    <row r="260" spans="1:13" hidden="1">
      <c r="A260" s="274">
        <v>10</v>
      </c>
      <c r="B260" s="10" t="s">
        <v>65</v>
      </c>
      <c r="C260" s="10" t="s">
        <v>183</v>
      </c>
      <c r="D260" s="10" t="s">
        <v>555</v>
      </c>
      <c r="E260" s="10" t="s">
        <v>381</v>
      </c>
      <c r="F260" s="5">
        <v>1</v>
      </c>
      <c r="G260" s="5" t="s">
        <v>250</v>
      </c>
      <c r="H260" s="5">
        <f>$G$13*F260</f>
        <v>0</v>
      </c>
      <c r="I260" s="75"/>
      <c r="J260" s="75">
        <f t="shared" si="22"/>
        <v>0</v>
      </c>
      <c r="K260" s="40" t="s">
        <v>238</v>
      </c>
      <c r="L260" s="1"/>
      <c r="M260" s="1"/>
    </row>
    <row r="261" spans="1:13" hidden="1">
      <c r="A261" s="258"/>
      <c r="B261" s="34" t="s">
        <v>65</v>
      </c>
      <c r="C261" s="34" t="s">
        <v>183</v>
      </c>
      <c r="D261" s="34" t="s">
        <v>383</v>
      </c>
      <c r="E261" s="34" t="s">
        <v>384</v>
      </c>
      <c r="F261" s="32">
        <v>12</v>
      </c>
      <c r="G261" s="32" t="s">
        <v>954</v>
      </c>
      <c r="H261" s="32">
        <f t="shared" ref="H261:H284" si="26">$G$13*F261</f>
        <v>0</v>
      </c>
      <c r="I261" s="72"/>
      <c r="J261" s="72">
        <f t="shared" si="22"/>
        <v>0</v>
      </c>
      <c r="K261" s="33"/>
      <c r="L261" s="1"/>
      <c r="M261" s="1"/>
    </row>
    <row r="262" spans="1:13" hidden="1">
      <c r="A262" s="258"/>
      <c r="B262" s="13" t="s">
        <v>65</v>
      </c>
      <c r="C262" s="13" t="s">
        <v>183</v>
      </c>
      <c r="D262" s="13" t="s">
        <v>403</v>
      </c>
      <c r="E262" s="13" t="s">
        <v>412</v>
      </c>
      <c r="F262" s="32">
        <v>1</v>
      </c>
      <c r="G262" s="32" t="s">
        <v>567</v>
      </c>
      <c r="H262" s="32">
        <f t="shared" si="26"/>
        <v>0</v>
      </c>
      <c r="I262" s="76"/>
      <c r="J262" s="76">
        <f t="shared" si="22"/>
        <v>0</v>
      </c>
      <c r="K262" s="33"/>
      <c r="L262" s="1"/>
      <c r="M262" s="1"/>
    </row>
    <row r="263" spans="1:13" hidden="1">
      <c r="A263" s="258"/>
      <c r="B263" s="13" t="s">
        <v>65</v>
      </c>
      <c r="C263" s="13" t="s">
        <v>183</v>
      </c>
      <c r="D263" s="13" t="s">
        <v>409</v>
      </c>
      <c r="E263" s="13" t="s">
        <v>415</v>
      </c>
      <c r="F263" s="32">
        <v>1</v>
      </c>
      <c r="G263" s="32" t="s">
        <v>567</v>
      </c>
      <c r="H263" s="32">
        <f t="shared" si="26"/>
        <v>0</v>
      </c>
      <c r="I263" s="76"/>
      <c r="J263" s="76">
        <f t="shared" si="22"/>
        <v>0</v>
      </c>
      <c r="K263" s="33"/>
      <c r="L263" s="1"/>
      <c r="M263" s="1"/>
    </row>
    <row r="264" spans="1:13" hidden="1">
      <c r="A264" s="258"/>
      <c r="B264" s="13" t="s">
        <v>65</v>
      </c>
      <c r="C264" s="13" t="s">
        <v>183</v>
      </c>
      <c r="D264" s="13" t="s">
        <v>406</v>
      </c>
      <c r="E264" s="13" t="s">
        <v>418</v>
      </c>
      <c r="F264" s="32">
        <v>1</v>
      </c>
      <c r="G264" s="32" t="s">
        <v>567</v>
      </c>
      <c r="H264" s="32">
        <f t="shared" si="26"/>
        <v>0</v>
      </c>
      <c r="I264" s="76"/>
      <c r="J264" s="76">
        <f t="shared" si="22"/>
        <v>0</v>
      </c>
      <c r="K264" s="33"/>
      <c r="L264" s="1"/>
      <c r="M264" s="1"/>
    </row>
    <row r="265" spans="1:13" hidden="1">
      <c r="A265" s="258"/>
      <c r="B265" s="13" t="s">
        <v>65</v>
      </c>
      <c r="C265" s="13" t="s">
        <v>183</v>
      </c>
      <c r="D265" s="13" t="s">
        <v>556</v>
      </c>
      <c r="E265" s="13" t="s">
        <v>401</v>
      </c>
      <c r="F265" s="32">
        <v>1</v>
      </c>
      <c r="G265" s="32" t="s">
        <v>569</v>
      </c>
      <c r="H265" s="32">
        <f t="shared" si="26"/>
        <v>0</v>
      </c>
      <c r="I265" s="72"/>
      <c r="J265" s="72">
        <f t="shared" si="22"/>
        <v>0</v>
      </c>
      <c r="K265" s="33"/>
      <c r="L265" s="1"/>
      <c r="M265" s="1"/>
    </row>
    <row r="266" spans="1:13" hidden="1">
      <c r="A266" s="258"/>
      <c r="B266" s="13" t="s">
        <v>65</v>
      </c>
      <c r="C266" s="13" t="s">
        <v>183</v>
      </c>
      <c r="D266" s="13" t="s">
        <v>542</v>
      </c>
      <c r="E266" s="13" t="s">
        <v>422</v>
      </c>
      <c r="F266" s="32">
        <v>2</v>
      </c>
      <c r="G266" s="32" t="s">
        <v>561</v>
      </c>
      <c r="H266" s="32">
        <f t="shared" si="26"/>
        <v>0</v>
      </c>
      <c r="I266" s="72"/>
      <c r="J266" s="72">
        <f t="shared" si="22"/>
        <v>0</v>
      </c>
      <c r="K266" s="33"/>
      <c r="L266" s="1"/>
      <c r="M266" s="1"/>
    </row>
    <row r="267" spans="1:13" hidden="1">
      <c r="A267" s="258"/>
      <c r="B267" s="13" t="s">
        <v>65</v>
      </c>
      <c r="C267" s="13" t="s">
        <v>183</v>
      </c>
      <c r="D267" s="13" t="s">
        <v>543</v>
      </c>
      <c r="E267" s="13" t="s">
        <v>424</v>
      </c>
      <c r="F267" s="32">
        <v>2</v>
      </c>
      <c r="G267" s="32" t="s">
        <v>561</v>
      </c>
      <c r="H267" s="32">
        <f t="shared" si="26"/>
        <v>0</v>
      </c>
      <c r="I267" s="72"/>
      <c r="J267" s="72">
        <f t="shared" si="22"/>
        <v>0</v>
      </c>
      <c r="K267" s="33"/>
      <c r="L267" s="1"/>
      <c r="M267" s="1"/>
    </row>
    <row r="268" spans="1:13" hidden="1">
      <c r="A268" s="258"/>
      <c r="B268" s="13" t="s">
        <v>65</v>
      </c>
      <c r="C268" s="13" t="s">
        <v>183</v>
      </c>
      <c r="D268" s="13" t="s">
        <v>544</v>
      </c>
      <c r="E268" s="13" t="s">
        <v>420</v>
      </c>
      <c r="F268" s="32">
        <v>2</v>
      </c>
      <c r="G268" s="32" t="s">
        <v>561</v>
      </c>
      <c r="H268" s="32">
        <f t="shared" si="26"/>
        <v>0</v>
      </c>
      <c r="I268" s="72"/>
      <c r="J268" s="72">
        <f t="shared" si="22"/>
        <v>0</v>
      </c>
      <c r="K268" s="33"/>
      <c r="L268" s="1"/>
      <c r="M268" s="1"/>
    </row>
    <row r="269" spans="1:13" hidden="1">
      <c r="A269" s="258"/>
      <c r="B269" s="13" t="s">
        <v>65</v>
      </c>
      <c r="C269" s="13" t="s">
        <v>183</v>
      </c>
      <c r="D269" s="13" t="s">
        <v>553</v>
      </c>
      <c r="E269" s="13" t="s">
        <v>425</v>
      </c>
      <c r="F269" s="32">
        <v>2</v>
      </c>
      <c r="G269" s="32" t="s">
        <v>561</v>
      </c>
      <c r="H269" s="32">
        <f t="shared" si="26"/>
        <v>0</v>
      </c>
      <c r="I269" s="72"/>
      <c r="J269" s="72">
        <f t="shared" si="22"/>
        <v>0</v>
      </c>
      <c r="K269" s="33"/>
      <c r="L269" s="1"/>
      <c r="M269" s="1"/>
    </row>
    <row r="270" spans="1:13" hidden="1">
      <c r="A270" s="258"/>
      <c r="B270" s="13" t="s">
        <v>65</v>
      </c>
      <c r="C270" s="13" t="s">
        <v>183</v>
      </c>
      <c r="D270" s="13" t="s">
        <v>537</v>
      </c>
      <c r="E270" s="13" t="s">
        <v>427</v>
      </c>
      <c r="F270" s="32">
        <v>1</v>
      </c>
      <c r="G270" s="32" t="s">
        <v>562</v>
      </c>
      <c r="H270" s="32">
        <f t="shared" si="26"/>
        <v>0</v>
      </c>
      <c r="I270" s="72"/>
      <c r="J270" s="72">
        <f t="shared" si="22"/>
        <v>0</v>
      </c>
      <c r="K270" s="33"/>
      <c r="L270" s="1"/>
      <c r="M270" s="1"/>
    </row>
    <row r="271" spans="1:13" hidden="1">
      <c r="A271" s="258"/>
      <c r="B271" s="34" t="s">
        <v>65</v>
      </c>
      <c r="C271" s="34" t="s">
        <v>183</v>
      </c>
      <c r="D271" s="34" t="s">
        <v>540</v>
      </c>
      <c r="E271" s="34" t="s">
        <v>429</v>
      </c>
      <c r="F271" s="32">
        <v>1</v>
      </c>
      <c r="G271" s="32" t="s">
        <v>568</v>
      </c>
      <c r="H271" s="32">
        <f t="shared" si="26"/>
        <v>0</v>
      </c>
      <c r="I271" s="72"/>
      <c r="J271" s="72">
        <f t="shared" si="22"/>
        <v>0</v>
      </c>
      <c r="K271" s="33"/>
      <c r="L271" s="1"/>
      <c r="M271" s="1"/>
    </row>
    <row r="272" spans="1:13" hidden="1">
      <c r="A272" s="258"/>
      <c r="B272" s="13" t="s">
        <v>65</v>
      </c>
      <c r="C272" s="13" t="s">
        <v>183</v>
      </c>
      <c r="D272" s="13" t="s">
        <v>432</v>
      </c>
      <c r="E272" s="13" t="s">
        <v>430</v>
      </c>
      <c r="F272" s="32">
        <v>1</v>
      </c>
      <c r="G272" s="32" t="s">
        <v>561</v>
      </c>
      <c r="H272" s="32">
        <f t="shared" si="26"/>
        <v>0</v>
      </c>
      <c r="I272" s="76"/>
      <c r="J272" s="76">
        <f t="shared" si="22"/>
        <v>0</v>
      </c>
      <c r="K272" s="33"/>
      <c r="L272" s="1"/>
      <c r="M272" s="1"/>
    </row>
    <row r="273" spans="1:13" hidden="1">
      <c r="A273" s="258"/>
      <c r="B273" s="13" t="s">
        <v>65</v>
      </c>
      <c r="C273" s="13" t="s">
        <v>183</v>
      </c>
      <c r="D273" s="13" t="s">
        <v>436</v>
      </c>
      <c r="E273" s="13" t="s">
        <v>434</v>
      </c>
      <c r="F273" s="32">
        <v>1</v>
      </c>
      <c r="G273" s="32" t="s">
        <v>561</v>
      </c>
      <c r="H273" s="32">
        <f t="shared" si="26"/>
        <v>0</v>
      </c>
      <c r="I273" s="76"/>
      <c r="J273" s="76">
        <f t="shared" si="22"/>
        <v>0</v>
      </c>
      <c r="K273" s="33"/>
      <c r="L273" s="1"/>
      <c r="M273" s="1"/>
    </row>
    <row r="274" spans="1:13" hidden="1">
      <c r="A274" s="258"/>
      <c r="B274" s="13" t="s">
        <v>65</v>
      </c>
      <c r="C274" s="13" t="s">
        <v>183</v>
      </c>
      <c r="D274" s="13" t="s">
        <v>439</v>
      </c>
      <c r="E274" s="13" t="s">
        <v>612</v>
      </c>
      <c r="F274" s="32">
        <v>2</v>
      </c>
      <c r="G274" s="32" t="s">
        <v>561</v>
      </c>
      <c r="H274" s="32">
        <f t="shared" si="26"/>
        <v>0</v>
      </c>
      <c r="I274" s="76"/>
      <c r="J274" s="76">
        <f t="shared" si="22"/>
        <v>0</v>
      </c>
      <c r="K274" s="33"/>
      <c r="L274" s="1"/>
      <c r="M274" s="1"/>
    </row>
    <row r="275" spans="1:13" hidden="1">
      <c r="A275" s="258"/>
      <c r="B275" s="34" t="s">
        <v>65</v>
      </c>
      <c r="C275" s="34" t="s">
        <v>183</v>
      </c>
      <c r="D275" s="34" t="s">
        <v>529</v>
      </c>
      <c r="E275" s="34" t="s">
        <v>530</v>
      </c>
      <c r="F275" s="32">
        <v>1</v>
      </c>
      <c r="G275" s="32" t="s">
        <v>566</v>
      </c>
      <c r="H275" s="32">
        <f t="shared" si="26"/>
        <v>0</v>
      </c>
      <c r="I275" s="72"/>
      <c r="J275" s="72">
        <f t="shared" si="22"/>
        <v>0</v>
      </c>
      <c r="K275" s="33"/>
      <c r="L275" s="1"/>
      <c r="M275" s="1"/>
    </row>
    <row r="276" spans="1:13" hidden="1">
      <c r="A276" s="258"/>
      <c r="B276" s="34" t="s">
        <v>65</v>
      </c>
      <c r="C276" s="34" t="s">
        <v>183</v>
      </c>
      <c r="D276" s="34" t="s">
        <v>531</v>
      </c>
      <c r="E276" s="34" t="s">
        <v>532</v>
      </c>
      <c r="F276" s="32">
        <v>1</v>
      </c>
      <c r="G276" s="32" t="s">
        <v>566</v>
      </c>
      <c r="H276" s="32">
        <f t="shared" si="26"/>
        <v>0</v>
      </c>
      <c r="I276" s="72"/>
      <c r="J276" s="72">
        <f t="shared" si="22"/>
        <v>0</v>
      </c>
      <c r="K276" s="33"/>
      <c r="L276" s="1"/>
      <c r="M276" s="1"/>
    </row>
    <row r="277" spans="1:13" hidden="1">
      <c r="A277" s="258"/>
      <c r="B277" s="34" t="s">
        <v>65</v>
      </c>
      <c r="C277" s="34" t="s">
        <v>183</v>
      </c>
      <c r="D277" s="34" t="s">
        <v>443</v>
      </c>
      <c r="E277" s="34" t="s">
        <v>442</v>
      </c>
      <c r="F277" s="32">
        <v>1</v>
      </c>
      <c r="G277" s="32" t="s">
        <v>570</v>
      </c>
      <c r="H277" s="32">
        <f t="shared" si="26"/>
        <v>0</v>
      </c>
      <c r="I277" s="72"/>
      <c r="J277" s="72">
        <f t="shared" si="22"/>
        <v>0</v>
      </c>
      <c r="K277" s="33"/>
      <c r="L277" s="1"/>
      <c r="M277" s="1"/>
    </row>
    <row r="278" spans="1:13" hidden="1">
      <c r="A278" s="258"/>
      <c r="B278" s="34" t="s">
        <v>65</v>
      </c>
      <c r="C278" s="34" t="s">
        <v>183</v>
      </c>
      <c r="D278" s="34" t="s">
        <v>441</v>
      </c>
      <c r="E278" s="34" t="s">
        <v>440</v>
      </c>
      <c r="F278" s="32">
        <v>1</v>
      </c>
      <c r="G278" s="32" t="s">
        <v>570</v>
      </c>
      <c r="H278" s="32">
        <f t="shared" si="26"/>
        <v>0</v>
      </c>
      <c r="I278" s="72"/>
      <c r="J278" s="72">
        <f t="shared" si="22"/>
        <v>0</v>
      </c>
      <c r="K278" s="33"/>
      <c r="L278" s="1"/>
      <c r="M278" s="1"/>
    </row>
    <row r="279" spans="1:13" hidden="1">
      <c r="A279" s="258"/>
      <c r="B279" s="34" t="s">
        <v>65</v>
      </c>
      <c r="C279" s="34" t="s">
        <v>183</v>
      </c>
      <c r="D279" s="34" t="s">
        <v>546</v>
      </c>
      <c r="E279" s="34" t="s">
        <v>547</v>
      </c>
      <c r="F279" s="32">
        <v>1</v>
      </c>
      <c r="G279" s="32" t="s">
        <v>571</v>
      </c>
      <c r="H279" s="32">
        <f t="shared" si="26"/>
        <v>0</v>
      </c>
      <c r="I279" s="72"/>
      <c r="J279" s="72">
        <f t="shared" si="22"/>
        <v>0</v>
      </c>
      <c r="K279" s="33"/>
      <c r="L279" s="1"/>
      <c r="M279" s="1"/>
    </row>
    <row r="280" spans="1:13" hidden="1">
      <c r="A280" s="258"/>
      <c r="B280" s="34" t="s">
        <v>65</v>
      </c>
      <c r="C280" s="34" t="s">
        <v>183</v>
      </c>
      <c r="D280" s="34" t="s">
        <v>554</v>
      </c>
      <c r="E280" s="34" t="s">
        <v>533</v>
      </c>
      <c r="F280" s="32">
        <v>1</v>
      </c>
      <c r="G280" s="32" t="s">
        <v>571</v>
      </c>
      <c r="H280" s="32">
        <f t="shared" si="26"/>
        <v>0</v>
      </c>
      <c r="I280" s="72"/>
      <c r="J280" s="72">
        <f t="shared" si="22"/>
        <v>0</v>
      </c>
      <c r="K280" s="33"/>
      <c r="L280" s="1"/>
      <c r="M280" s="1"/>
    </row>
    <row r="281" spans="1:13" hidden="1">
      <c r="A281" s="258"/>
      <c r="B281" s="13" t="s">
        <v>65</v>
      </c>
      <c r="C281" s="13" t="s">
        <v>183</v>
      </c>
      <c r="D281" s="13" t="s">
        <v>463</v>
      </c>
      <c r="E281" s="13" t="s">
        <v>522</v>
      </c>
      <c r="F281" s="32">
        <v>2</v>
      </c>
      <c r="G281" s="32" t="s">
        <v>560</v>
      </c>
      <c r="H281" s="32">
        <f t="shared" si="26"/>
        <v>0</v>
      </c>
      <c r="I281" s="72">
        <v>76100</v>
      </c>
      <c r="J281" s="72">
        <f t="shared" si="22"/>
        <v>0</v>
      </c>
      <c r="K281" s="33"/>
      <c r="L281" s="1"/>
      <c r="M281" s="1"/>
    </row>
    <row r="282" spans="1:13" hidden="1">
      <c r="A282" s="258"/>
      <c r="B282" s="13" t="s">
        <v>65</v>
      </c>
      <c r="C282" s="13" t="s">
        <v>183</v>
      </c>
      <c r="D282" s="13" t="s">
        <v>445</v>
      </c>
      <c r="E282" s="13" t="s">
        <v>449</v>
      </c>
      <c r="F282" s="32">
        <v>1</v>
      </c>
      <c r="G282" s="32" t="s">
        <v>235</v>
      </c>
      <c r="H282" s="32">
        <f t="shared" si="26"/>
        <v>0</v>
      </c>
      <c r="I282" s="72"/>
      <c r="J282" s="72">
        <f t="shared" si="22"/>
        <v>0</v>
      </c>
      <c r="K282" s="33"/>
      <c r="L282" s="1"/>
      <c r="M282" s="1"/>
    </row>
    <row r="283" spans="1:13" hidden="1">
      <c r="A283" s="264"/>
      <c r="B283" s="46" t="s">
        <v>632</v>
      </c>
      <c r="C283" s="46" t="s">
        <v>183</v>
      </c>
      <c r="D283" s="46" t="s">
        <v>623</v>
      </c>
      <c r="E283" s="46" t="s">
        <v>625</v>
      </c>
      <c r="F283" s="38">
        <v>1</v>
      </c>
      <c r="G283" s="38"/>
      <c r="H283" s="38"/>
      <c r="I283" s="73"/>
      <c r="J283" s="73"/>
      <c r="K283" s="39"/>
      <c r="L283" s="1"/>
      <c r="M283" s="1"/>
    </row>
    <row r="284" spans="1:13" ht="17.5" hidden="1" thickBot="1">
      <c r="A284" s="297"/>
      <c r="B284" s="46" t="s">
        <v>65</v>
      </c>
      <c r="C284" s="46" t="s">
        <v>183</v>
      </c>
      <c r="D284" s="46" t="s">
        <v>113</v>
      </c>
      <c r="E284" s="46" t="s">
        <v>113</v>
      </c>
      <c r="F284" s="38">
        <v>1</v>
      </c>
      <c r="G284" s="38" t="s">
        <v>240</v>
      </c>
      <c r="H284" s="38">
        <f t="shared" si="26"/>
        <v>0</v>
      </c>
      <c r="I284" s="73"/>
      <c r="J284" s="73">
        <f t="shared" si="22"/>
        <v>0</v>
      </c>
      <c r="K284" s="39"/>
      <c r="L284" s="1"/>
      <c r="M284" s="1"/>
    </row>
    <row r="285" spans="1:13">
      <c r="A285" s="257">
        <v>11</v>
      </c>
      <c r="B285" s="11" t="s">
        <v>65</v>
      </c>
      <c r="C285" s="11" t="s">
        <v>184</v>
      </c>
      <c r="D285" s="11" t="s">
        <v>555</v>
      </c>
      <c r="E285" s="11" t="s">
        <v>381</v>
      </c>
      <c r="F285" s="30">
        <v>1</v>
      </c>
      <c r="G285" s="30" t="s">
        <v>679</v>
      </c>
      <c r="H285" s="30">
        <f t="shared" ref="H285:H300" si="27">$G$14*F285</f>
        <v>1</v>
      </c>
      <c r="I285" s="71">
        <f>158000+56000</f>
        <v>214000</v>
      </c>
      <c r="J285" s="77">
        <f t="shared" si="22"/>
        <v>214000</v>
      </c>
      <c r="K285" s="31" t="s">
        <v>238</v>
      </c>
      <c r="L285" s="59"/>
      <c r="M285" s="59"/>
    </row>
    <row r="286" spans="1:13">
      <c r="A286" s="258"/>
      <c r="B286" s="13" t="s">
        <v>65</v>
      </c>
      <c r="C286" s="13" t="s">
        <v>184</v>
      </c>
      <c r="D286" s="13" t="s">
        <v>383</v>
      </c>
      <c r="E286" s="13" t="s">
        <v>384</v>
      </c>
      <c r="F286" s="32">
        <v>12</v>
      </c>
      <c r="G286" s="32" t="s">
        <v>954</v>
      </c>
      <c r="H286" s="32">
        <f t="shared" si="27"/>
        <v>12</v>
      </c>
      <c r="I286" s="72">
        <v>2470</v>
      </c>
      <c r="J286" s="72">
        <f t="shared" si="22"/>
        <v>29640</v>
      </c>
      <c r="K286" s="33"/>
    </row>
    <row r="287" spans="1:13">
      <c r="A287" s="258"/>
      <c r="B287" s="13" t="s">
        <v>65</v>
      </c>
      <c r="C287" s="13" t="s">
        <v>184</v>
      </c>
      <c r="D287" s="13" t="s">
        <v>403</v>
      </c>
      <c r="E287" s="13" t="s">
        <v>977</v>
      </c>
      <c r="F287" s="32">
        <v>1</v>
      </c>
      <c r="G287" s="13" t="s">
        <v>1733</v>
      </c>
      <c r="H287" s="32">
        <f t="shared" si="27"/>
        <v>1</v>
      </c>
      <c r="I287" s="301">
        <v>32037</v>
      </c>
      <c r="J287" s="298">
        <f t="shared" si="22"/>
        <v>32037</v>
      </c>
      <c r="K287" s="33"/>
      <c r="L287" s="59"/>
      <c r="M287" s="59"/>
    </row>
    <row r="288" spans="1:13">
      <c r="A288" s="258"/>
      <c r="B288" s="13" t="s">
        <v>65</v>
      </c>
      <c r="C288" s="13" t="s">
        <v>184</v>
      </c>
      <c r="D288" s="13" t="s">
        <v>409</v>
      </c>
      <c r="E288" s="13" t="s">
        <v>979</v>
      </c>
      <c r="F288" s="32">
        <v>1</v>
      </c>
      <c r="G288" s="13" t="s">
        <v>1733</v>
      </c>
      <c r="H288" s="32">
        <f t="shared" si="27"/>
        <v>1</v>
      </c>
      <c r="I288" s="302"/>
      <c r="J288" s="299"/>
      <c r="K288" s="33"/>
      <c r="L288" s="59"/>
      <c r="M288" s="59"/>
    </row>
    <row r="289" spans="1:13">
      <c r="A289" s="258"/>
      <c r="B289" s="13" t="s">
        <v>65</v>
      </c>
      <c r="C289" s="13" t="s">
        <v>184</v>
      </c>
      <c r="D289" s="13" t="s">
        <v>406</v>
      </c>
      <c r="E289" s="13" t="s">
        <v>980</v>
      </c>
      <c r="F289" s="32">
        <v>1</v>
      </c>
      <c r="G289" s="13" t="s">
        <v>1733</v>
      </c>
      <c r="H289" s="32">
        <f t="shared" si="27"/>
        <v>1</v>
      </c>
      <c r="I289" s="303"/>
      <c r="J289" s="300"/>
      <c r="K289" s="33"/>
      <c r="L289" s="59"/>
      <c r="M289" s="59"/>
    </row>
    <row r="290" spans="1:13">
      <c r="A290" s="258"/>
      <c r="B290" s="13" t="s">
        <v>65</v>
      </c>
      <c r="C290" s="13" t="s">
        <v>184</v>
      </c>
      <c r="D290" s="13" t="s">
        <v>486</v>
      </c>
      <c r="E290" s="13" t="s">
        <v>386</v>
      </c>
      <c r="F290" s="32">
        <v>1</v>
      </c>
      <c r="G290" s="32" t="s">
        <v>569</v>
      </c>
      <c r="H290" s="32">
        <f t="shared" si="27"/>
        <v>1</v>
      </c>
      <c r="I290" s="72">
        <v>5000</v>
      </c>
      <c r="J290" s="76">
        <f t="shared" ref="J290:J353" si="28">H290*I290</f>
        <v>5000</v>
      </c>
      <c r="K290" s="33"/>
      <c r="L290" s="59"/>
      <c r="M290" s="59"/>
    </row>
    <row r="291" spans="1:13">
      <c r="A291" s="258"/>
      <c r="B291" s="13" t="s">
        <v>65</v>
      </c>
      <c r="C291" s="13" t="s">
        <v>184</v>
      </c>
      <c r="D291" s="13" t="s">
        <v>525</v>
      </c>
      <c r="E291" s="13" t="s">
        <v>523</v>
      </c>
      <c r="F291" s="32">
        <v>12</v>
      </c>
      <c r="G291" s="32" t="s">
        <v>731</v>
      </c>
      <c r="H291" s="32">
        <f t="shared" ref="H291" si="29">$G$8*F291</f>
        <v>12</v>
      </c>
      <c r="I291" s="72">
        <v>2600</v>
      </c>
      <c r="J291" s="72">
        <f t="shared" si="28"/>
        <v>31200</v>
      </c>
      <c r="K291" s="33"/>
    </row>
    <row r="292" spans="1:13">
      <c r="A292" s="258"/>
      <c r="B292" s="13" t="s">
        <v>65</v>
      </c>
      <c r="C292" s="13" t="s">
        <v>184</v>
      </c>
      <c r="D292" s="13" t="s">
        <v>542</v>
      </c>
      <c r="E292" s="13" t="s">
        <v>983</v>
      </c>
      <c r="F292" s="32">
        <v>2</v>
      </c>
      <c r="G292" s="32" t="s">
        <v>955</v>
      </c>
      <c r="H292" s="32">
        <f t="shared" si="27"/>
        <v>2</v>
      </c>
      <c r="I292" s="72">
        <v>400</v>
      </c>
      <c r="J292" s="72">
        <f t="shared" si="28"/>
        <v>800</v>
      </c>
      <c r="K292" s="33"/>
    </row>
    <row r="293" spans="1:13">
      <c r="A293" s="258"/>
      <c r="B293" s="13" t="s">
        <v>65</v>
      </c>
      <c r="C293" s="13" t="s">
        <v>184</v>
      </c>
      <c r="D293" s="13" t="s">
        <v>543</v>
      </c>
      <c r="E293" s="13" t="s">
        <v>984</v>
      </c>
      <c r="F293" s="32">
        <v>2</v>
      </c>
      <c r="G293" s="32" t="s">
        <v>955</v>
      </c>
      <c r="H293" s="32">
        <f t="shared" si="27"/>
        <v>2</v>
      </c>
      <c r="I293" s="72">
        <v>400</v>
      </c>
      <c r="J293" s="72">
        <f t="shared" si="28"/>
        <v>800</v>
      </c>
      <c r="K293" s="33"/>
    </row>
    <row r="294" spans="1:13">
      <c r="A294" s="258"/>
      <c r="B294" s="13" t="s">
        <v>65</v>
      </c>
      <c r="C294" s="13" t="s">
        <v>184</v>
      </c>
      <c r="D294" s="13" t="s">
        <v>544</v>
      </c>
      <c r="E294" s="13" t="s">
        <v>985</v>
      </c>
      <c r="F294" s="32">
        <v>2</v>
      </c>
      <c r="G294" s="32" t="s">
        <v>955</v>
      </c>
      <c r="H294" s="32">
        <f t="shared" si="27"/>
        <v>2</v>
      </c>
      <c r="I294" s="72">
        <v>400</v>
      </c>
      <c r="J294" s="72">
        <f t="shared" si="28"/>
        <v>800</v>
      </c>
      <c r="K294" s="33"/>
    </row>
    <row r="295" spans="1:13">
      <c r="A295" s="258"/>
      <c r="B295" s="13" t="s">
        <v>65</v>
      </c>
      <c r="C295" s="13" t="s">
        <v>184</v>
      </c>
      <c r="D295" s="13" t="s">
        <v>553</v>
      </c>
      <c r="E295" s="13" t="s">
        <v>425</v>
      </c>
      <c r="F295" s="32">
        <v>2</v>
      </c>
      <c r="G295" s="32" t="s">
        <v>955</v>
      </c>
      <c r="H295" s="32">
        <f t="shared" si="27"/>
        <v>2</v>
      </c>
      <c r="I295" s="72">
        <v>1700</v>
      </c>
      <c r="J295" s="72">
        <f t="shared" si="28"/>
        <v>3400</v>
      </c>
      <c r="K295" s="33"/>
    </row>
    <row r="296" spans="1:13">
      <c r="A296" s="258"/>
      <c r="B296" s="13" t="s">
        <v>65</v>
      </c>
      <c r="C296" s="13" t="s">
        <v>184</v>
      </c>
      <c r="D296" s="13" t="s">
        <v>537</v>
      </c>
      <c r="E296" s="13" t="s">
        <v>427</v>
      </c>
      <c r="F296" s="32">
        <v>1</v>
      </c>
      <c r="G296" s="32" t="s">
        <v>680</v>
      </c>
      <c r="H296" s="32">
        <f t="shared" ref="H296" si="30">$G$4*F296</f>
        <v>1</v>
      </c>
      <c r="I296" s="72">
        <v>8500</v>
      </c>
      <c r="J296" s="72">
        <f t="shared" si="28"/>
        <v>8500</v>
      </c>
      <c r="K296" s="33"/>
    </row>
    <row r="297" spans="1:13">
      <c r="A297" s="258"/>
      <c r="B297" s="13" t="s">
        <v>65</v>
      </c>
      <c r="C297" s="13" t="s">
        <v>184</v>
      </c>
      <c r="D297" s="13" t="s">
        <v>540</v>
      </c>
      <c r="E297" s="13" t="s">
        <v>429</v>
      </c>
      <c r="F297" s="32">
        <v>1</v>
      </c>
      <c r="G297" s="32" t="s">
        <v>957</v>
      </c>
      <c r="H297" s="32">
        <f t="shared" si="27"/>
        <v>1</v>
      </c>
      <c r="I297" s="72">
        <v>4800</v>
      </c>
      <c r="J297" s="72">
        <f t="shared" si="28"/>
        <v>4800</v>
      </c>
      <c r="K297" s="33"/>
    </row>
    <row r="298" spans="1:13">
      <c r="A298" s="258"/>
      <c r="B298" s="13" t="s">
        <v>65</v>
      </c>
      <c r="C298" s="13" t="s">
        <v>184</v>
      </c>
      <c r="D298" s="13" t="s">
        <v>432</v>
      </c>
      <c r="E298" s="13" t="s">
        <v>430</v>
      </c>
      <c r="F298" s="32">
        <v>1</v>
      </c>
      <c r="G298" s="32" t="s">
        <v>955</v>
      </c>
      <c r="H298" s="32">
        <f t="shared" si="27"/>
        <v>1</v>
      </c>
      <c r="I298" s="76">
        <v>4000</v>
      </c>
      <c r="J298" s="76">
        <f t="shared" si="28"/>
        <v>4000</v>
      </c>
      <c r="K298" s="33"/>
      <c r="L298" s="59"/>
      <c r="M298" s="59"/>
    </row>
    <row r="299" spans="1:13">
      <c r="A299" s="258"/>
      <c r="B299" s="13" t="s">
        <v>65</v>
      </c>
      <c r="C299" s="13" t="s">
        <v>184</v>
      </c>
      <c r="D299" s="13" t="s">
        <v>436</v>
      </c>
      <c r="E299" s="13" t="s">
        <v>434</v>
      </c>
      <c r="F299" s="32">
        <v>1</v>
      </c>
      <c r="G299" s="32" t="s">
        <v>955</v>
      </c>
      <c r="H299" s="32">
        <f t="shared" si="27"/>
        <v>1</v>
      </c>
      <c r="I299" s="76">
        <v>4000</v>
      </c>
      <c r="J299" s="76">
        <f t="shared" si="28"/>
        <v>4000</v>
      </c>
      <c r="K299" s="33"/>
      <c r="L299" s="59"/>
      <c r="M299" s="59"/>
    </row>
    <row r="300" spans="1:13">
      <c r="A300" s="258"/>
      <c r="B300" s="13" t="s">
        <v>65</v>
      </c>
      <c r="C300" s="13" t="s">
        <v>184</v>
      </c>
      <c r="D300" s="13" t="s">
        <v>439</v>
      </c>
      <c r="E300" s="13" t="s">
        <v>612</v>
      </c>
      <c r="F300" s="32">
        <v>2</v>
      </c>
      <c r="G300" s="32" t="s">
        <v>955</v>
      </c>
      <c r="H300" s="32">
        <f t="shared" si="27"/>
        <v>2</v>
      </c>
      <c r="I300" s="76">
        <v>8000</v>
      </c>
      <c r="J300" s="76">
        <f t="shared" si="28"/>
        <v>16000</v>
      </c>
      <c r="K300" s="33"/>
      <c r="L300" s="59"/>
      <c r="M300" s="59"/>
    </row>
    <row r="301" spans="1:13">
      <c r="A301" s="258"/>
      <c r="B301" s="13" t="s">
        <v>65</v>
      </c>
      <c r="C301" s="13" t="s">
        <v>184</v>
      </c>
      <c r="D301" s="13" t="s">
        <v>529</v>
      </c>
      <c r="E301" s="13" t="s">
        <v>530</v>
      </c>
      <c r="F301" s="32">
        <v>1</v>
      </c>
      <c r="G301" s="32" t="s">
        <v>681</v>
      </c>
      <c r="H301" s="32">
        <f t="shared" ref="H301:H311" si="31">$G$4*F301</f>
        <v>1</v>
      </c>
      <c r="I301" s="72">
        <v>2520</v>
      </c>
      <c r="J301" s="72">
        <f t="shared" si="28"/>
        <v>2520</v>
      </c>
      <c r="K301" s="33"/>
    </row>
    <row r="302" spans="1:13">
      <c r="A302" s="258"/>
      <c r="B302" s="13" t="s">
        <v>65</v>
      </c>
      <c r="C302" s="13" t="s">
        <v>184</v>
      </c>
      <c r="D302" s="13" t="s">
        <v>531</v>
      </c>
      <c r="E302" s="13" t="s">
        <v>532</v>
      </c>
      <c r="F302" s="32">
        <v>1</v>
      </c>
      <c r="G302" s="32" t="s">
        <v>976</v>
      </c>
      <c r="H302" s="32">
        <f t="shared" si="31"/>
        <v>1</v>
      </c>
      <c r="I302" s="72">
        <v>5500</v>
      </c>
      <c r="J302" s="72">
        <f t="shared" si="28"/>
        <v>5500</v>
      </c>
      <c r="K302" s="33"/>
    </row>
    <row r="303" spans="1:13">
      <c r="A303" s="258"/>
      <c r="B303" s="13" t="s">
        <v>65</v>
      </c>
      <c r="C303" s="13" t="s">
        <v>184</v>
      </c>
      <c r="D303" s="13" t="s">
        <v>443</v>
      </c>
      <c r="E303" s="13" t="s">
        <v>442</v>
      </c>
      <c r="F303" s="32">
        <v>1</v>
      </c>
      <c r="G303" s="32" t="s">
        <v>678</v>
      </c>
      <c r="H303" s="32">
        <f t="shared" si="31"/>
        <v>1</v>
      </c>
      <c r="I303" s="72">
        <v>7000</v>
      </c>
      <c r="J303" s="72">
        <f t="shared" si="28"/>
        <v>7000</v>
      </c>
      <c r="K303" s="33"/>
    </row>
    <row r="304" spans="1:13">
      <c r="A304" s="258"/>
      <c r="B304" s="13" t="s">
        <v>65</v>
      </c>
      <c r="C304" s="13" t="s">
        <v>184</v>
      </c>
      <c r="D304" s="13" t="s">
        <v>441</v>
      </c>
      <c r="E304" s="13" t="s">
        <v>440</v>
      </c>
      <c r="F304" s="32">
        <v>1</v>
      </c>
      <c r="G304" s="32" t="s">
        <v>678</v>
      </c>
      <c r="H304" s="32">
        <f t="shared" si="31"/>
        <v>1</v>
      </c>
      <c r="I304" s="72">
        <v>7000</v>
      </c>
      <c r="J304" s="72">
        <f t="shared" si="28"/>
        <v>7000</v>
      </c>
      <c r="K304" s="33"/>
    </row>
    <row r="305" spans="1:15">
      <c r="A305" s="258"/>
      <c r="B305" s="13" t="s">
        <v>65</v>
      </c>
      <c r="C305" s="13" t="s">
        <v>184</v>
      </c>
      <c r="D305" s="13" t="s">
        <v>546</v>
      </c>
      <c r="E305" s="13" t="s">
        <v>547</v>
      </c>
      <c r="F305" s="32">
        <v>1</v>
      </c>
      <c r="G305" s="32" t="s">
        <v>571</v>
      </c>
      <c r="H305" s="32">
        <f t="shared" si="31"/>
        <v>1</v>
      </c>
      <c r="I305" s="72">
        <v>3200</v>
      </c>
      <c r="J305" s="72">
        <f t="shared" si="28"/>
        <v>3200</v>
      </c>
      <c r="K305" s="33"/>
    </row>
    <row r="306" spans="1:15">
      <c r="A306" s="258"/>
      <c r="B306" s="13" t="s">
        <v>65</v>
      </c>
      <c r="C306" s="13" t="s">
        <v>184</v>
      </c>
      <c r="D306" s="13" t="s">
        <v>554</v>
      </c>
      <c r="E306" s="13" t="s">
        <v>533</v>
      </c>
      <c r="F306" s="32">
        <v>1</v>
      </c>
      <c r="G306" s="32" t="s">
        <v>686</v>
      </c>
      <c r="H306" s="32">
        <f t="shared" si="31"/>
        <v>1</v>
      </c>
      <c r="I306" s="72">
        <v>900</v>
      </c>
      <c r="J306" s="72">
        <f t="shared" si="28"/>
        <v>900</v>
      </c>
      <c r="K306" s="33"/>
    </row>
    <row r="307" spans="1:15" ht="17.5">
      <c r="A307" s="258"/>
      <c r="B307" s="13" t="s">
        <v>65</v>
      </c>
      <c r="C307" s="13" t="s">
        <v>184</v>
      </c>
      <c r="D307" s="98" t="s">
        <v>463</v>
      </c>
      <c r="E307" s="98" t="s">
        <v>522</v>
      </c>
      <c r="F307" s="99">
        <v>2</v>
      </c>
      <c r="G307" s="99" t="s">
        <v>560</v>
      </c>
      <c r="H307" s="99">
        <f t="shared" si="31"/>
        <v>2</v>
      </c>
      <c r="I307" s="100">
        <v>99000</v>
      </c>
      <c r="J307" s="100">
        <f t="shared" si="28"/>
        <v>198000</v>
      </c>
      <c r="K307" s="33"/>
      <c r="M307" s="213" t="s">
        <v>1557</v>
      </c>
      <c r="N307" s="214">
        <f>L311*7%</f>
        <v>77783.790000000008</v>
      </c>
    </row>
    <row r="308" spans="1:15" ht="17.5">
      <c r="A308" s="258"/>
      <c r="B308" s="13" t="s">
        <v>65</v>
      </c>
      <c r="C308" s="13" t="s">
        <v>184</v>
      </c>
      <c r="D308" s="109" t="s">
        <v>548</v>
      </c>
      <c r="E308" s="109" t="s">
        <v>448</v>
      </c>
      <c r="F308" s="110">
        <v>1</v>
      </c>
      <c r="G308" s="110" t="s">
        <v>235</v>
      </c>
      <c r="H308" s="110">
        <f t="shared" si="31"/>
        <v>1</v>
      </c>
      <c r="I308" s="111">
        <f>(72*2700)+300000</f>
        <v>494400</v>
      </c>
      <c r="J308" s="111">
        <f t="shared" si="28"/>
        <v>494400</v>
      </c>
      <c r="K308" s="33"/>
      <c r="M308" s="213" t="s">
        <v>1558</v>
      </c>
      <c r="N308" s="214">
        <f>(L311+N307)*20%</f>
        <v>237796.15800000002</v>
      </c>
    </row>
    <row r="309" spans="1:15" ht="17.5">
      <c r="A309" s="264"/>
      <c r="B309" s="15" t="s">
        <v>632</v>
      </c>
      <c r="C309" s="15" t="s">
        <v>184</v>
      </c>
      <c r="D309" s="15" t="s">
        <v>623</v>
      </c>
      <c r="E309" s="15" t="s">
        <v>625</v>
      </c>
      <c r="F309" s="38">
        <v>1</v>
      </c>
      <c r="G309" s="38" t="s">
        <v>690</v>
      </c>
      <c r="H309" s="32">
        <f t="shared" si="31"/>
        <v>1</v>
      </c>
      <c r="I309" s="73">
        <f>16000+1800</f>
        <v>17800</v>
      </c>
      <c r="J309" s="72">
        <f t="shared" si="28"/>
        <v>17800</v>
      </c>
      <c r="K309" s="39"/>
      <c r="M309" s="213" t="s">
        <v>1559</v>
      </c>
      <c r="N309" s="214">
        <f>(L311+N307+N308)*25%</f>
        <v>356694.23700000002</v>
      </c>
    </row>
    <row r="310" spans="1:15" ht="18" thickBot="1">
      <c r="A310" s="264"/>
      <c r="B310" s="15" t="s">
        <v>65</v>
      </c>
      <c r="C310" s="15" t="s">
        <v>184</v>
      </c>
      <c r="D310" s="15" t="s">
        <v>1735</v>
      </c>
      <c r="E310" s="13" t="s">
        <v>693</v>
      </c>
      <c r="F310" s="38">
        <v>1</v>
      </c>
      <c r="G310" s="38" t="s">
        <v>1736</v>
      </c>
      <c r="H310" s="38">
        <f t="shared" si="31"/>
        <v>1</v>
      </c>
      <c r="I310" s="73">
        <v>6500</v>
      </c>
      <c r="J310" s="73">
        <f t="shared" si="28"/>
        <v>6500</v>
      </c>
      <c r="K310" s="39"/>
      <c r="M310" s="213"/>
      <c r="N310" s="214"/>
    </row>
    <row r="311" spans="1:15" ht="26.5" thickBot="1">
      <c r="A311" s="259"/>
      <c r="B311" s="53" t="s">
        <v>65</v>
      </c>
      <c r="C311" s="53" t="s">
        <v>184</v>
      </c>
      <c r="D311" s="53" t="s">
        <v>113</v>
      </c>
      <c r="E311" s="53" t="s">
        <v>113</v>
      </c>
      <c r="F311" s="85">
        <v>1</v>
      </c>
      <c r="G311" s="85" t="s">
        <v>240</v>
      </c>
      <c r="H311" s="85">
        <f t="shared" si="31"/>
        <v>1</v>
      </c>
      <c r="I311" s="86">
        <v>13400</v>
      </c>
      <c r="J311" s="86">
        <f t="shared" si="28"/>
        <v>13400</v>
      </c>
      <c r="K311" s="44"/>
      <c r="L311" s="254">
        <f>SUBTOTAL(9,J285:J336)</f>
        <v>1111197</v>
      </c>
      <c r="N311" s="211">
        <f>L311+N307+N308+N309</f>
        <v>1783471.1850000001</v>
      </c>
      <c r="O311" s="212" t="s">
        <v>1563</v>
      </c>
    </row>
    <row r="312" spans="1:15" hidden="1">
      <c r="A312" s="274">
        <v>12</v>
      </c>
      <c r="B312" s="10" t="s">
        <v>65</v>
      </c>
      <c r="C312" s="10" t="s">
        <v>185</v>
      </c>
      <c r="D312" s="10" t="s">
        <v>555</v>
      </c>
      <c r="E312" s="10" t="s">
        <v>381</v>
      </c>
      <c r="F312" s="5">
        <v>1</v>
      </c>
      <c r="G312" s="5" t="s">
        <v>250</v>
      </c>
      <c r="H312" s="5">
        <f>$G$15*F312</f>
        <v>0</v>
      </c>
      <c r="I312" s="75"/>
      <c r="J312" s="75">
        <f t="shared" si="28"/>
        <v>0</v>
      </c>
      <c r="K312" s="40" t="s">
        <v>238</v>
      </c>
      <c r="L312" s="1"/>
      <c r="M312" s="1"/>
    </row>
    <row r="313" spans="1:15" hidden="1">
      <c r="A313" s="258"/>
      <c r="B313" s="34" t="s">
        <v>65</v>
      </c>
      <c r="C313" s="34" t="s">
        <v>185</v>
      </c>
      <c r="D313" s="34" t="s">
        <v>383</v>
      </c>
      <c r="E313" s="34" t="s">
        <v>384</v>
      </c>
      <c r="F313" s="32">
        <v>12</v>
      </c>
      <c r="G313" s="32" t="s">
        <v>954</v>
      </c>
      <c r="H313" s="32">
        <f t="shared" ref="H313:H337" si="32">$G$15*F313</f>
        <v>0</v>
      </c>
      <c r="I313" s="72"/>
      <c r="J313" s="72">
        <f t="shared" si="28"/>
        <v>0</v>
      </c>
      <c r="K313" s="33"/>
      <c r="L313" s="1"/>
      <c r="M313" s="1"/>
    </row>
    <row r="314" spans="1:15" hidden="1">
      <c r="A314" s="258"/>
      <c r="B314" s="13" t="s">
        <v>65</v>
      </c>
      <c r="C314" s="13" t="s">
        <v>185</v>
      </c>
      <c r="D314" s="13" t="s">
        <v>403</v>
      </c>
      <c r="E314" s="13" t="s">
        <v>412</v>
      </c>
      <c r="F314" s="32">
        <v>1</v>
      </c>
      <c r="G314" s="32" t="s">
        <v>567</v>
      </c>
      <c r="H314" s="32">
        <f t="shared" si="32"/>
        <v>0</v>
      </c>
      <c r="I314" s="76"/>
      <c r="J314" s="76">
        <f t="shared" si="28"/>
        <v>0</v>
      </c>
      <c r="K314" s="33"/>
      <c r="L314" s="1"/>
      <c r="M314" s="1"/>
    </row>
    <row r="315" spans="1:15" hidden="1">
      <c r="A315" s="258"/>
      <c r="B315" s="13" t="s">
        <v>65</v>
      </c>
      <c r="C315" s="13" t="s">
        <v>185</v>
      </c>
      <c r="D315" s="13" t="s">
        <v>409</v>
      </c>
      <c r="E315" s="13" t="s">
        <v>415</v>
      </c>
      <c r="F315" s="32">
        <v>1</v>
      </c>
      <c r="G315" s="32" t="s">
        <v>567</v>
      </c>
      <c r="H315" s="32">
        <f t="shared" si="32"/>
        <v>0</v>
      </c>
      <c r="I315" s="76"/>
      <c r="J315" s="76">
        <f t="shared" si="28"/>
        <v>0</v>
      </c>
      <c r="K315" s="33"/>
      <c r="L315" s="1"/>
      <c r="M315" s="1"/>
    </row>
    <row r="316" spans="1:15" hidden="1">
      <c r="A316" s="258"/>
      <c r="B316" s="13" t="s">
        <v>65</v>
      </c>
      <c r="C316" s="13" t="s">
        <v>185</v>
      </c>
      <c r="D316" s="13" t="s">
        <v>406</v>
      </c>
      <c r="E316" s="13" t="s">
        <v>418</v>
      </c>
      <c r="F316" s="32">
        <v>1</v>
      </c>
      <c r="G316" s="32" t="s">
        <v>567</v>
      </c>
      <c r="H316" s="32">
        <f t="shared" si="32"/>
        <v>0</v>
      </c>
      <c r="I316" s="76"/>
      <c r="J316" s="76">
        <f t="shared" si="28"/>
        <v>0</v>
      </c>
      <c r="K316" s="33"/>
      <c r="L316" s="1"/>
      <c r="M316" s="1"/>
    </row>
    <row r="317" spans="1:15" hidden="1">
      <c r="A317" s="258"/>
      <c r="B317" s="13" t="s">
        <v>65</v>
      </c>
      <c r="C317" s="13" t="s">
        <v>185</v>
      </c>
      <c r="D317" s="13" t="s">
        <v>486</v>
      </c>
      <c r="E317" s="13" t="s">
        <v>386</v>
      </c>
      <c r="F317" s="32">
        <v>1</v>
      </c>
      <c r="G317" s="32" t="s">
        <v>569</v>
      </c>
      <c r="H317" s="32">
        <f t="shared" si="32"/>
        <v>0</v>
      </c>
      <c r="I317" s="76"/>
      <c r="J317" s="76">
        <f t="shared" si="28"/>
        <v>0</v>
      </c>
      <c r="K317" s="33"/>
      <c r="L317" s="1"/>
      <c r="M317" s="1"/>
    </row>
    <row r="318" spans="1:15" hidden="1">
      <c r="A318" s="258"/>
      <c r="B318" s="13" t="s">
        <v>65</v>
      </c>
      <c r="C318" s="13" t="s">
        <v>185</v>
      </c>
      <c r="D318" s="13" t="s">
        <v>525</v>
      </c>
      <c r="E318" s="13" t="s">
        <v>523</v>
      </c>
      <c r="F318" s="32">
        <v>12</v>
      </c>
      <c r="G318" s="32"/>
      <c r="H318" s="32">
        <f t="shared" si="32"/>
        <v>0</v>
      </c>
      <c r="I318" s="72"/>
      <c r="J318" s="72">
        <f t="shared" si="28"/>
        <v>0</v>
      </c>
      <c r="K318" s="33"/>
      <c r="L318" s="1"/>
      <c r="M318" s="1"/>
    </row>
    <row r="319" spans="1:15" hidden="1">
      <c r="A319" s="258"/>
      <c r="B319" s="13" t="s">
        <v>65</v>
      </c>
      <c r="C319" s="13" t="s">
        <v>185</v>
      </c>
      <c r="D319" s="13" t="s">
        <v>542</v>
      </c>
      <c r="E319" s="13" t="s">
        <v>422</v>
      </c>
      <c r="F319" s="32">
        <v>2</v>
      </c>
      <c r="G319" s="32" t="s">
        <v>561</v>
      </c>
      <c r="H319" s="32">
        <f t="shared" si="32"/>
        <v>0</v>
      </c>
      <c r="I319" s="72"/>
      <c r="J319" s="72">
        <f t="shared" si="28"/>
        <v>0</v>
      </c>
      <c r="K319" s="33"/>
      <c r="L319" s="1"/>
      <c r="M319" s="1"/>
    </row>
    <row r="320" spans="1:15" hidden="1">
      <c r="A320" s="258"/>
      <c r="B320" s="13" t="s">
        <v>65</v>
      </c>
      <c r="C320" s="13" t="s">
        <v>185</v>
      </c>
      <c r="D320" s="13" t="s">
        <v>543</v>
      </c>
      <c r="E320" s="13" t="s">
        <v>424</v>
      </c>
      <c r="F320" s="32">
        <v>2</v>
      </c>
      <c r="G320" s="32" t="s">
        <v>561</v>
      </c>
      <c r="H320" s="32">
        <f t="shared" si="32"/>
        <v>0</v>
      </c>
      <c r="I320" s="72"/>
      <c r="J320" s="72">
        <f t="shared" si="28"/>
        <v>0</v>
      </c>
      <c r="K320" s="33"/>
      <c r="L320" s="1"/>
      <c r="M320" s="1"/>
    </row>
    <row r="321" spans="1:13" hidden="1">
      <c r="A321" s="258"/>
      <c r="B321" s="13" t="s">
        <v>65</v>
      </c>
      <c r="C321" s="13" t="s">
        <v>185</v>
      </c>
      <c r="D321" s="13" t="s">
        <v>544</v>
      </c>
      <c r="E321" s="13" t="s">
        <v>420</v>
      </c>
      <c r="F321" s="32">
        <v>2</v>
      </c>
      <c r="G321" s="32" t="s">
        <v>561</v>
      </c>
      <c r="H321" s="32">
        <f t="shared" si="32"/>
        <v>0</v>
      </c>
      <c r="I321" s="72"/>
      <c r="J321" s="72">
        <f t="shared" si="28"/>
        <v>0</v>
      </c>
      <c r="K321" s="33"/>
      <c r="L321" s="1"/>
      <c r="M321" s="1"/>
    </row>
    <row r="322" spans="1:13" hidden="1">
      <c r="A322" s="258"/>
      <c r="B322" s="13" t="s">
        <v>65</v>
      </c>
      <c r="C322" s="13" t="s">
        <v>185</v>
      </c>
      <c r="D322" s="13" t="s">
        <v>553</v>
      </c>
      <c r="E322" s="13" t="s">
        <v>425</v>
      </c>
      <c r="F322" s="32">
        <v>2</v>
      </c>
      <c r="G322" s="32" t="s">
        <v>561</v>
      </c>
      <c r="H322" s="32">
        <f t="shared" si="32"/>
        <v>0</v>
      </c>
      <c r="I322" s="72"/>
      <c r="J322" s="72">
        <f t="shared" si="28"/>
        <v>0</v>
      </c>
      <c r="K322" s="33"/>
      <c r="L322" s="1"/>
      <c r="M322" s="1"/>
    </row>
    <row r="323" spans="1:13" hidden="1">
      <c r="A323" s="258"/>
      <c r="B323" s="13" t="s">
        <v>65</v>
      </c>
      <c r="C323" s="13" t="s">
        <v>185</v>
      </c>
      <c r="D323" s="13" t="s">
        <v>537</v>
      </c>
      <c r="E323" s="13" t="s">
        <v>427</v>
      </c>
      <c r="F323" s="32">
        <v>1</v>
      </c>
      <c r="G323" s="32" t="s">
        <v>562</v>
      </c>
      <c r="H323" s="32">
        <f t="shared" si="32"/>
        <v>0</v>
      </c>
      <c r="I323" s="72"/>
      <c r="J323" s="72">
        <f t="shared" si="28"/>
        <v>0</v>
      </c>
      <c r="K323" s="33"/>
      <c r="L323" s="1"/>
      <c r="M323" s="1"/>
    </row>
    <row r="324" spans="1:13" hidden="1">
      <c r="A324" s="258"/>
      <c r="B324" s="34" t="s">
        <v>65</v>
      </c>
      <c r="C324" s="34" t="s">
        <v>185</v>
      </c>
      <c r="D324" s="34" t="s">
        <v>540</v>
      </c>
      <c r="E324" s="34" t="s">
        <v>429</v>
      </c>
      <c r="F324" s="32">
        <v>1</v>
      </c>
      <c r="G324" s="32" t="s">
        <v>568</v>
      </c>
      <c r="H324" s="32">
        <f t="shared" si="32"/>
        <v>0</v>
      </c>
      <c r="I324" s="72"/>
      <c r="J324" s="72">
        <f t="shared" si="28"/>
        <v>0</v>
      </c>
      <c r="K324" s="33"/>
      <c r="L324" s="1"/>
      <c r="M324" s="1"/>
    </row>
    <row r="325" spans="1:13" hidden="1">
      <c r="A325" s="258"/>
      <c r="B325" s="13" t="s">
        <v>65</v>
      </c>
      <c r="C325" s="13" t="s">
        <v>185</v>
      </c>
      <c r="D325" s="13" t="s">
        <v>432</v>
      </c>
      <c r="E325" s="13" t="s">
        <v>430</v>
      </c>
      <c r="F325" s="32">
        <v>1</v>
      </c>
      <c r="G325" s="32" t="s">
        <v>561</v>
      </c>
      <c r="H325" s="32">
        <f t="shared" si="32"/>
        <v>0</v>
      </c>
      <c r="I325" s="76"/>
      <c r="J325" s="76">
        <f t="shared" si="28"/>
        <v>0</v>
      </c>
      <c r="K325" s="33"/>
      <c r="L325" s="1"/>
      <c r="M325" s="1"/>
    </row>
    <row r="326" spans="1:13" hidden="1">
      <c r="A326" s="258"/>
      <c r="B326" s="13" t="s">
        <v>65</v>
      </c>
      <c r="C326" s="13" t="s">
        <v>185</v>
      </c>
      <c r="D326" s="13" t="s">
        <v>436</v>
      </c>
      <c r="E326" s="13" t="s">
        <v>434</v>
      </c>
      <c r="F326" s="32">
        <v>1</v>
      </c>
      <c r="G326" s="32" t="s">
        <v>561</v>
      </c>
      <c r="H326" s="32">
        <f t="shared" si="32"/>
        <v>0</v>
      </c>
      <c r="I326" s="76"/>
      <c r="J326" s="76">
        <f t="shared" si="28"/>
        <v>0</v>
      </c>
      <c r="K326" s="33"/>
      <c r="L326" s="1"/>
      <c r="M326" s="1"/>
    </row>
    <row r="327" spans="1:13" hidden="1">
      <c r="A327" s="258"/>
      <c r="B327" s="13" t="s">
        <v>65</v>
      </c>
      <c r="C327" s="13" t="s">
        <v>185</v>
      </c>
      <c r="D327" s="13" t="s">
        <v>439</v>
      </c>
      <c r="E327" s="13" t="s">
        <v>612</v>
      </c>
      <c r="F327" s="32">
        <v>2</v>
      </c>
      <c r="G327" s="32" t="s">
        <v>561</v>
      </c>
      <c r="H327" s="32">
        <f t="shared" si="32"/>
        <v>0</v>
      </c>
      <c r="I327" s="76"/>
      <c r="J327" s="76">
        <f t="shared" si="28"/>
        <v>0</v>
      </c>
      <c r="K327" s="33"/>
      <c r="L327" s="1"/>
      <c r="M327" s="1"/>
    </row>
    <row r="328" spans="1:13" hidden="1">
      <c r="A328" s="258"/>
      <c r="B328" s="34" t="s">
        <v>65</v>
      </c>
      <c r="C328" s="34" t="s">
        <v>185</v>
      </c>
      <c r="D328" s="34" t="s">
        <v>529</v>
      </c>
      <c r="E328" s="34" t="s">
        <v>530</v>
      </c>
      <c r="F328" s="32">
        <v>1</v>
      </c>
      <c r="G328" s="32" t="s">
        <v>566</v>
      </c>
      <c r="H328" s="32">
        <f t="shared" si="32"/>
        <v>0</v>
      </c>
      <c r="I328" s="72"/>
      <c r="J328" s="72">
        <f t="shared" si="28"/>
        <v>0</v>
      </c>
      <c r="K328" s="33"/>
      <c r="L328" s="1"/>
      <c r="M328" s="1"/>
    </row>
    <row r="329" spans="1:13" hidden="1">
      <c r="A329" s="258"/>
      <c r="B329" s="34" t="s">
        <v>65</v>
      </c>
      <c r="C329" s="34" t="s">
        <v>185</v>
      </c>
      <c r="D329" s="34" t="s">
        <v>531</v>
      </c>
      <c r="E329" s="34" t="s">
        <v>532</v>
      </c>
      <c r="F329" s="32">
        <v>1</v>
      </c>
      <c r="G329" s="32" t="s">
        <v>566</v>
      </c>
      <c r="H329" s="32">
        <f t="shared" si="32"/>
        <v>0</v>
      </c>
      <c r="I329" s="72"/>
      <c r="J329" s="72">
        <f t="shared" si="28"/>
        <v>0</v>
      </c>
      <c r="K329" s="33"/>
      <c r="L329" s="1"/>
      <c r="M329" s="1"/>
    </row>
    <row r="330" spans="1:13" hidden="1">
      <c r="A330" s="258"/>
      <c r="B330" s="34" t="s">
        <v>65</v>
      </c>
      <c r="C330" s="34" t="s">
        <v>185</v>
      </c>
      <c r="D330" s="34" t="s">
        <v>443</v>
      </c>
      <c r="E330" s="34" t="s">
        <v>442</v>
      </c>
      <c r="F330" s="32">
        <v>1</v>
      </c>
      <c r="G330" s="32" t="s">
        <v>570</v>
      </c>
      <c r="H330" s="32">
        <f t="shared" si="32"/>
        <v>0</v>
      </c>
      <c r="I330" s="72"/>
      <c r="J330" s="72">
        <f t="shared" si="28"/>
        <v>0</v>
      </c>
      <c r="K330" s="33"/>
      <c r="L330" s="1"/>
      <c r="M330" s="1"/>
    </row>
    <row r="331" spans="1:13" hidden="1">
      <c r="A331" s="258"/>
      <c r="B331" s="34" t="s">
        <v>65</v>
      </c>
      <c r="C331" s="34" t="s">
        <v>185</v>
      </c>
      <c r="D331" s="34" t="s">
        <v>441</v>
      </c>
      <c r="E331" s="34" t="s">
        <v>440</v>
      </c>
      <c r="F331" s="32">
        <v>1</v>
      </c>
      <c r="G331" s="32" t="s">
        <v>570</v>
      </c>
      <c r="H331" s="32">
        <f t="shared" si="32"/>
        <v>0</v>
      </c>
      <c r="I331" s="72"/>
      <c r="J331" s="72">
        <f t="shared" si="28"/>
        <v>0</v>
      </c>
      <c r="K331" s="33"/>
      <c r="L331" s="1"/>
      <c r="M331" s="1"/>
    </row>
    <row r="332" spans="1:13" hidden="1">
      <c r="A332" s="258"/>
      <c r="B332" s="34" t="s">
        <v>65</v>
      </c>
      <c r="C332" s="34" t="s">
        <v>185</v>
      </c>
      <c r="D332" s="34" t="s">
        <v>546</v>
      </c>
      <c r="E332" s="34" t="s">
        <v>547</v>
      </c>
      <c r="F332" s="32">
        <v>1</v>
      </c>
      <c r="G332" s="32" t="s">
        <v>571</v>
      </c>
      <c r="H332" s="32">
        <f t="shared" si="32"/>
        <v>0</v>
      </c>
      <c r="I332" s="72"/>
      <c r="J332" s="72">
        <f t="shared" si="28"/>
        <v>0</v>
      </c>
      <c r="K332" s="33"/>
      <c r="L332" s="1"/>
      <c r="M332" s="1"/>
    </row>
    <row r="333" spans="1:13" hidden="1">
      <c r="A333" s="258"/>
      <c r="B333" s="34" t="s">
        <v>65</v>
      </c>
      <c r="C333" s="34" t="s">
        <v>185</v>
      </c>
      <c r="D333" s="34" t="s">
        <v>554</v>
      </c>
      <c r="E333" s="34" t="s">
        <v>533</v>
      </c>
      <c r="F333" s="32">
        <v>1</v>
      </c>
      <c r="G333" s="32" t="s">
        <v>571</v>
      </c>
      <c r="H333" s="32">
        <f t="shared" si="32"/>
        <v>0</v>
      </c>
      <c r="I333" s="72"/>
      <c r="J333" s="72">
        <f t="shared" si="28"/>
        <v>0</v>
      </c>
      <c r="K333" s="33"/>
      <c r="L333" s="1"/>
      <c r="M333" s="1"/>
    </row>
    <row r="334" spans="1:13" hidden="1">
      <c r="A334" s="258"/>
      <c r="B334" s="13" t="s">
        <v>65</v>
      </c>
      <c r="C334" s="13" t="s">
        <v>185</v>
      </c>
      <c r="D334" s="13" t="s">
        <v>463</v>
      </c>
      <c r="E334" s="13" t="s">
        <v>522</v>
      </c>
      <c r="F334" s="32">
        <v>2</v>
      </c>
      <c r="G334" s="32" t="s">
        <v>560</v>
      </c>
      <c r="H334" s="32">
        <f t="shared" si="32"/>
        <v>0</v>
      </c>
      <c r="I334" s="72">
        <v>76100</v>
      </c>
      <c r="J334" s="72">
        <f t="shared" si="28"/>
        <v>0</v>
      </c>
      <c r="K334" s="33"/>
      <c r="L334" s="1"/>
      <c r="M334" s="1"/>
    </row>
    <row r="335" spans="1:13" hidden="1">
      <c r="A335" s="258"/>
      <c r="B335" s="13" t="s">
        <v>65</v>
      </c>
      <c r="C335" s="13" t="s">
        <v>185</v>
      </c>
      <c r="D335" s="13" t="s">
        <v>445</v>
      </c>
      <c r="E335" s="13" t="s">
        <v>449</v>
      </c>
      <c r="F335" s="32">
        <v>1</v>
      </c>
      <c r="G335" s="32" t="s">
        <v>235</v>
      </c>
      <c r="H335" s="32">
        <f t="shared" si="32"/>
        <v>0</v>
      </c>
      <c r="I335" s="72"/>
      <c r="J335" s="72">
        <f t="shared" si="28"/>
        <v>0</v>
      </c>
      <c r="K335" s="33"/>
      <c r="L335" s="1"/>
      <c r="M335" s="1"/>
    </row>
    <row r="336" spans="1:13" hidden="1">
      <c r="A336" s="264"/>
      <c r="B336" s="46" t="s">
        <v>632</v>
      </c>
      <c r="C336" s="46" t="s">
        <v>185</v>
      </c>
      <c r="D336" s="46" t="s">
        <v>623</v>
      </c>
      <c r="E336" s="46" t="s">
        <v>625</v>
      </c>
      <c r="F336" s="38">
        <v>1</v>
      </c>
      <c r="G336" s="38"/>
      <c r="H336" s="38"/>
      <c r="I336" s="73"/>
      <c r="J336" s="73"/>
      <c r="K336" s="39"/>
      <c r="L336" s="1"/>
      <c r="M336" s="1"/>
    </row>
    <row r="337" spans="1:13" ht="17.5" hidden="1" thickBot="1">
      <c r="A337" s="297"/>
      <c r="B337" s="46" t="s">
        <v>65</v>
      </c>
      <c r="C337" s="46" t="s">
        <v>185</v>
      </c>
      <c r="D337" s="46" t="s">
        <v>113</v>
      </c>
      <c r="E337" s="46" t="s">
        <v>113</v>
      </c>
      <c r="F337" s="38">
        <v>1</v>
      </c>
      <c r="G337" s="38" t="s">
        <v>240</v>
      </c>
      <c r="H337" s="38">
        <f t="shared" si="32"/>
        <v>0</v>
      </c>
      <c r="I337" s="73"/>
      <c r="J337" s="73">
        <f t="shared" si="28"/>
        <v>0</v>
      </c>
      <c r="K337" s="39"/>
      <c r="L337" s="1"/>
      <c r="M337" s="1"/>
    </row>
    <row r="338" spans="1:13">
      <c r="A338" s="257">
        <v>13</v>
      </c>
      <c r="B338" s="11" t="s">
        <v>69</v>
      </c>
      <c r="C338" s="11" t="s">
        <v>186</v>
      </c>
      <c r="D338" s="11" t="s">
        <v>555</v>
      </c>
      <c r="E338" s="11" t="s">
        <v>381</v>
      </c>
      <c r="F338" s="30">
        <v>1</v>
      </c>
      <c r="G338" s="30" t="s">
        <v>679</v>
      </c>
      <c r="H338" s="32">
        <f t="shared" ref="H338:H352" si="33">$G$16*F338</f>
        <v>1</v>
      </c>
      <c r="I338" s="71">
        <f>158000+56000</f>
        <v>214000</v>
      </c>
      <c r="J338" s="77">
        <f t="shared" si="28"/>
        <v>214000</v>
      </c>
      <c r="K338" s="31" t="s">
        <v>238</v>
      </c>
      <c r="L338" s="59"/>
      <c r="M338" s="59"/>
    </row>
    <row r="339" spans="1:13">
      <c r="A339" s="258"/>
      <c r="B339" s="13" t="s">
        <v>69</v>
      </c>
      <c r="C339" s="13" t="s">
        <v>186</v>
      </c>
      <c r="D339" s="13" t="s">
        <v>383</v>
      </c>
      <c r="E339" s="13" t="s">
        <v>384</v>
      </c>
      <c r="F339" s="32">
        <v>12</v>
      </c>
      <c r="G339" s="32" t="s">
        <v>954</v>
      </c>
      <c r="H339" s="32">
        <f t="shared" si="33"/>
        <v>12</v>
      </c>
      <c r="I339" s="72">
        <v>2470</v>
      </c>
      <c r="J339" s="72">
        <f t="shared" si="28"/>
        <v>29640</v>
      </c>
      <c r="K339" s="33"/>
    </row>
    <row r="340" spans="1:13">
      <c r="A340" s="258"/>
      <c r="B340" s="13" t="s">
        <v>69</v>
      </c>
      <c r="C340" s="13" t="s">
        <v>186</v>
      </c>
      <c r="D340" s="13" t="s">
        <v>403</v>
      </c>
      <c r="E340" s="13" t="s">
        <v>977</v>
      </c>
      <c r="F340" s="32">
        <v>1</v>
      </c>
      <c r="G340" s="13" t="s">
        <v>1733</v>
      </c>
      <c r="H340" s="32">
        <f t="shared" si="33"/>
        <v>1</v>
      </c>
      <c r="I340" s="301">
        <v>32037</v>
      </c>
      <c r="J340" s="298">
        <f t="shared" si="28"/>
        <v>32037</v>
      </c>
      <c r="K340" s="33"/>
      <c r="L340" s="59"/>
      <c r="M340" s="59"/>
    </row>
    <row r="341" spans="1:13">
      <c r="A341" s="258"/>
      <c r="B341" s="13" t="s">
        <v>69</v>
      </c>
      <c r="C341" s="13" t="s">
        <v>186</v>
      </c>
      <c r="D341" s="13" t="s">
        <v>409</v>
      </c>
      <c r="E341" s="13" t="s">
        <v>979</v>
      </c>
      <c r="F341" s="32">
        <v>1</v>
      </c>
      <c r="G341" s="13" t="s">
        <v>1733</v>
      </c>
      <c r="H341" s="32">
        <f t="shared" si="33"/>
        <v>1</v>
      </c>
      <c r="I341" s="302"/>
      <c r="J341" s="299"/>
      <c r="K341" s="33"/>
      <c r="L341" s="59"/>
      <c r="M341" s="59"/>
    </row>
    <row r="342" spans="1:13">
      <c r="A342" s="258"/>
      <c r="B342" s="13" t="s">
        <v>69</v>
      </c>
      <c r="C342" s="13" t="s">
        <v>186</v>
      </c>
      <c r="D342" s="13" t="s">
        <v>406</v>
      </c>
      <c r="E342" s="13" t="s">
        <v>980</v>
      </c>
      <c r="F342" s="32">
        <v>1</v>
      </c>
      <c r="G342" s="13" t="s">
        <v>1733</v>
      </c>
      <c r="H342" s="32">
        <f t="shared" si="33"/>
        <v>1</v>
      </c>
      <c r="I342" s="303"/>
      <c r="J342" s="300"/>
      <c r="K342" s="33"/>
      <c r="L342" s="59"/>
      <c r="M342" s="59"/>
    </row>
    <row r="343" spans="1:13">
      <c r="A343" s="258"/>
      <c r="B343" s="13" t="s">
        <v>69</v>
      </c>
      <c r="C343" s="13" t="s">
        <v>186</v>
      </c>
      <c r="D343" s="13" t="s">
        <v>486</v>
      </c>
      <c r="E343" s="13" t="s">
        <v>386</v>
      </c>
      <c r="F343" s="32">
        <v>1</v>
      </c>
      <c r="G343" s="32" t="s">
        <v>569</v>
      </c>
      <c r="H343" s="32">
        <f t="shared" si="33"/>
        <v>1</v>
      </c>
      <c r="I343" s="72">
        <v>5000</v>
      </c>
      <c r="J343" s="76">
        <f t="shared" si="28"/>
        <v>5000</v>
      </c>
      <c r="K343" s="33"/>
      <c r="L343" s="59"/>
      <c r="M343" s="59"/>
    </row>
    <row r="344" spans="1:13">
      <c r="A344" s="258"/>
      <c r="B344" s="13" t="s">
        <v>69</v>
      </c>
      <c r="C344" s="13" t="s">
        <v>186</v>
      </c>
      <c r="D344" s="13" t="s">
        <v>542</v>
      </c>
      <c r="E344" s="13" t="s">
        <v>983</v>
      </c>
      <c r="F344" s="32">
        <v>2</v>
      </c>
      <c r="G344" s="32" t="s">
        <v>955</v>
      </c>
      <c r="H344" s="32">
        <f t="shared" si="33"/>
        <v>2</v>
      </c>
      <c r="I344" s="72">
        <v>400</v>
      </c>
      <c r="J344" s="72">
        <f t="shared" si="28"/>
        <v>800</v>
      </c>
      <c r="K344" s="33"/>
    </row>
    <row r="345" spans="1:13">
      <c r="A345" s="258"/>
      <c r="B345" s="13" t="s">
        <v>69</v>
      </c>
      <c r="C345" s="13" t="s">
        <v>186</v>
      </c>
      <c r="D345" s="13" t="s">
        <v>543</v>
      </c>
      <c r="E345" s="13" t="s">
        <v>984</v>
      </c>
      <c r="F345" s="32">
        <v>2</v>
      </c>
      <c r="G345" s="32" t="s">
        <v>955</v>
      </c>
      <c r="H345" s="32">
        <f t="shared" si="33"/>
        <v>2</v>
      </c>
      <c r="I345" s="72">
        <v>400</v>
      </c>
      <c r="J345" s="72">
        <f t="shared" si="28"/>
        <v>800</v>
      </c>
      <c r="K345" s="33"/>
    </row>
    <row r="346" spans="1:13">
      <c r="A346" s="258"/>
      <c r="B346" s="13" t="s">
        <v>69</v>
      </c>
      <c r="C346" s="13" t="s">
        <v>186</v>
      </c>
      <c r="D346" s="13" t="s">
        <v>544</v>
      </c>
      <c r="E346" s="13" t="s">
        <v>985</v>
      </c>
      <c r="F346" s="32">
        <v>2</v>
      </c>
      <c r="G346" s="32" t="s">
        <v>955</v>
      </c>
      <c r="H346" s="32">
        <f t="shared" si="33"/>
        <v>2</v>
      </c>
      <c r="I346" s="72">
        <v>400</v>
      </c>
      <c r="J346" s="72">
        <f t="shared" si="28"/>
        <v>800</v>
      </c>
      <c r="K346" s="33"/>
    </row>
    <row r="347" spans="1:13">
      <c r="A347" s="258"/>
      <c r="B347" s="13" t="s">
        <v>69</v>
      </c>
      <c r="C347" s="13" t="s">
        <v>186</v>
      </c>
      <c r="D347" s="13" t="s">
        <v>553</v>
      </c>
      <c r="E347" s="13" t="s">
        <v>425</v>
      </c>
      <c r="F347" s="32">
        <v>2</v>
      </c>
      <c r="G347" s="32" t="s">
        <v>955</v>
      </c>
      <c r="H347" s="32">
        <f t="shared" si="33"/>
        <v>2</v>
      </c>
      <c r="I347" s="72">
        <v>1700</v>
      </c>
      <c r="J347" s="72">
        <f t="shared" si="28"/>
        <v>3400</v>
      </c>
      <c r="K347" s="33"/>
    </row>
    <row r="348" spans="1:13">
      <c r="A348" s="258"/>
      <c r="B348" s="13" t="s">
        <v>69</v>
      </c>
      <c r="C348" s="13" t="s">
        <v>186</v>
      </c>
      <c r="D348" s="13" t="s">
        <v>537</v>
      </c>
      <c r="E348" s="13" t="s">
        <v>427</v>
      </c>
      <c r="F348" s="32">
        <v>1</v>
      </c>
      <c r="G348" s="32" t="s">
        <v>680</v>
      </c>
      <c r="H348" s="32">
        <f t="shared" ref="H348" si="34">$G$4*F348</f>
        <v>1</v>
      </c>
      <c r="I348" s="72">
        <v>8500</v>
      </c>
      <c r="J348" s="72">
        <f t="shared" si="28"/>
        <v>8500</v>
      </c>
      <c r="K348" s="33"/>
    </row>
    <row r="349" spans="1:13">
      <c r="A349" s="258"/>
      <c r="B349" s="13" t="s">
        <v>69</v>
      </c>
      <c r="C349" s="13" t="s">
        <v>186</v>
      </c>
      <c r="D349" s="13" t="s">
        <v>540</v>
      </c>
      <c r="E349" s="13" t="s">
        <v>429</v>
      </c>
      <c r="F349" s="32">
        <v>1</v>
      </c>
      <c r="G349" s="32" t="s">
        <v>957</v>
      </c>
      <c r="H349" s="32">
        <f t="shared" si="33"/>
        <v>1</v>
      </c>
      <c r="I349" s="72">
        <v>4800</v>
      </c>
      <c r="J349" s="72">
        <f t="shared" si="28"/>
        <v>4800</v>
      </c>
      <c r="K349" s="33"/>
    </row>
    <row r="350" spans="1:13">
      <c r="A350" s="258"/>
      <c r="B350" s="13" t="s">
        <v>69</v>
      </c>
      <c r="C350" s="13" t="s">
        <v>186</v>
      </c>
      <c r="D350" s="13" t="s">
        <v>432</v>
      </c>
      <c r="E350" s="13" t="s">
        <v>430</v>
      </c>
      <c r="F350" s="32">
        <v>1</v>
      </c>
      <c r="G350" s="32" t="s">
        <v>955</v>
      </c>
      <c r="H350" s="32">
        <f t="shared" si="33"/>
        <v>1</v>
      </c>
      <c r="I350" s="76">
        <v>4000</v>
      </c>
      <c r="J350" s="76">
        <f t="shared" si="28"/>
        <v>4000</v>
      </c>
      <c r="K350" s="33"/>
      <c r="L350" s="59"/>
      <c r="M350" s="59"/>
    </row>
    <row r="351" spans="1:13">
      <c r="A351" s="258"/>
      <c r="B351" s="13" t="s">
        <v>69</v>
      </c>
      <c r="C351" s="13" t="s">
        <v>186</v>
      </c>
      <c r="D351" s="13" t="s">
        <v>436</v>
      </c>
      <c r="E351" s="13" t="s">
        <v>434</v>
      </c>
      <c r="F351" s="32">
        <v>1</v>
      </c>
      <c r="G351" s="32" t="s">
        <v>955</v>
      </c>
      <c r="H351" s="32">
        <f t="shared" si="33"/>
        <v>1</v>
      </c>
      <c r="I351" s="76">
        <v>4000</v>
      </c>
      <c r="J351" s="76">
        <f t="shared" si="28"/>
        <v>4000</v>
      </c>
      <c r="K351" s="33"/>
      <c r="L351" s="59"/>
      <c r="M351" s="59"/>
    </row>
    <row r="352" spans="1:13">
      <c r="A352" s="258"/>
      <c r="B352" s="13" t="s">
        <v>69</v>
      </c>
      <c r="C352" s="13" t="s">
        <v>186</v>
      </c>
      <c r="D352" s="13" t="s">
        <v>439</v>
      </c>
      <c r="E352" s="13" t="s">
        <v>612</v>
      </c>
      <c r="F352" s="32">
        <v>2</v>
      </c>
      <c r="G352" s="32" t="s">
        <v>955</v>
      </c>
      <c r="H352" s="32">
        <f t="shared" si="33"/>
        <v>2</v>
      </c>
      <c r="I352" s="76">
        <v>8000</v>
      </c>
      <c r="J352" s="76">
        <f t="shared" si="28"/>
        <v>16000</v>
      </c>
      <c r="K352" s="33"/>
      <c r="L352" s="59"/>
      <c r="M352" s="59"/>
    </row>
    <row r="353" spans="1:13">
      <c r="A353" s="258"/>
      <c r="B353" s="13" t="s">
        <v>69</v>
      </c>
      <c r="C353" s="13" t="s">
        <v>186</v>
      </c>
      <c r="D353" s="13" t="s">
        <v>529</v>
      </c>
      <c r="E353" s="13" t="s">
        <v>530</v>
      </c>
      <c r="F353" s="32">
        <v>1</v>
      </c>
      <c r="G353" s="32" t="s">
        <v>681</v>
      </c>
      <c r="H353" s="32">
        <f t="shared" ref="H353:H363" si="35">$G$4*F353</f>
        <v>1</v>
      </c>
      <c r="I353" s="72">
        <v>2520</v>
      </c>
      <c r="J353" s="72">
        <f t="shared" si="28"/>
        <v>2520</v>
      </c>
      <c r="K353" s="33"/>
    </row>
    <row r="354" spans="1:13">
      <c r="A354" s="258"/>
      <c r="B354" s="13" t="s">
        <v>69</v>
      </c>
      <c r="C354" s="13" t="s">
        <v>186</v>
      </c>
      <c r="D354" s="13" t="s">
        <v>531</v>
      </c>
      <c r="E354" s="13" t="s">
        <v>532</v>
      </c>
      <c r="F354" s="32">
        <v>1</v>
      </c>
      <c r="G354" s="32" t="s">
        <v>976</v>
      </c>
      <c r="H354" s="32">
        <f t="shared" si="35"/>
        <v>1</v>
      </c>
      <c r="I354" s="72">
        <v>5500</v>
      </c>
      <c r="J354" s="72">
        <f t="shared" ref="J354:J420" si="36">H354*I354</f>
        <v>5500</v>
      </c>
      <c r="K354" s="33"/>
    </row>
    <row r="355" spans="1:13">
      <c r="A355" s="258"/>
      <c r="B355" s="13" t="s">
        <v>69</v>
      </c>
      <c r="C355" s="13" t="s">
        <v>186</v>
      </c>
      <c r="D355" s="13" t="s">
        <v>443</v>
      </c>
      <c r="E355" s="13" t="s">
        <v>442</v>
      </c>
      <c r="F355" s="32">
        <v>1</v>
      </c>
      <c r="G355" s="32" t="s">
        <v>678</v>
      </c>
      <c r="H355" s="32">
        <f t="shared" si="35"/>
        <v>1</v>
      </c>
      <c r="I355" s="72">
        <v>7000</v>
      </c>
      <c r="J355" s="72">
        <f t="shared" si="36"/>
        <v>7000</v>
      </c>
      <c r="K355" s="33"/>
    </row>
    <row r="356" spans="1:13">
      <c r="A356" s="258"/>
      <c r="B356" s="13" t="s">
        <v>69</v>
      </c>
      <c r="C356" s="13" t="s">
        <v>186</v>
      </c>
      <c r="D356" s="13" t="s">
        <v>441</v>
      </c>
      <c r="E356" s="13" t="s">
        <v>440</v>
      </c>
      <c r="F356" s="32">
        <v>1</v>
      </c>
      <c r="G356" s="32" t="s">
        <v>678</v>
      </c>
      <c r="H356" s="32">
        <f t="shared" si="35"/>
        <v>1</v>
      </c>
      <c r="I356" s="72">
        <v>7000</v>
      </c>
      <c r="J356" s="72">
        <f t="shared" si="36"/>
        <v>7000</v>
      </c>
      <c r="K356" s="33"/>
    </row>
    <row r="357" spans="1:13">
      <c r="A357" s="258"/>
      <c r="B357" s="13" t="s">
        <v>69</v>
      </c>
      <c r="C357" s="13" t="s">
        <v>186</v>
      </c>
      <c r="D357" s="13" t="s">
        <v>546</v>
      </c>
      <c r="E357" s="13" t="s">
        <v>547</v>
      </c>
      <c r="F357" s="32">
        <v>1</v>
      </c>
      <c r="G357" s="32" t="s">
        <v>571</v>
      </c>
      <c r="H357" s="32">
        <f t="shared" si="35"/>
        <v>1</v>
      </c>
      <c r="I357" s="72">
        <v>3200</v>
      </c>
      <c r="J357" s="72">
        <f t="shared" si="36"/>
        <v>3200</v>
      </c>
      <c r="K357" s="33"/>
    </row>
    <row r="358" spans="1:13">
      <c r="A358" s="258"/>
      <c r="B358" s="13" t="s">
        <v>69</v>
      </c>
      <c r="C358" s="13" t="s">
        <v>186</v>
      </c>
      <c r="D358" s="13" t="s">
        <v>554</v>
      </c>
      <c r="E358" s="13" t="s">
        <v>533</v>
      </c>
      <c r="F358" s="32">
        <v>1</v>
      </c>
      <c r="G358" s="32" t="s">
        <v>686</v>
      </c>
      <c r="H358" s="32">
        <f t="shared" si="35"/>
        <v>1</v>
      </c>
      <c r="I358" s="72">
        <v>900</v>
      </c>
      <c r="J358" s="72">
        <f t="shared" si="36"/>
        <v>900</v>
      </c>
      <c r="K358" s="33"/>
    </row>
    <row r="359" spans="1:13">
      <c r="A359" s="258"/>
      <c r="B359" s="13" t="s">
        <v>69</v>
      </c>
      <c r="C359" s="13" t="s">
        <v>186</v>
      </c>
      <c r="D359" s="98" t="s">
        <v>118</v>
      </c>
      <c r="E359" s="98" t="s">
        <v>522</v>
      </c>
      <c r="F359" s="99">
        <v>2</v>
      </c>
      <c r="G359" s="99" t="s">
        <v>560</v>
      </c>
      <c r="H359" s="99">
        <f t="shared" si="35"/>
        <v>2</v>
      </c>
      <c r="I359" s="100">
        <v>88000</v>
      </c>
      <c r="J359" s="100">
        <f t="shared" si="36"/>
        <v>176000</v>
      </c>
      <c r="K359" s="33"/>
    </row>
    <row r="360" spans="1:13">
      <c r="A360" s="258"/>
      <c r="B360" s="13" t="s">
        <v>69</v>
      </c>
      <c r="C360" s="13" t="s">
        <v>186</v>
      </c>
      <c r="D360" s="109" t="s">
        <v>446</v>
      </c>
      <c r="E360" s="109" t="s">
        <v>450</v>
      </c>
      <c r="F360" s="110">
        <v>1</v>
      </c>
      <c r="G360" s="110" t="s">
        <v>235</v>
      </c>
      <c r="H360" s="110">
        <f t="shared" si="35"/>
        <v>1</v>
      </c>
      <c r="I360" s="111">
        <f>(96*2700)+300000</f>
        <v>559200</v>
      </c>
      <c r="J360" s="111">
        <f t="shared" si="36"/>
        <v>559200</v>
      </c>
      <c r="K360" s="33"/>
    </row>
    <row r="361" spans="1:13">
      <c r="A361" s="264"/>
      <c r="B361" s="15" t="s">
        <v>633</v>
      </c>
      <c r="C361" s="15" t="s">
        <v>186</v>
      </c>
      <c r="D361" s="15" t="s">
        <v>623</v>
      </c>
      <c r="E361" s="15" t="s">
        <v>625</v>
      </c>
      <c r="F361" s="38">
        <v>1</v>
      </c>
      <c r="G361" s="38" t="s">
        <v>690</v>
      </c>
      <c r="H361" s="32">
        <f t="shared" si="35"/>
        <v>1</v>
      </c>
      <c r="I361" s="73">
        <f>16000+1800</f>
        <v>17800</v>
      </c>
      <c r="J361" s="72">
        <f t="shared" si="36"/>
        <v>17800</v>
      </c>
      <c r="K361" s="39"/>
    </row>
    <row r="362" spans="1:13" ht="17.5" thickBot="1">
      <c r="A362" s="264"/>
      <c r="B362" s="15" t="s">
        <v>69</v>
      </c>
      <c r="C362" s="15" t="s">
        <v>186</v>
      </c>
      <c r="D362" s="15" t="s">
        <v>1735</v>
      </c>
      <c r="E362" s="13" t="s">
        <v>693</v>
      </c>
      <c r="F362" s="38">
        <v>1</v>
      </c>
      <c r="G362" s="38" t="s">
        <v>1736</v>
      </c>
      <c r="H362" s="38">
        <f t="shared" si="35"/>
        <v>1</v>
      </c>
      <c r="I362" s="73">
        <v>6500</v>
      </c>
      <c r="J362" s="73">
        <f t="shared" si="36"/>
        <v>6500</v>
      </c>
      <c r="K362" s="39"/>
    </row>
    <row r="363" spans="1:13" ht="26" thickBot="1">
      <c r="A363" s="259"/>
      <c r="B363" s="9" t="s">
        <v>69</v>
      </c>
      <c r="C363" s="9" t="s">
        <v>186</v>
      </c>
      <c r="D363" s="9" t="s">
        <v>113</v>
      </c>
      <c r="E363" s="9" t="s">
        <v>113</v>
      </c>
      <c r="F363" s="43">
        <v>1</v>
      </c>
      <c r="G363" s="43" t="s">
        <v>240</v>
      </c>
      <c r="H363" s="32">
        <f t="shared" si="35"/>
        <v>1</v>
      </c>
      <c r="I363" s="74">
        <v>13400</v>
      </c>
      <c r="J363" s="74">
        <f t="shared" si="36"/>
        <v>13400</v>
      </c>
      <c r="K363" s="44"/>
      <c r="L363" s="254">
        <f>SUBTOTAL(9,J337:J388)</f>
        <v>1122797</v>
      </c>
    </row>
    <row r="364" spans="1:13" hidden="1">
      <c r="A364" s="274">
        <v>14</v>
      </c>
      <c r="B364" s="10" t="s">
        <v>69</v>
      </c>
      <c r="C364" s="10" t="s">
        <v>187</v>
      </c>
      <c r="D364" s="10" t="s">
        <v>555</v>
      </c>
      <c r="E364" s="10" t="s">
        <v>381</v>
      </c>
      <c r="F364" s="5">
        <v>1</v>
      </c>
      <c r="G364" s="5" t="s">
        <v>250</v>
      </c>
      <c r="H364" s="5">
        <f>$G$17*F364</f>
        <v>0</v>
      </c>
      <c r="I364" s="75"/>
      <c r="J364" s="75">
        <f t="shared" si="36"/>
        <v>0</v>
      </c>
      <c r="K364" s="40" t="s">
        <v>238</v>
      </c>
      <c r="L364" s="1"/>
      <c r="M364" s="1"/>
    </row>
    <row r="365" spans="1:13" hidden="1">
      <c r="A365" s="258"/>
      <c r="B365" s="34" t="s">
        <v>69</v>
      </c>
      <c r="C365" s="34" t="s">
        <v>187</v>
      </c>
      <c r="D365" s="34" t="s">
        <v>383</v>
      </c>
      <c r="E365" s="34" t="s">
        <v>384</v>
      </c>
      <c r="F365" s="32">
        <v>12</v>
      </c>
      <c r="G365" s="32" t="s">
        <v>954</v>
      </c>
      <c r="H365" s="32">
        <f t="shared" ref="H365:H388" si="37">$G$17*F365</f>
        <v>0</v>
      </c>
      <c r="I365" s="72"/>
      <c r="J365" s="72">
        <f t="shared" si="36"/>
        <v>0</v>
      </c>
      <c r="K365" s="33"/>
      <c r="L365" s="1"/>
      <c r="M365" s="1"/>
    </row>
    <row r="366" spans="1:13" hidden="1">
      <c r="A366" s="258"/>
      <c r="B366" s="13" t="s">
        <v>69</v>
      </c>
      <c r="C366" s="13" t="s">
        <v>187</v>
      </c>
      <c r="D366" s="13" t="s">
        <v>403</v>
      </c>
      <c r="E366" s="13" t="s">
        <v>412</v>
      </c>
      <c r="F366" s="32">
        <v>1</v>
      </c>
      <c r="G366" s="32" t="s">
        <v>567</v>
      </c>
      <c r="H366" s="32">
        <f t="shared" si="37"/>
        <v>0</v>
      </c>
      <c r="I366" s="76"/>
      <c r="J366" s="76">
        <f t="shared" si="36"/>
        <v>0</v>
      </c>
      <c r="K366" s="33"/>
      <c r="L366" s="1"/>
      <c r="M366" s="1"/>
    </row>
    <row r="367" spans="1:13" hidden="1">
      <c r="A367" s="258"/>
      <c r="B367" s="13" t="s">
        <v>69</v>
      </c>
      <c r="C367" s="13" t="s">
        <v>187</v>
      </c>
      <c r="D367" s="13" t="s">
        <v>409</v>
      </c>
      <c r="E367" s="13" t="s">
        <v>415</v>
      </c>
      <c r="F367" s="32">
        <v>1</v>
      </c>
      <c r="G367" s="32" t="s">
        <v>567</v>
      </c>
      <c r="H367" s="32">
        <f t="shared" si="37"/>
        <v>0</v>
      </c>
      <c r="I367" s="76"/>
      <c r="J367" s="76">
        <f t="shared" si="36"/>
        <v>0</v>
      </c>
      <c r="K367" s="33"/>
      <c r="L367" s="1"/>
      <c r="M367" s="1"/>
    </row>
    <row r="368" spans="1:13" hidden="1">
      <c r="A368" s="258"/>
      <c r="B368" s="13" t="s">
        <v>69</v>
      </c>
      <c r="C368" s="13" t="s">
        <v>187</v>
      </c>
      <c r="D368" s="13" t="s">
        <v>406</v>
      </c>
      <c r="E368" s="13" t="s">
        <v>418</v>
      </c>
      <c r="F368" s="32">
        <v>1</v>
      </c>
      <c r="G368" s="32" t="s">
        <v>567</v>
      </c>
      <c r="H368" s="32">
        <f t="shared" si="37"/>
        <v>0</v>
      </c>
      <c r="I368" s="76"/>
      <c r="J368" s="76">
        <f t="shared" si="36"/>
        <v>0</v>
      </c>
      <c r="K368" s="33"/>
      <c r="L368" s="1"/>
      <c r="M368" s="1"/>
    </row>
    <row r="369" spans="1:13" hidden="1">
      <c r="A369" s="258"/>
      <c r="B369" s="13" t="s">
        <v>69</v>
      </c>
      <c r="C369" s="13" t="s">
        <v>187</v>
      </c>
      <c r="D369" s="13" t="s">
        <v>486</v>
      </c>
      <c r="E369" s="13" t="s">
        <v>386</v>
      </c>
      <c r="F369" s="32">
        <v>1</v>
      </c>
      <c r="G369" s="32" t="s">
        <v>569</v>
      </c>
      <c r="H369" s="32">
        <f t="shared" si="37"/>
        <v>0</v>
      </c>
      <c r="I369" s="76"/>
      <c r="J369" s="76">
        <f t="shared" si="36"/>
        <v>0</v>
      </c>
      <c r="K369" s="33"/>
      <c r="L369" s="1"/>
      <c r="M369" s="1"/>
    </row>
    <row r="370" spans="1:13" hidden="1">
      <c r="A370" s="258"/>
      <c r="B370" s="13" t="s">
        <v>69</v>
      </c>
      <c r="C370" s="13" t="s">
        <v>187</v>
      </c>
      <c r="D370" s="13" t="s">
        <v>542</v>
      </c>
      <c r="E370" s="13" t="s">
        <v>422</v>
      </c>
      <c r="F370" s="32">
        <v>2</v>
      </c>
      <c r="G370" s="32" t="s">
        <v>561</v>
      </c>
      <c r="H370" s="32">
        <f t="shared" si="37"/>
        <v>0</v>
      </c>
      <c r="I370" s="72"/>
      <c r="J370" s="72">
        <f t="shared" si="36"/>
        <v>0</v>
      </c>
      <c r="K370" s="33"/>
      <c r="L370" s="1"/>
      <c r="M370" s="1"/>
    </row>
    <row r="371" spans="1:13" hidden="1">
      <c r="A371" s="258"/>
      <c r="B371" s="13" t="s">
        <v>69</v>
      </c>
      <c r="C371" s="13" t="s">
        <v>187</v>
      </c>
      <c r="D371" s="13" t="s">
        <v>543</v>
      </c>
      <c r="E371" s="13" t="s">
        <v>424</v>
      </c>
      <c r="F371" s="32">
        <v>2</v>
      </c>
      <c r="G371" s="32" t="s">
        <v>561</v>
      </c>
      <c r="H371" s="32">
        <f t="shared" si="37"/>
        <v>0</v>
      </c>
      <c r="I371" s="72"/>
      <c r="J371" s="72">
        <f t="shared" si="36"/>
        <v>0</v>
      </c>
      <c r="K371" s="33"/>
      <c r="L371" s="1"/>
      <c r="M371" s="1"/>
    </row>
    <row r="372" spans="1:13" hidden="1">
      <c r="A372" s="258"/>
      <c r="B372" s="13" t="s">
        <v>69</v>
      </c>
      <c r="C372" s="13" t="s">
        <v>187</v>
      </c>
      <c r="D372" s="13" t="s">
        <v>544</v>
      </c>
      <c r="E372" s="13" t="s">
        <v>420</v>
      </c>
      <c r="F372" s="32">
        <v>2</v>
      </c>
      <c r="G372" s="32" t="s">
        <v>561</v>
      </c>
      <c r="H372" s="32">
        <f t="shared" si="37"/>
        <v>0</v>
      </c>
      <c r="I372" s="72"/>
      <c r="J372" s="72">
        <f t="shared" si="36"/>
        <v>0</v>
      </c>
      <c r="K372" s="33"/>
      <c r="L372" s="1"/>
      <c r="M372" s="1"/>
    </row>
    <row r="373" spans="1:13" hidden="1">
      <c r="A373" s="258"/>
      <c r="B373" s="13" t="s">
        <v>69</v>
      </c>
      <c r="C373" s="13" t="s">
        <v>187</v>
      </c>
      <c r="D373" s="13" t="s">
        <v>553</v>
      </c>
      <c r="E373" s="13" t="s">
        <v>425</v>
      </c>
      <c r="F373" s="32">
        <v>2</v>
      </c>
      <c r="G373" s="32" t="s">
        <v>561</v>
      </c>
      <c r="H373" s="32">
        <f t="shared" si="37"/>
        <v>0</v>
      </c>
      <c r="I373" s="72"/>
      <c r="J373" s="72">
        <f t="shared" si="36"/>
        <v>0</v>
      </c>
      <c r="K373" s="33"/>
      <c r="L373" s="1"/>
      <c r="M373" s="1"/>
    </row>
    <row r="374" spans="1:13" hidden="1">
      <c r="A374" s="258"/>
      <c r="B374" s="13" t="s">
        <v>69</v>
      </c>
      <c r="C374" s="13" t="s">
        <v>187</v>
      </c>
      <c r="D374" s="13" t="s">
        <v>537</v>
      </c>
      <c r="E374" s="13" t="s">
        <v>427</v>
      </c>
      <c r="F374" s="32">
        <v>1</v>
      </c>
      <c r="G374" s="32" t="s">
        <v>562</v>
      </c>
      <c r="H374" s="32">
        <f t="shared" si="37"/>
        <v>0</v>
      </c>
      <c r="I374" s="72"/>
      <c r="J374" s="72">
        <f t="shared" si="36"/>
        <v>0</v>
      </c>
      <c r="K374" s="33"/>
      <c r="L374" s="1"/>
      <c r="M374" s="1"/>
    </row>
    <row r="375" spans="1:13" hidden="1">
      <c r="A375" s="258"/>
      <c r="B375" s="34" t="s">
        <v>69</v>
      </c>
      <c r="C375" s="34" t="s">
        <v>187</v>
      </c>
      <c r="D375" s="34" t="s">
        <v>540</v>
      </c>
      <c r="E375" s="34" t="s">
        <v>429</v>
      </c>
      <c r="F375" s="32">
        <v>1</v>
      </c>
      <c r="G375" s="32" t="s">
        <v>568</v>
      </c>
      <c r="H375" s="32">
        <f t="shared" si="37"/>
        <v>0</v>
      </c>
      <c r="I375" s="72"/>
      <c r="J375" s="72">
        <f t="shared" si="36"/>
        <v>0</v>
      </c>
      <c r="K375" s="33"/>
      <c r="L375" s="1"/>
      <c r="M375" s="1"/>
    </row>
    <row r="376" spans="1:13" hidden="1">
      <c r="A376" s="258"/>
      <c r="B376" s="13" t="s">
        <v>69</v>
      </c>
      <c r="C376" s="13" t="s">
        <v>187</v>
      </c>
      <c r="D376" s="13" t="s">
        <v>432</v>
      </c>
      <c r="E376" s="13" t="s">
        <v>430</v>
      </c>
      <c r="F376" s="32">
        <v>1</v>
      </c>
      <c r="G376" s="32" t="s">
        <v>561</v>
      </c>
      <c r="H376" s="32">
        <f t="shared" si="37"/>
        <v>0</v>
      </c>
      <c r="I376" s="76"/>
      <c r="J376" s="76">
        <f t="shared" si="36"/>
        <v>0</v>
      </c>
      <c r="K376" s="33"/>
      <c r="L376" s="1"/>
      <c r="M376" s="1"/>
    </row>
    <row r="377" spans="1:13" hidden="1">
      <c r="A377" s="258"/>
      <c r="B377" s="13" t="s">
        <v>69</v>
      </c>
      <c r="C377" s="13" t="s">
        <v>187</v>
      </c>
      <c r="D377" s="13" t="s">
        <v>436</v>
      </c>
      <c r="E377" s="13" t="s">
        <v>434</v>
      </c>
      <c r="F377" s="32">
        <v>1</v>
      </c>
      <c r="G377" s="32" t="s">
        <v>561</v>
      </c>
      <c r="H377" s="32">
        <f t="shared" si="37"/>
        <v>0</v>
      </c>
      <c r="I377" s="76"/>
      <c r="J377" s="76">
        <f t="shared" si="36"/>
        <v>0</v>
      </c>
      <c r="K377" s="33"/>
      <c r="L377" s="1"/>
      <c r="M377" s="1"/>
    </row>
    <row r="378" spans="1:13" hidden="1">
      <c r="A378" s="258"/>
      <c r="B378" s="13" t="s">
        <v>69</v>
      </c>
      <c r="C378" s="13" t="s">
        <v>187</v>
      </c>
      <c r="D378" s="13" t="s">
        <v>439</v>
      </c>
      <c r="E378" s="13" t="s">
        <v>612</v>
      </c>
      <c r="F378" s="32">
        <v>2</v>
      </c>
      <c r="G378" s="32" t="s">
        <v>561</v>
      </c>
      <c r="H378" s="32">
        <f t="shared" si="37"/>
        <v>0</v>
      </c>
      <c r="I378" s="76"/>
      <c r="J378" s="76">
        <f t="shared" si="36"/>
        <v>0</v>
      </c>
      <c r="K378" s="33"/>
      <c r="L378" s="1"/>
      <c r="M378" s="1"/>
    </row>
    <row r="379" spans="1:13" hidden="1">
      <c r="A379" s="258"/>
      <c r="B379" s="34" t="s">
        <v>69</v>
      </c>
      <c r="C379" s="34" t="s">
        <v>187</v>
      </c>
      <c r="D379" s="34" t="s">
        <v>529</v>
      </c>
      <c r="E379" s="34" t="s">
        <v>530</v>
      </c>
      <c r="F379" s="32">
        <v>1</v>
      </c>
      <c r="G379" s="32" t="s">
        <v>566</v>
      </c>
      <c r="H379" s="32">
        <f t="shared" si="37"/>
        <v>0</v>
      </c>
      <c r="I379" s="72"/>
      <c r="J379" s="72">
        <f t="shared" si="36"/>
        <v>0</v>
      </c>
      <c r="K379" s="33"/>
      <c r="L379" s="1"/>
      <c r="M379" s="1"/>
    </row>
    <row r="380" spans="1:13" hidden="1">
      <c r="A380" s="258"/>
      <c r="B380" s="34" t="s">
        <v>69</v>
      </c>
      <c r="C380" s="34" t="s">
        <v>187</v>
      </c>
      <c r="D380" s="34" t="s">
        <v>531</v>
      </c>
      <c r="E380" s="34" t="s">
        <v>532</v>
      </c>
      <c r="F380" s="32">
        <v>1</v>
      </c>
      <c r="G380" s="32" t="s">
        <v>566</v>
      </c>
      <c r="H380" s="32">
        <f t="shared" si="37"/>
        <v>0</v>
      </c>
      <c r="I380" s="72"/>
      <c r="J380" s="72">
        <f t="shared" si="36"/>
        <v>0</v>
      </c>
      <c r="K380" s="33"/>
      <c r="L380" s="1"/>
      <c r="M380" s="1"/>
    </row>
    <row r="381" spans="1:13" hidden="1">
      <c r="A381" s="258"/>
      <c r="B381" s="34" t="s">
        <v>69</v>
      </c>
      <c r="C381" s="34" t="s">
        <v>187</v>
      </c>
      <c r="D381" s="34" t="s">
        <v>443</v>
      </c>
      <c r="E381" s="34" t="s">
        <v>442</v>
      </c>
      <c r="F381" s="32">
        <v>1</v>
      </c>
      <c r="G381" s="32" t="s">
        <v>570</v>
      </c>
      <c r="H381" s="32">
        <f t="shared" si="37"/>
        <v>0</v>
      </c>
      <c r="I381" s="72"/>
      <c r="J381" s="72">
        <f t="shared" si="36"/>
        <v>0</v>
      </c>
      <c r="K381" s="33"/>
      <c r="L381" s="1"/>
      <c r="M381" s="1"/>
    </row>
    <row r="382" spans="1:13" hidden="1">
      <c r="A382" s="258"/>
      <c r="B382" s="34" t="s">
        <v>69</v>
      </c>
      <c r="C382" s="34" t="s">
        <v>187</v>
      </c>
      <c r="D382" s="34" t="s">
        <v>441</v>
      </c>
      <c r="E382" s="34" t="s">
        <v>440</v>
      </c>
      <c r="F382" s="32">
        <v>1</v>
      </c>
      <c r="G382" s="32" t="s">
        <v>570</v>
      </c>
      <c r="H382" s="32">
        <f t="shared" si="37"/>
        <v>0</v>
      </c>
      <c r="I382" s="72"/>
      <c r="J382" s="72">
        <f t="shared" si="36"/>
        <v>0</v>
      </c>
      <c r="K382" s="33"/>
      <c r="L382" s="1"/>
      <c r="M382" s="1"/>
    </row>
    <row r="383" spans="1:13" hidden="1">
      <c r="A383" s="258"/>
      <c r="B383" s="34" t="s">
        <v>69</v>
      </c>
      <c r="C383" s="34" t="s">
        <v>187</v>
      </c>
      <c r="D383" s="34" t="s">
        <v>546</v>
      </c>
      <c r="E383" s="34" t="s">
        <v>547</v>
      </c>
      <c r="F383" s="32">
        <v>1</v>
      </c>
      <c r="G383" s="32" t="s">
        <v>571</v>
      </c>
      <c r="H383" s="32">
        <f t="shared" si="37"/>
        <v>0</v>
      </c>
      <c r="I383" s="72"/>
      <c r="J383" s="72">
        <f t="shared" si="36"/>
        <v>0</v>
      </c>
      <c r="K383" s="33"/>
      <c r="L383" s="1"/>
      <c r="M383" s="1"/>
    </row>
    <row r="384" spans="1:13" hidden="1">
      <c r="A384" s="258"/>
      <c r="B384" s="34" t="s">
        <v>69</v>
      </c>
      <c r="C384" s="34" t="s">
        <v>187</v>
      </c>
      <c r="D384" s="34" t="s">
        <v>554</v>
      </c>
      <c r="E384" s="34" t="s">
        <v>533</v>
      </c>
      <c r="F384" s="32">
        <v>1</v>
      </c>
      <c r="G384" s="32" t="s">
        <v>571</v>
      </c>
      <c r="H384" s="32">
        <f t="shared" si="37"/>
        <v>0</v>
      </c>
      <c r="I384" s="72"/>
      <c r="J384" s="72">
        <f t="shared" si="36"/>
        <v>0</v>
      </c>
      <c r="K384" s="33"/>
      <c r="L384" s="1"/>
      <c r="M384" s="1"/>
    </row>
    <row r="385" spans="1:13" hidden="1">
      <c r="A385" s="258"/>
      <c r="B385" s="13" t="s">
        <v>69</v>
      </c>
      <c r="C385" s="13" t="s">
        <v>187</v>
      </c>
      <c r="D385" s="13" t="s">
        <v>118</v>
      </c>
      <c r="E385" s="13" t="s">
        <v>522</v>
      </c>
      <c r="F385" s="32">
        <v>2</v>
      </c>
      <c r="G385" s="32" t="s">
        <v>560</v>
      </c>
      <c r="H385" s="32">
        <f t="shared" si="37"/>
        <v>0</v>
      </c>
      <c r="I385" s="72">
        <v>76100</v>
      </c>
      <c r="J385" s="72">
        <f t="shared" si="36"/>
        <v>0</v>
      </c>
      <c r="K385" s="33"/>
      <c r="L385" s="1"/>
      <c r="M385" s="1"/>
    </row>
    <row r="386" spans="1:13" hidden="1">
      <c r="A386" s="258"/>
      <c r="B386" s="13" t="s">
        <v>69</v>
      </c>
      <c r="C386" s="13" t="s">
        <v>187</v>
      </c>
      <c r="D386" s="13" t="s">
        <v>447</v>
      </c>
      <c r="E386" s="13" t="s">
        <v>451</v>
      </c>
      <c r="F386" s="32">
        <v>1</v>
      </c>
      <c r="G386" s="32" t="s">
        <v>235</v>
      </c>
      <c r="H386" s="32">
        <f t="shared" si="37"/>
        <v>0</v>
      </c>
      <c r="I386" s="72"/>
      <c r="J386" s="72">
        <f t="shared" si="36"/>
        <v>0</v>
      </c>
      <c r="K386" s="33"/>
      <c r="L386" s="1"/>
      <c r="M386" s="1"/>
    </row>
    <row r="387" spans="1:13" hidden="1">
      <c r="A387" s="264"/>
      <c r="B387" s="46" t="s">
        <v>633</v>
      </c>
      <c r="C387" s="46" t="s">
        <v>187</v>
      </c>
      <c r="D387" s="46" t="s">
        <v>623</v>
      </c>
      <c r="E387" s="46" t="s">
        <v>625</v>
      </c>
      <c r="F387" s="38">
        <v>1</v>
      </c>
      <c r="G387" s="38"/>
      <c r="H387" s="38"/>
      <c r="I387" s="73"/>
      <c r="J387" s="73"/>
      <c r="K387" s="39"/>
      <c r="L387" s="1"/>
      <c r="M387" s="1"/>
    </row>
    <row r="388" spans="1:13" ht="17.5" hidden="1" thickBot="1">
      <c r="A388" s="297"/>
      <c r="B388" s="46" t="s">
        <v>69</v>
      </c>
      <c r="C388" s="46" t="s">
        <v>187</v>
      </c>
      <c r="D388" s="46" t="s">
        <v>113</v>
      </c>
      <c r="E388" s="46" t="s">
        <v>113</v>
      </c>
      <c r="F388" s="38">
        <v>1</v>
      </c>
      <c r="G388" s="38" t="s">
        <v>240</v>
      </c>
      <c r="H388" s="38">
        <f t="shared" si="37"/>
        <v>0</v>
      </c>
      <c r="I388" s="73"/>
      <c r="J388" s="73">
        <f t="shared" si="36"/>
        <v>0</v>
      </c>
      <c r="K388" s="39"/>
      <c r="L388" s="1"/>
      <c r="M388" s="1"/>
    </row>
    <row r="389" spans="1:13">
      <c r="A389" s="257">
        <v>15</v>
      </c>
      <c r="B389" s="11" t="s">
        <v>69</v>
      </c>
      <c r="C389" s="11" t="s">
        <v>188</v>
      </c>
      <c r="D389" s="11" t="s">
        <v>555</v>
      </c>
      <c r="E389" s="11" t="s">
        <v>381</v>
      </c>
      <c r="F389" s="30">
        <v>1</v>
      </c>
      <c r="G389" s="30" t="s">
        <v>679</v>
      </c>
      <c r="H389" s="30">
        <f t="shared" ref="H389:H403" si="38">$G$18*F389</f>
        <v>1</v>
      </c>
      <c r="I389" s="71">
        <f>158000+56000</f>
        <v>214000</v>
      </c>
      <c r="J389" s="77">
        <f t="shared" si="36"/>
        <v>214000</v>
      </c>
      <c r="K389" s="31" t="s">
        <v>238</v>
      </c>
      <c r="L389" s="59"/>
      <c r="M389" s="59"/>
    </row>
    <row r="390" spans="1:13">
      <c r="A390" s="258"/>
      <c r="B390" s="13" t="s">
        <v>69</v>
      </c>
      <c r="C390" s="13" t="s">
        <v>188</v>
      </c>
      <c r="D390" s="13" t="s">
        <v>383</v>
      </c>
      <c r="E390" s="13" t="s">
        <v>384</v>
      </c>
      <c r="F390" s="32">
        <v>12</v>
      </c>
      <c r="G390" s="32" t="s">
        <v>954</v>
      </c>
      <c r="H390" s="32">
        <f t="shared" si="38"/>
        <v>12</v>
      </c>
      <c r="I390" s="72">
        <v>2470</v>
      </c>
      <c r="J390" s="72">
        <f t="shared" si="36"/>
        <v>29640</v>
      </c>
      <c r="K390" s="33"/>
    </row>
    <row r="391" spans="1:13">
      <c r="A391" s="258"/>
      <c r="B391" s="13" t="s">
        <v>69</v>
      </c>
      <c r="C391" s="13" t="s">
        <v>188</v>
      </c>
      <c r="D391" s="13" t="s">
        <v>403</v>
      </c>
      <c r="E391" s="13" t="s">
        <v>977</v>
      </c>
      <c r="F391" s="32">
        <v>1</v>
      </c>
      <c r="G391" s="13" t="s">
        <v>1733</v>
      </c>
      <c r="H391" s="32">
        <f t="shared" si="38"/>
        <v>1</v>
      </c>
      <c r="I391" s="301">
        <v>32037</v>
      </c>
      <c r="J391" s="298">
        <f t="shared" si="36"/>
        <v>32037</v>
      </c>
      <c r="K391" s="33"/>
      <c r="L391" s="59"/>
      <c r="M391" s="59"/>
    </row>
    <row r="392" spans="1:13">
      <c r="A392" s="258"/>
      <c r="B392" s="13" t="s">
        <v>69</v>
      </c>
      <c r="C392" s="13" t="s">
        <v>188</v>
      </c>
      <c r="D392" s="13" t="s">
        <v>409</v>
      </c>
      <c r="E392" s="13" t="s">
        <v>979</v>
      </c>
      <c r="F392" s="32">
        <v>1</v>
      </c>
      <c r="G392" s="13" t="s">
        <v>1733</v>
      </c>
      <c r="H392" s="32">
        <f t="shared" si="38"/>
        <v>1</v>
      </c>
      <c r="I392" s="302"/>
      <c r="J392" s="299"/>
      <c r="K392" s="33"/>
      <c r="L392" s="59"/>
      <c r="M392" s="59"/>
    </row>
    <row r="393" spans="1:13">
      <c r="A393" s="258"/>
      <c r="B393" s="13" t="s">
        <v>69</v>
      </c>
      <c r="C393" s="13" t="s">
        <v>188</v>
      </c>
      <c r="D393" s="13" t="s">
        <v>406</v>
      </c>
      <c r="E393" s="13" t="s">
        <v>980</v>
      </c>
      <c r="F393" s="32">
        <v>1</v>
      </c>
      <c r="G393" s="13" t="s">
        <v>1733</v>
      </c>
      <c r="H393" s="32">
        <f t="shared" si="38"/>
        <v>1</v>
      </c>
      <c r="I393" s="303"/>
      <c r="J393" s="300"/>
      <c r="K393" s="33"/>
      <c r="L393" s="59"/>
      <c r="M393" s="59"/>
    </row>
    <row r="394" spans="1:13">
      <c r="A394" s="258"/>
      <c r="B394" s="13" t="s">
        <v>69</v>
      </c>
      <c r="C394" s="13" t="s">
        <v>188</v>
      </c>
      <c r="D394" s="13" t="s">
        <v>556</v>
      </c>
      <c r="E394" s="13" t="s">
        <v>401</v>
      </c>
      <c r="F394" s="32">
        <v>1</v>
      </c>
      <c r="G394" s="32" t="s">
        <v>569</v>
      </c>
      <c r="H394" s="32">
        <f t="shared" si="38"/>
        <v>1</v>
      </c>
      <c r="I394" s="72">
        <v>5300</v>
      </c>
      <c r="J394" s="72">
        <f t="shared" si="36"/>
        <v>5300</v>
      </c>
      <c r="K394" s="33"/>
    </row>
    <row r="395" spans="1:13">
      <c r="A395" s="258"/>
      <c r="B395" s="13" t="s">
        <v>69</v>
      </c>
      <c r="C395" s="13" t="s">
        <v>188</v>
      </c>
      <c r="D395" s="13" t="s">
        <v>542</v>
      </c>
      <c r="E395" s="13" t="s">
        <v>983</v>
      </c>
      <c r="F395" s="32">
        <v>2</v>
      </c>
      <c r="G395" s="32" t="s">
        <v>955</v>
      </c>
      <c r="H395" s="32">
        <f t="shared" si="38"/>
        <v>2</v>
      </c>
      <c r="I395" s="72">
        <v>400</v>
      </c>
      <c r="J395" s="72">
        <f t="shared" si="36"/>
        <v>800</v>
      </c>
      <c r="K395" s="33"/>
    </row>
    <row r="396" spans="1:13">
      <c r="A396" s="258"/>
      <c r="B396" s="13" t="s">
        <v>69</v>
      </c>
      <c r="C396" s="13" t="s">
        <v>188</v>
      </c>
      <c r="D396" s="13" t="s">
        <v>543</v>
      </c>
      <c r="E396" s="13" t="s">
        <v>984</v>
      </c>
      <c r="F396" s="32">
        <v>2</v>
      </c>
      <c r="G396" s="32" t="s">
        <v>955</v>
      </c>
      <c r="H396" s="32">
        <f t="shared" si="38"/>
        <v>2</v>
      </c>
      <c r="I396" s="72">
        <v>400</v>
      </c>
      <c r="J396" s="72">
        <f t="shared" si="36"/>
        <v>800</v>
      </c>
      <c r="K396" s="33"/>
    </row>
    <row r="397" spans="1:13">
      <c r="A397" s="258"/>
      <c r="B397" s="13" t="s">
        <v>69</v>
      </c>
      <c r="C397" s="13" t="s">
        <v>188</v>
      </c>
      <c r="D397" s="13" t="s">
        <v>544</v>
      </c>
      <c r="E397" s="13" t="s">
        <v>985</v>
      </c>
      <c r="F397" s="32">
        <v>2</v>
      </c>
      <c r="G397" s="32" t="s">
        <v>955</v>
      </c>
      <c r="H397" s="32">
        <f t="shared" si="38"/>
        <v>2</v>
      </c>
      <c r="I397" s="72">
        <v>400</v>
      </c>
      <c r="J397" s="72">
        <f t="shared" si="36"/>
        <v>800</v>
      </c>
      <c r="K397" s="33"/>
    </row>
    <row r="398" spans="1:13">
      <c r="A398" s="258"/>
      <c r="B398" s="13" t="s">
        <v>69</v>
      </c>
      <c r="C398" s="13" t="s">
        <v>188</v>
      </c>
      <c r="D398" s="13" t="s">
        <v>553</v>
      </c>
      <c r="E398" s="13" t="s">
        <v>425</v>
      </c>
      <c r="F398" s="32">
        <v>2</v>
      </c>
      <c r="G398" s="32" t="s">
        <v>955</v>
      </c>
      <c r="H398" s="32">
        <f t="shared" si="38"/>
        <v>2</v>
      </c>
      <c r="I398" s="72">
        <v>1700</v>
      </c>
      <c r="J398" s="72">
        <f t="shared" si="36"/>
        <v>3400</v>
      </c>
      <c r="K398" s="33"/>
    </row>
    <row r="399" spans="1:13">
      <c r="A399" s="258"/>
      <c r="B399" s="13" t="s">
        <v>69</v>
      </c>
      <c r="C399" s="13" t="s">
        <v>188</v>
      </c>
      <c r="D399" s="13" t="s">
        <v>537</v>
      </c>
      <c r="E399" s="13" t="s">
        <v>427</v>
      </c>
      <c r="F399" s="32">
        <v>1</v>
      </c>
      <c r="G399" s="32" t="s">
        <v>680</v>
      </c>
      <c r="H399" s="32">
        <f t="shared" ref="H399" si="39">$G$4*F399</f>
        <v>1</v>
      </c>
      <c r="I399" s="72">
        <v>8500</v>
      </c>
      <c r="J399" s="72">
        <f t="shared" si="36"/>
        <v>8500</v>
      </c>
      <c r="K399" s="33"/>
    </row>
    <row r="400" spans="1:13">
      <c r="A400" s="258"/>
      <c r="B400" s="13" t="s">
        <v>69</v>
      </c>
      <c r="C400" s="13" t="s">
        <v>188</v>
      </c>
      <c r="D400" s="13" t="s">
        <v>540</v>
      </c>
      <c r="E400" s="13" t="s">
        <v>429</v>
      </c>
      <c r="F400" s="32">
        <v>1</v>
      </c>
      <c r="G400" s="32" t="s">
        <v>957</v>
      </c>
      <c r="H400" s="32">
        <f t="shared" si="38"/>
        <v>1</v>
      </c>
      <c r="I400" s="72">
        <v>4800</v>
      </c>
      <c r="J400" s="72">
        <f t="shared" si="36"/>
        <v>4800</v>
      </c>
      <c r="K400" s="33"/>
    </row>
    <row r="401" spans="1:13">
      <c r="A401" s="258"/>
      <c r="B401" s="13" t="s">
        <v>69</v>
      </c>
      <c r="C401" s="13" t="s">
        <v>188</v>
      </c>
      <c r="D401" s="13" t="s">
        <v>432</v>
      </c>
      <c r="E401" s="13" t="s">
        <v>430</v>
      </c>
      <c r="F401" s="32">
        <v>1</v>
      </c>
      <c r="G401" s="32" t="s">
        <v>955</v>
      </c>
      <c r="H401" s="32">
        <f t="shared" si="38"/>
        <v>1</v>
      </c>
      <c r="I401" s="76">
        <v>4000</v>
      </c>
      <c r="J401" s="76">
        <f t="shared" si="36"/>
        <v>4000</v>
      </c>
      <c r="K401" s="33"/>
      <c r="L401" s="59"/>
      <c r="M401" s="59"/>
    </row>
    <row r="402" spans="1:13">
      <c r="A402" s="258"/>
      <c r="B402" s="13" t="s">
        <v>69</v>
      </c>
      <c r="C402" s="13" t="s">
        <v>188</v>
      </c>
      <c r="D402" s="13" t="s">
        <v>436</v>
      </c>
      <c r="E402" s="13" t="s">
        <v>434</v>
      </c>
      <c r="F402" s="32">
        <v>1</v>
      </c>
      <c r="G402" s="32" t="s">
        <v>955</v>
      </c>
      <c r="H402" s="32">
        <f t="shared" si="38"/>
        <v>1</v>
      </c>
      <c r="I402" s="76">
        <v>4000</v>
      </c>
      <c r="J402" s="76">
        <f t="shared" si="36"/>
        <v>4000</v>
      </c>
      <c r="K402" s="33"/>
      <c r="L402" s="59"/>
      <c r="M402" s="59"/>
    </row>
    <row r="403" spans="1:13">
      <c r="A403" s="258"/>
      <c r="B403" s="13" t="s">
        <v>69</v>
      </c>
      <c r="C403" s="13" t="s">
        <v>188</v>
      </c>
      <c r="D403" s="13" t="s">
        <v>439</v>
      </c>
      <c r="E403" s="13" t="s">
        <v>612</v>
      </c>
      <c r="F403" s="32">
        <v>2</v>
      </c>
      <c r="G403" s="32" t="s">
        <v>955</v>
      </c>
      <c r="H403" s="32">
        <f t="shared" si="38"/>
        <v>2</v>
      </c>
      <c r="I403" s="76">
        <v>8000</v>
      </c>
      <c r="J403" s="76">
        <f t="shared" si="36"/>
        <v>16000</v>
      </c>
      <c r="K403" s="33"/>
      <c r="L403" s="59"/>
      <c r="M403" s="59"/>
    </row>
    <row r="404" spans="1:13">
      <c r="A404" s="258"/>
      <c r="B404" s="13" t="s">
        <v>69</v>
      </c>
      <c r="C404" s="13" t="s">
        <v>188</v>
      </c>
      <c r="D404" s="13" t="s">
        <v>529</v>
      </c>
      <c r="E404" s="13" t="s">
        <v>530</v>
      </c>
      <c r="F404" s="32">
        <v>1</v>
      </c>
      <c r="G404" s="32" t="s">
        <v>681</v>
      </c>
      <c r="H404" s="32">
        <f t="shared" ref="H404:H414" si="40">$G$4*F404</f>
        <v>1</v>
      </c>
      <c r="I404" s="72">
        <v>2520</v>
      </c>
      <c r="J404" s="72">
        <f t="shared" si="36"/>
        <v>2520</v>
      </c>
      <c r="K404" s="33"/>
    </row>
    <row r="405" spans="1:13">
      <c r="A405" s="258"/>
      <c r="B405" s="13" t="s">
        <v>69</v>
      </c>
      <c r="C405" s="13" t="s">
        <v>188</v>
      </c>
      <c r="D405" s="13" t="s">
        <v>531</v>
      </c>
      <c r="E405" s="13" t="s">
        <v>532</v>
      </c>
      <c r="F405" s="32">
        <v>1</v>
      </c>
      <c r="G405" s="32" t="s">
        <v>976</v>
      </c>
      <c r="H405" s="32">
        <f t="shared" si="40"/>
        <v>1</v>
      </c>
      <c r="I405" s="72">
        <v>5500</v>
      </c>
      <c r="J405" s="72">
        <f t="shared" si="36"/>
        <v>5500</v>
      </c>
      <c r="K405" s="33"/>
    </row>
    <row r="406" spans="1:13">
      <c r="A406" s="258"/>
      <c r="B406" s="13" t="s">
        <v>69</v>
      </c>
      <c r="C406" s="13" t="s">
        <v>188</v>
      </c>
      <c r="D406" s="13" t="s">
        <v>443</v>
      </c>
      <c r="E406" s="13" t="s">
        <v>442</v>
      </c>
      <c r="F406" s="32">
        <v>1</v>
      </c>
      <c r="G406" s="32" t="s">
        <v>678</v>
      </c>
      <c r="H406" s="32">
        <f t="shared" si="40"/>
        <v>1</v>
      </c>
      <c r="I406" s="72">
        <v>7000</v>
      </c>
      <c r="J406" s="72">
        <f t="shared" si="36"/>
        <v>7000</v>
      </c>
      <c r="K406" s="33"/>
    </row>
    <row r="407" spans="1:13">
      <c r="A407" s="258"/>
      <c r="B407" s="13" t="s">
        <v>69</v>
      </c>
      <c r="C407" s="13" t="s">
        <v>188</v>
      </c>
      <c r="D407" s="13" t="s">
        <v>441</v>
      </c>
      <c r="E407" s="13" t="s">
        <v>440</v>
      </c>
      <c r="F407" s="32">
        <v>1</v>
      </c>
      <c r="G407" s="32" t="s">
        <v>678</v>
      </c>
      <c r="H407" s="32">
        <f t="shared" si="40"/>
        <v>1</v>
      </c>
      <c r="I407" s="72">
        <v>7000</v>
      </c>
      <c r="J407" s="72">
        <f t="shared" si="36"/>
        <v>7000</v>
      </c>
      <c r="K407" s="33"/>
    </row>
    <row r="408" spans="1:13">
      <c r="A408" s="258"/>
      <c r="B408" s="13" t="s">
        <v>69</v>
      </c>
      <c r="C408" s="13" t="s">
        <v>188</v>
      </c>
      <c r="D408" s="13" t="s">
        <v>546</v>
      </c>
      <c r="E408" s="13" t="s">
        <v>547</v>
      </c>
      <c r="F408" s="32">
        <v>1</v>
      </c>
      <c r="G408" s="32" t="s">
        <v>571</v>
      </c>
      <c r="H408" s="32">
        <f t="shared" si="40"/>
        <v>1</v>
      </c>
      <c r="I408" s="72">
        <v>3200</v>
      </c>
      <c r="J408" s="72">
        <f t="shared" si="36"/>
        <v>3200</v>
      </c>
      <c r="K408" s="33"/>
    </row>
    <row r="409" spans="1:13">
      <c r="A409" s="258"/>
      <c r="B409" s="13" t="s">
        <v>69</v>
      </c>
      <c r="C409" s="13" t="s">
        <v>188</v>
      </c>
      <c r="D409" s="13" t="s">
        <v>554</v>
      </c>
      <c r="E409" s="13" t="s">
        <v>533</v>
      </c>
      <c r="F409" s="32">
        <v>1</v>
      </c>
      <c r="G409" s="32" t="s">
        <v>686</v>
      </c>
      <c r="H409" s="32">
        <f t="shared" si="40"/>
        <v>1</v>
      </c>
      <c r="I409" s="72">
        <v>900</v>
      </c>
      <c r="J409" s="72">
        <f t="shared" si="36"/>
        <v>900</v>
      </c>
      <c r="K409" s="33"/>
    </row>
    <row r="410" spans="1:13">
      <c r="A410" s="258"/>
      <c r="B410" s="13" t="s">
        <v>69</v>
      </c>
      <c r="C410" s="13" t="s">
        <v>188</v>
      </c>
      <c r="D410" s="98" t="s">
        <v>118</v>
      </c>
      <c r="E410" s="98" t="s">
        <v>522</v>
      </c>
      <c r="F410" s="99">
        <v>2</v>
      </c>
      <c r="G410" s="99" t="s">
        <v>560</v>
      </c>
      <c r="H410" s="99">
        <f t="shared" si="40"/>
        <v>2</v>
      </c>
      <c r="I410" s="100">
        <v>88000</v>
      </c>
      <c r="J410" s="100">
        <f t="shared" si="36"/>
        <v>176000</v>
      </c>
      <c r="K410" s="33"/>
    </row>
    <row r="411" spans="1:13">
      <c r="A411" s="258"/>
      <c r="B411" s="13" t="s">
        <v>69</v>
      </c>
      <c r="C411" s="13" t="s">
        <v>188</v>
      </c>
      <c r="D411" s="109" t="s">
        <v>446</v>
      </c>
      <c r="E411" s="109" t="s">
        <v>450</v>
      </c>
      <c r="F411" s="110">
        <v>1</v>
      </c>
      <c r="G411" s="110" t="s">
        <v>235</v>
      </c>
      <c r="H411" s="110">
        <f t="shared" si="40"/>
        <v>1</v>
      </c>
      <c r="I411" s="111">
        <f>(96*2700)+300000</f>
        <v>559200</v>
      </c>
      <c r="J411" s="111">
        <f t="shared" si="36"/>
        <v>559200</v>
      </c>
      <c r="K411" s="33"/>
    </row>
    <row r="412" spans="1:13">
      <c r="A412" s="264"/>
      <c r="B412" s="15" t="s">
        <v>633</v>
      </c>
      <c r="C412" s="15" t="s">
        <v>188</v>
      </c>
      <c r="D412" s="15" t="s">
        <v>623</v>
      </c>
      <c r="E412" s="15" t="s">
        <v>625</v>
      </c>
      <c r="F412" s="38">
        <v>1</v>
      </c>
      <c r="G412" s="38" t="s">
        <v>690</v>
      </c>
      <c r="H412" s="32">
        <f t="shared" si="40"/>
        <v>1</v>
      </c>
      <c r="I412" s="73">
        <f>16000+1800</f>
        <v>17800</v>
      </c>
      <c r="J412" s="72">
        <f t="shared" si="36"/>
        <v>17800</v>
      </c>
      <c r="K412" s="39"/>
    </row>
    <row r="413" spans="1:13" ht="17.5" thickBot="1">
      <c r="A413" s="264"/>
      <c r="B413" s="15" t="s">
        <v>69</v>
      </c>
      <c r="C413" s="15" t="s">
        <v>188</v>
      </c>
      <c r="D413" s="15" t="s">
        <v>1735</v>
      </c>
      <c r="E413" s="13" t="s">
        <v>693</v>
      </c>
      <c r="F413" s="38">
        <v>1</v>
      </c>
      <c r="G413" s="38" t="s">
        <v>1736</v>
      </c>
      <c r="H413" s="38">
        <f t="shared" si="40"/>
        <v>1</v>
      </c>
      <c r="I413" s="73">
        <v>6500</v>
      </c>
      <c r="J413" s="73">
        <f t="shared" ref="J413" si="41">H413*I413</f>
        <v>6500</v>
      </c>
      <c r="K413" s="39"/>
    </row>
    <row r="414" spans="1:13" ht="26" thickBot="1">
      <c r="A414" s="259"/>
      <c r="B414" s="53" t="s">
        <v>69</v>
      </c>
      <c r="C414" s="53" t="s">
        <v>188</v>
      </c>
      <c r="D414" s="53" t="s">
        <v>113</v>
      </c>
      <c r="E414" s="53" t="s">
        <v>113</v>
      </c>
      <c r="F414" s="85">
        <v>1</v>
      </c>
      <c r="G414" s="85" t="s">
        <v>240</v>
      </c>
      <c r="H414" s="85">
        <f t="shared" si="40"/>
        <v>1</v>
      </c>
      <c r="I414" s="86">
        <v>13400</v>
      </c>
      <c r="J414" s="86">
        <f t="shared" si="36"/>
        <v>13400</v>
      </c>
      <c r="K414" s="44"/>
      <c r="L414" s="254">
        <f>SUBTOTAL(9,J388:J439)</f>
        <v>1123097</v>
      </c>
    </row>
    <row r="415" spans="1:13" hidden="1">
      <c r="A415" s="274">
        <v>16</v>
      </c>
      <c r="B415" s="10" t="s">
        <v>69</v>
      </c>
      <c r="C415" s="10" t="s">
        <v>189</v>
      </c>
      <c r="D415" s="10" t="s">
        <v>555</v>
      </c>
      <c r="E415" s="10" t="s">
        <v>381</v>
      </c>
      <c r="F415" s="5">
        <v>1</v>
      </c>
      <c r="G415" s="5" t="s">
        <v>250</v>
      </c>
      <c r="H415" s="5">
        <f>$G$19*F415</f>
        <v>0</v>
      </c>
      <c r="I415" s="75"/>
      <c r="J415" s="75">
        <f t="shared" si="36"/>
        <v>0</v>
      </c>
      <c r="K415" s="40" t="s">
        <v>238</v>
      </c>
      <c r="L415" s="1"/>
      <c r="M415" s="1"/>
    </row>
    <row r="416" spans="1:13" hidden="1">
      <c r="A416" s="258"/>
      <c r="B416" s="34" t="s">
        <v>69</v>
      </c>
      <c r="C416" s="34" t="s">
        <v>189</v>
      </c>
      <c r="D416" s="34" t="s">
        <v>383</v>
      </c>
      <c r="E416" s="34" t="s">
        <v>384</v>
      </c>
      <c r="F416" s="32">
        <v>12</v>
      </c>
      <c r="G416" s="32" t="s">
        <v>954</v>
      </c>
      <c r="H416" s="32">
        <f t="shared" ref="H416:H439" si="42">$G$19*F416</f>
        <v>0</v>
      </c>
      <c r="I416" s="72"/>
      <c r="J416" s="72">
        <f t="shared" si="36"/>
        <v>0</v>
      </c>
      <c r="K416" s="33"/>
      <c r="L416" s="1"/>
      <c r="M416" s="1"/>
    </row>
    <row r="417" spans="1:13" hidden="1">
      <c r="A417" s="258"/>
      <c r="B417" s="13" t="s">
        <v>69</v>
      </c>
      <c r="C417" s="13" t="s">
        <v>189</v>
      </c>
      <c r="D417" s="13" t="s">
        <v>403</v>
      </c>
      <c r="E417" s="13" t="s">
        <v>412</v>
      </c>
      <c r="F417" s="32">
        <v>1</v>
      </c>
      <c r="G417" s="32" t="s">
        <v>567</v>
      </c>
      <c r="H417" s="32">
        <f t="shared" si="42"/>
        <v>0</v>
      </c>
      <c r="I417" s="76"/>
      <c r="J417" s="76">
        <f t="shared" si="36"/>
        <v>0</v>
      </c>
      <c r="K417" s="33"/>
      <c r="L417" s="1"/>
      <c r="M417" s="1"/>
    </row>
    <row r="418" spans="1:13" hidden="1">
      <c r="A418" s="258"/>
      <c r="B418" s="13" t="s">
        <v>69</v>
      </c>
      <c r="C418" s="13" t="s">
        <v>189</v>
      </c>
      <c r="D418" s="13" t="s">
        <v>409</v>
      </c>
      <c r="E418" s="13" t="s">
        <v>415</v>
      </c>
      <c r="F418" s="32">
        <v>1</v>
      </c>
      <c r="G418" s="32" t="s">
        <v>567</v>
      </c>
      <c r="H418" s="32">
        <f t="shared" si="42"/>
        <v>0</v>
      </c>
      <c r="I418" s="76"/>
      <c r="J418" s="76">
        <f t="shared" si="36"/>
        <v>0</v>
      </c>
      <c r="K418" s="33"/>
      <c r="L418" s="1"/>
      <c r="M418" s="1"/>
    </row>
    <row r="419" spans="1:13" hidden="1">
      <c r="A419" s="258"/>
      <c r="B419" s="13" t="s">
        <v>69</v>
      </c>
      <c r="C419" s="13" t="s">
        <v>189</v>
      </c>
      <c r="D419" s="13" t="s">
        <v>406</v>
      </c>
      <c r="E419" s="13" t="s">
        <v>418</v>
      </c>
      <c r="F419" s="32">
        <v>1</v>
      </c>
      <c r="G419" s="32" t="s">
        <v>567</v>
      </c>
      <c r="H419" s="32">
        <f t="shared" si="42"/>
        <v>0</v>
      </c>
      <c r="I419" s="76"/>
      <c r="J419" s="76">
        <f t="shared" si="36"/>
        <v>0</v>
      </c>
      <c r="K419" s="33"/>
      <c r="L419" s="1"/>
      <c r="M419" s="1"/>
    </row>
    <row r="420" spans="1:13" hidden="1">
      <c r="A420" s="258"/>
      <c r="B420" s="13" t="s">
        <v>69</v>
      </c>
      <c r="C420" s="13" t="s">
        <v>189</v>
      </c>
      <c r="D420" s="13" t="s">
        <v>556</v>
      </c>
      <c r="E420" s="13" t="s">
        <v>401</v>
      </c>
      <c r="F420" s="32">
        <v>1</v>
      </c>
      <c r="G420" s="32" t="s">
        <v>569</v>
      </c>
      <c r="H420" s="32">
        <f t="shared" si="42"/>
        <v>0</v>
      </c>
      <c r="I420" s="72"/>
      <c r="J420" s="72">
        <f t="shared" si="36"/>
        <v>0</v>
      </c>
      <c r="K420" s="33"/>
      <c r="L420" s="1"/>
      <c r="M420" s="1"/>
    </row>
    <row r="421" spans="1:13" hidden="1">
      <c r="A421" s="258"/>
      <c r="B421" s="13" t="s">
        <v>69</v>
      </c>
      <c r="C421" s="13" t="s">
        <v>189</v>
      </c>
      <c r="D421" s="13" t="s">
        <v>542</v>
      </c>
      <c r="E421" s="13" t="s">
        <v>422</v>
      </c>
      <c r="F421" s="32">
        <v>2</v>
      </c>
      <c r="G421" s="32" t="s">
        <v>561</v>
      </c>
      <c r="H421" s="32">
        <f t="shared" si="42"/>
        <v>0</v>
      </c>
      <c r="I421" s="72"/>
      <c r="J421" s="72">
        <f t="shared" ref="J421:J484" si="43">H421*I421</f>
        <v>0</v>
      </c>
      <c r="K421" s="33"/>
      <c r="L421" s="1"/>
      <c r="M421" s="1"/>
    </row>
    <row r="422" spans="1:13" hidden="1">
      <c r="A422" s="258"/>
      <c r="B422" s="13" t="s">
        <v>69</v>
      </c>
      <c r="C422" s="13" t="s">
        <v>189</v>
      </c>
      <c r="D422" s="13" t="s">
        <v>543</v>
      </c>
      <c r="E422" s="13" t="s">
        <v>424</v>
      </c>
      <c r="F422" s="32">
        <v>2</v>
      </c>
      <c r="G422" s="32" t="s">
        <v>561</v>
      </c>
      <c r="H422" s="32">
        <f t="shared" si="42"/>
        <v>0</v>
      </c>
      <c r="I422" s="72"/>
      <c r="J422" s="72">
        <f t="shared" si="43"/>
        <v>0</v>
      </c>
      <c r="K422" s="33"/>
      <c r="L422" s="1"/>
      <c r="M422" s="1"/>
    </row>
    <row r="423" spans="1:13" hidden="1">
      <c r="A423" s="258"/>
      <c r="B423" s="13" t="s">
        <v>69</v>
      </c>
      <c r="C423" s="13" t="s">
        <v>189</v>
      </c>
      <c r="D423" s="13" t="s">
        <v>544</v>
      </c>
      <c r="E423" s="13" t="s">
        <v>420</v>
      </c>
      <c r="F423" s="32">
        <v>2</v>
      </c>
      <c r="G423" s="32" t="s">
        <v>561</v>
      </c>
      <c r="H423" s="32">
        <f t="shared" si="42"/>
        <v>0</v>
      </c>
      <c r="I423" s="72"/>
      <c r="J423" s="72">
        <f t="shared" si="43"/>
        <v>0</v>
      </c>
      <c r="K423" s="33"/>
      <c r="L423" s="1"/>
      <c r="M423" s="1"/>
    </row>
    <row r="424" spans="1:13" hidden="1">
      <c r="A424" s="258"/>
      <c r="B424" s="13" t="s">
        <v>69</v>
      </c>
      <c r="C424" s="13" t="s">
        <v>189</v>
      </c>
      <c r="D424" s="13" t="s">
        <v>553</v>
      </c>
      <c r="E424" s="13" t="s">
        <v>425</v>
      </c>
      <c r="F424" s="32">
        <v>2</v>
      </c>
      <c r="G424" s="32" t="s">
        <v>561</v>
      </c>
      <c r="H424" s="32">
        <f t="shared" si="42"/>
        <v>0</v>
      </c>
      <c r="I424" s="72"/>
      <c r="J424" s="72">
        <f t="shared" si="43"/>
        <v>0</v>
      </c>
      <c r="K424" s="33"/>
      <c r="L424" s="1"/>
      <c r="M424" s="1"/>
    </row>
    <row r="425" spans="1:13" hidden="1">
      <c r="A425" s="258"/>
      <c r="B425" s="13" t="s">
        <v>69</v>
      </c>
      <c r="C425" s="13" t="s">
        <v>189</v>
      </c>
      <c r="D425" s="13" t="s">
        <v>537</v>
      </c>
      <c r="E425" s="13" t="s">
        <v>427</v>
      </c>
      <c r="F425" s="32">
        <v>1</v>
      </c>
      <c r="G425" s="32" t="s">
        <v>562</v>
      </c>
      <c r="H425" s="32">
        <f t="shared" si="42"/>
        <v>0</v>
      </c>
      <c r="I425" s="72"/>
      <c r="J425" s="72">
        <f t="shared" si="43"/>
        <v>0</v>
      </c>
      <c r="K425" s="33"/>
      <c r="L425" s="1"/>
      <c r="M425" s="1"/>
    </row>
    <row r="426" spans="1:13" hidden="1">
      <c r="A426" s="258"/>
      <c r="B426" s="34" t="s">
        <v>69</v>
      </c>
      <c r="C426" s="34" t="s">
        <v>189</v>
      </c>
      <c r="D426" s="34" t="s">
        <v>540</v>
      </c>
      <c r="E426" s="34" t="s">
        <v>429</v>
      </c>
      <c r="F426" s="32">
        <v>1</v>
      </c>
      <c r="G426" s="32" t="s">
        <v>568</v>
      </c>
      <c r="H426" s="32">
        <f t="shared" si="42"/>
        <v>0</v>
      </c>
      <c r="I426" s="72"/>
      <c r="J426" s="72">
        <f t="shared" si="43"/>
        <v>0</v>
      </c>
      <c r="K426" s="33"/>
      <c r="L426" s="1"/>
      <c r="M426" s="1"/>
    </row>
    <row r="427" spans="1:13" hidden="1">
      <c r="A427" s="258"/>
      <c r="B427" s="13" t="s">
        <v>69</v>
      </c>
      <c r="C427" s="13" t="s">
        <v>189</v>
      </c>
      <c r="D427" s="13" t="s">
        <v>432</v>
      </c>
      <c r="E427" s="13" t="s">
        <v>430</v>
      </c>
      <c r="F427" s="32">
        <v>1</v>
      </c>
      <c r="G427" s="32" t="s">
        <v>561</v>
      </c>
      <c r="H427" s="32">
        <f t="shared" si="42"/>
        <v>0</v>
      </c>
      <c r="I427" s="76"/>
      <c r="J427" s="76">
        <f t="shared" si="43"/>
        <v>0</v>
      </c>
      <c r="K427" s="33"/>
      <c r="L427" s="1"/>
      <c r="M427" s="1"/>
    </row>
    <row r="428" spans="1:13" hidden="1">
      <c r="A428" s="258"/>
      <c r="B428" s="13" t="s">
        <v>69</v>
      </c>
      <c r="C428" s="13" t="s">
        <v>189</v>
      </c>
      <c r="D428" s="13" t="s">
        <v>436</v>
      </c>
      <c r="E428" s="13" t="s">
        <v>434</v>
      </c>
      <c r="F428" s="32">
        <v>1</v>
      </c>
      <c r="G428" s="32" t="s">
        <v>561</v>
      </c>
      <c r="H428" s="32">
        <f t="shared" si="42"/>
        <v>0</v>
      </c>
      <c r="I428" s="76"/>
      <c r="J428" s="76">
        <f t="shared" si="43"/>
        <v>0</v>
      </c>
      <c r="K428" s="33"/>
      <c r="L428" s="1"/>
      <c r="M428" s="1"/>
    </row>
    <row r="429" spans="1:13" hidden="1">
      <c r="A429" s="258"/>
      <c r="B429" s="13" t="s">
        <v>69</v>
      </c>
      <c r="C429" s="13" t="s">
        <v>189</v>
      </c>
      <c r="D429" s="13" t="s">
        <v>439</v>
      </c>
      <c r="E429" s="13" t="s">
        <v>612</v>
      </c>
      <c r="F429" s="32">
        <v>2</v>
      </c>
      <c r="G429" s="32" t="s">
        <v>561</v>
      </c>
      <c r="H429" s="32">
        <f t="shared" si="42"/>
        <v>0</v>
      </c>
      <c r="I429" s="76"/>
      <c r="J429" s="76">
        <f t="shared" si="43"/>
        <v>0</v>
      </c>
      <c r="K429" s="33"/>
      <c r="L429" s="1"/>
      <c r="M429" s="1"/>
    </row>
    <row r="430" spans="1:13" hidden="1">
      <c r="A430" s="258"/>
      <c r="B430" s="34" t="s">
        <v>69</v>
      </c>
      <c r="C430" s="34" t="s">
        <v>189</v>
      </c>
      <c r="D430" s="34" t="s">
        <v>529</v>
      </c>
      <c r="E430" s="34" t="s">
        <v>530</v>
      </c>
      <c r="F430" s="32">
        <v>1</v>
      </c>
      <c r="G430" s="32" t="s">
        <v>566</v>
      </c>
      <c r="H430" s="32">
        <f t="shared" si="42"/>
        <v>0</v>
      </c>
      <c r="I430" s="72"/>
      <c r="J430" s="72">
        <f t="shared" si="43"/>
        <v>0</v>
      </c>
      <c r="K430" s="33"/>
      <c r="L430" s="1"/>
      <c r="M430" s="1"/>
    </row>
    <row r="431" spans="1:13" hidden="1">
      <c r="A431" s="258"/>
      <c r="B431" s="34" t="s">
        <v>69</v>
      </c>
      <c r="C431" s="34" t="s">
        <v>189</v>
      </c>
      <c r="D431" s="34" t="s">
        <v>531</v>
      </c>
      <c r="E431" s="34" t="s">
        <v>532</v>
      </c>
      <c r="F431" s="32">
        <v>1</v>
      </c>
      <c r="G431" s="32" t="s">
        <v>566</v>
      </c>
      <c r="H431" s="32">
        <f t="shared" si="42"/>
        <v>0</v>
      </c>
      <c r="I431" s="72"/>
      <c r="J431" s="72">
        <f t="shared" si="43"/>
        <v>0</v>
      </c>
      <c r="K431" s="33"/>
      <c r="L431" s="1"/>
      <c r="M431" s="1"/>
    </row>
    <row r="432" spans="1:13" hidden="1">
      <c r="A432" s="258"/>
      <c r="B432" s="34" t="s">
        <v>69</v>
      </c>
      <c r="C432" s="34" t="s">
        <v>189</v>
      </c>
      <c r="D432" s="34" t="s">
        <v>443</v>
      </c>
      <c r="E432" s="34" t="s">
        <v>442</v>
      </c>
      <c r="F432" s="32">
        <v>1</v>
      </c>
      <c r="G432" s="32" t="s">
        <v>570</v>
      </c>
      <c r="H432" s="32">
        <f t="shared" si="42"/>
        <v>0</v>
      </c>
      <c r="I432" s="72"/>
      <c r="J432" s="72">
        <f t="shared" si="43"/>
        <v>0</v>
      </c>
      <c r="K432" s="33"/>
      <c r="L432" s="1"/>
      <c r="M432" s="1"/>
    </row>
    <row r="433" spans="1:13" hidden="1">
      <c r="A433" s="258"/>
      <c r="B433" s="34" t="s">
        <v>69</v>
      </c>
      <c r="C433" s="34" t="s">
        <v>189</v>
      </c>
      <c r="D433" s="34" t="s">
        <v>441</v>
      </c>
      <c r="E433" s="34" t="s">
        <v>440</v>
      </c>
      <c r="F433" s="32">
        <v>1</v>
      </c>
      <c r="G433" s="32" t="s">
        <v>570</v>
      </c>
      <c r="H433" s="32">
        <f t="shared" si="42"/>
        <v>0</v>
      </c>
      <c r="I433" s="72"/>
      <c r="J433" s="72">
        <f t="shared" si="43"/>
        <v>0</v>
      </c>
      <c r="K433" s="33"/>
      <c r="L433" s="1"/>
      <c r="M433" s="1"/>
    </row>
    <row r="434" spans="1:13" hidden="1">
      <c r="A434" s="258"/>
      <c r="B434" s="34" t="s">
        <v>69</v>
      </c>
      <c r="C434" s="34" t="s">
        <v>189</v>
      </c>
      <c r="D434" s="34" t="s">
        <v>546</v>
      </c>
      <c r="E434" s="34" t="s">
        <v>547</v>
      </c>
      <c r="F434" s="32">
        <v>1</v>
      </c>
      <c r="G434" s="32" t="s">
        <v>571</v>
      </c>
      <c r="H434" s="32">
        <f t="shared" si="42"/>
        <v>0</v>
      </c>
      <c r="I434" s="72"/>
      <c r="J434" s="72">
        <f t="shared" si="43"/>
        <v>0</v>
      </c>
      <c r="K434" s="33"/>
      <c r="L434" s="1"/>
      <c r="M434" s="1"/>
    </row>
    <row r="435" spans="1:13" hidden="1">
      <c r="A435" s="258"/>
      <c r="B435" s="34" t="s">
        <v>69</v>
      </c>
      <c r="C435" s="34" t="s">
        <v>189</v>
      </c>
      <c r="D435" s="34" t="s">
        <v>554</v>
      </c>
      <c r="E435" s="34" t="s">
        <v>533</v>
      </c>
      <c r="F435" s="32">
        <v>1</v>
      </c>
      <c r="G435" s="32" t="s">
        <v>571</v>
      </c>
      <c r="H435" s="32">
        <f t="shared" si="42"/>
        <v>0</v>
      </c>
      <c r="I435" s="72"/>
      <c r="J435" s="72">
        <f t="shared" si="43"/>
        <v>0</v>
      </c>
      <c r="K435" s="33"/>
      <c r="L435" s="1"/>
      <c r="M435" s="1"/>
    </row>
    <row r="436" spans="1:13" hidden="1">
      <c r="A436" s="258"/>
      <c r="B436" s="13" t="s">
        <v>69</v>
      </c>
      <c r="C436" s="13" t="s">
        <v>189</v>
      </c>
      <c r="D436" s="13" t="s">
        <v>118</v>
      </c>
      <c r="E436" s="13" t="s">
        <v>522</v>
      </c>
      <c r="F436" s="32">
        <v>2</v>
      </c>
      <c r="G436" s="32" t="s">
        <v>560</v>
      </c>
      <c r="H436" s="32">
        <f t="shared" si="42"/>
        <v>0</v>
      </c>
      <c r="I436" s="72">
        <v>76100</v>
      </c>
      <c r="J436" s="72">
        <f t="shared" si="43"/>
        <v>0</v>
      </c>
      <c r="K436" s="33"/>
      <c r="L436" s="1"/>
      <c r="M436" s="1"/>
    </row>
    <row r="437" spans="1:13" hidden="1">
      <c r="A437" s="258"/>
      <c r="B437" s="13" t="s">
        <v>69</v>
      </c>
      <c r="C437" s="13" t="s">
        <v>189</v>
      </c>
      <c r="D437" s="13" t="s">
        <v>447</v>
      </c>
      <c r="E437" s="13" t="s">
        <v>451</v>
      </c>
      <c r="F437" s="32">
        <v>1</v>
      </c>
      <c r="G437" s="32" t="s">
        <v>235</v>
      </c>
      <c r="H437" s="32">
        <f t="shared" si="42"/>
        <v>0</v>
      </c>
      <c r="I437" s="72"/>
      <c r="J437" s="72">
        <f t="shared" si="43"/>
        <v>0</v>
      </c>
      <c r="K437" s="33"/>
      <c r="L437" s="1"/>
      <c r="M437" s="1"/>
    </row>
    <row r="438" spans="1:13" hidden="1">
      <c r="A438" s="264"/>
      <c r="B438" s="46" t="s">
        <v>633</v>
      </c>
      <c r="C438" s="46" t="s">
        <v>189</v>
      </c>
      <c r="D438" s="46" t="s">
        <v>623</v>
      </c>
      <c r="E438" s="46" t="s">
        <v>625</v>
      </c>
      <c r="F438" s="38">
        <v>1</v>
      </c>
      <c r="G438" s="38"/>
      <c r="H438" s="38"/>
      <c r="I438" s="73"/>
      <c r="J438" s="73"/>
      <c r="K438" s="39"/>
      <c r="L438" s="1"/>
      <c r="M438" s="1"/>
    </row>
    <row r="439" spans="1:13" ht="17.5" hidden="1" thickBot="1">
      <c r="A439" s="297"/>
      <c r="B439" s="46" t="s">
        <v>69</v>
      </c>
      <c r="C439" s="46" t="s">
        <v>189</v>
      </c>
      <c r="D439" s="46" t="s">
        <v>113</v>
      </c>
      <c r="E439" s="46" t="s">
        <v>113</v>
      </c>
      <c r="F439" s="38">
        <v>1</v>
      </c>
      <c r="G439" s="38" t="s">
        <v>240</v>
      </c>
      <c r="H439" s="38">
        <f t="shared" si="42"/>
        <v>0</v>
      </c>
      <c r="I439" s="73"/>
      <c r="J439" s="73">
        <f t="shared" si="43"/>
        <v>0</v>
      </c>
      <c r="K439" s="39"/>
      <c r="L439" s="1"/>
      <c r="M439" s="1"/>
    </row>
    <row r="440" spans="1:13">
      <c r="A440" s="257">
        <v>17</v>
      </c>
      <c r="B440" s="11" t="s">
        <v>69</v>
      </c>
      <c r="C440" s="11" t="s">
        <v>190</v>
      </c>
      <c r="D440" s="11" t="s">
        <v>555</v>
      </c>
      <c r="E440" s="11" t="s">
        <v>381</v>
      </c>
      <c r="F440" s="30">
        <v>1</v>
      </c>
      <c r="G440" s="30" t="s">
        <v>679</v>
      </c>
      <c r="H440" s="32">
        <f t="shared" ref="H440:H455" si="44">$G$20*F440</f>
        <v>1</v>
      </c>
      <c r="I440" s="71">
        <f>158000+56000</f>
        <v>214000</v>
      </c>
      <c r="J440" s="77">
        <f t="shared" si="43"/>
        <v>214000</v>
      </c>
      <c r="K440" s="31" t="s">
        <v>238</v>
      </c>
      <c r="L440" s="59"/>
      <c r="M440" s="59"/>
    </row>
    <row r="441" spans="1:13">
      <c r="A441" s="258"/>
      <c r="B441" s="13" t="s">
        <v>69</v>
      </c>
      <c r="C441" s="13" t="s">
        <v>190</v>
      </c>
      <c r="D441" s="13" t="s">
        <v>383</v>
      </c>
      <c r="E441" s="13" t="s">
        <v>384</v>
      </c>
      <c r="F441" s="32">
        <v>12</v>
      </c>
      <c r="G441" s="32" t="s">
        <v>954</v>
      </c>
      <c r="H441" s="32">
        <f t="shared" si="44"/>
        <v>12</v>
      </c>
      <c r="I441" s="72">
        <v>2470</v>
      </c>
      <c r="J441" s="72">
        <f t="shared" si="43"/>
        <v>29640</v>
      </c>
      <c r="K441" s="33"/>
    </row>
    <row r="442" spans="1:13">
      <c r="A442" s="258"/>
      <c r="B442" s="13" t="s">
        <v>69</v>
      </c>
      <c r="C442" s="13" t="s">
        <v>190</v>
      </c>
      <c r="D442" s="13" t="s">
        <v>403</v>
      </c>
      <c r="E442" s="13" t="s">
        <v>977</v>
      </c>
      <c r="F442" s="32">
        <v>1</v>
      </c>
      <c r="G442" s="13" t="s">
        <v>1733</v>
      </c>
      <c r="H442" s="32">
        <f t="shared" si="44"/>
        <v>1</v>
      </c>
      <c r="I442" s="301">
        <v>32037</v>
      </c>
      <c r="J442" s="298">
        <f t="shared" si="43"/>
        <v>32037</v>
      </c>
      <c r="K442" s="33"/>
      <c r="L442" s="59"/>
      <c r="M442" s="59"/>
    </row>
    <row r="443" spans="1:13">
      <c r="A443" s="258"/>
      <c r="B443" s="13" t="s">
        <v>69</v>
      </c>
      <c r="C443" s="13" t="s">
        <v>190</v>
      </c>
      <c r="D443" s="13" t="s">
        <v>409</v>
      </c>
      <c r="E443" s="13" t="s">
        <v>979</v>
      </c>
      <c r="F443" s="32">
        <v>1</v>
      </c>
      <c r="G443" s="13" t="s">
        <v>1733</v>
      </c>
      <c r="H443" s="32">
        <f t="shared" si="44"/>
        <v>1</v>
      </c>
      <c r="I443" s="302"/>
      <c r="J443" s="299"/>
      <c r="K443" s="33"/>
      <c r="L443" s="59"/>
      <c r="M443" s="59"/>
    </row>
    <row r="444" spans="1:13">
      <c r="A444" s="258"/>
      <c r="B444" s="13" t="s">
        <v>69</v>
      </c>
      <c r="C444" s="13" t="s">
        <v>190</v>
      </c>
      <c r="D444" s="13" t="s">
        <v>406</v>
      </c>
      <c r="E444" s="13" t="s">
        <v>980</v>
      </c>
      <c r="F444" s="32">
        <v>1</v>
      </c>
      <c r="G444" s="13" t="s">
        <v>1733</v>
      </c>
      <c r="H444" s="32">
        <f t="shared" si="44"/>
        <v>1</v>
      </c>
      <c r="I444" s="303"/>
      <c r="J444" s="300"/>
      <c r="K444" s="33"/>
      <c r="L444" s="59"/>
      <c r="M444" s="59"/>
    </row>
    <row r="445" spans="1:13">
      <c r="A445" s="258"/>
      <c r="B445" s="13" t="s">
        <v>69</v>
      </c>
      <c r="C445" s="13" t="s">
        <v>190</v>
      </c>
      <c r="D445" s="13" t="s">
        <v>486</v>
      </c>
      <c r="E445" s="13" t="s">
        <v>386</v>
      </c>
      <c r="F445" s="32">
        <v>1</v>
      </c>
      <c r="G445" s="32" t="s">
        <v>569</v>
      </c>
      <c r="H445" s="32">
        <f t="shared" si="44"/>
        <v>1</v>
      </c>
      <c r="I445" s="72">
        <v>5000</v>
      </c>
      <c r="J445" s="76">
        <f t="shared" si="43"/>
        <v>5000</v>
      </c>
      <c r="K445" s="33"/>
      <c r="L445" s="59"/>
      <c r="M445" s="59"/>
    </row>
    <row r="446" spans="1:13">
      <c r="A446" s="258"/>
      <c r="B446" s="13" t="s">
        <v>69</v>
      </c>
      <c r="C446" s="13" t="s">
        <v>190</v>
      </c>
      <c r="D446" s="13" t="s">
        <v>525</v>
      </c>
      <c r="E446" s="13" t="s">
        <v>523</v>
      </c>
      <c r="F446" s="32">
        <v>12</v>
      </c>
      <c r="G446" s="32" t="s">
        <v>731</v>
      </c>
      <c r="H446" s="32">
        <f t="shared" ref="H446" si="45">$G$8*F446</f>
        <v>12</v>
      </c>
      <c r="I446" s="72">
        <v>2600</v>
      </c>
      <c r="J446" s="72">
        <f t="shared" si="43"/>
        <v>31200</v>
      </c>
      <c r="K446" s="33"/>
    </row>
    <row r="447" spans="1:13">
      <c r="A447" s="258"/>
      <c r="B447" s="13" t="s">
        <v>69</v>
      </c>
      <c r="C447" s="13" t="s">
        <v>190</v>
      </c>
      <c r="D447" s="13" t="s">
        <v>542</v>
      </c>
      <c r="E447" s="13" t="s">
        <v>983</v>
      </c>
      <c r="F447" s="32">
        <v>2</v>
      </c>
      <c r="G447" s="32" t="s">
        <v>955</v>
      </c>
      <c r="H447" s="32">
        <f t="shared" si="44"/>
        <v>2</v>
      </c>
      <c r="I447" s="72">
        <v>400</v>
      </c>
      <c r="J447" s="72">
        <f t="shared" si="43"/>
        <v>800</v>
      </c>
      <c r="K447" s="33"/>
    </row>
    <row r="448" spans="1:13">
      <c r="A448" s="258"/>
      <c r="B448" s="13" t="s">
        <v>69</v>
      </c>
      <c r="C448" s="13" t="s">
        <v>190</v>
      </c>
      <c r="D448" s="13" t="s">
        <v>543</v>
      </c>
      <c r="E448" s="13" t="s">
        <v>984</v>
      </c>
      <c r="F448" s="32">
        <v>2</v>
      </c>
      <c r="G448" s="32" t="s">
        <v>955</v>
      </c>
      <c r="H448" s="32">
        <f t="shared" si="44"/>
        <v>2</v>
      </c>
      <c r="I448" s="72">
        <v>400</v>
      </c>
      <c r="J448" s="72">
        <f t="shared" si="43"/>
        <v>800</v>
      </c>
      <c r="K448" s="33"/>
    </row>
    <row r="449" spans="1:14">
      <c r="A449" s="258"/>
      <c r="B449" s="13" t="s">
        <v>69</v>
      </c>
      <c r="C449" s="13" t="s">
        <v>190</v>
      </c>
      <c r="D449" s="13" t="s">
        <v>544</v>
      </c>
      <c r="E449" s="13" t="s">
        <v>985</v>
      </c>
      <c r="F449" s="32">
        <v>2</v>
      </c>
      <c r="G449" s="32" t="s">
        <v>955</v>
      </c>
      <c r="H449" s="32">
        <f t="shared" si="44"/>
        <v>2</v>
      </c>
      <c r="I449" s="72">
        <v>400</v>
      </c>
      <c r="J449" s="72">
        <f t="shared" si="43"/>
        <v>800</v>
      </c>
      <c r="K449" s="33"/>
    </row>
    <row r="450" spans="1:14">
      <c r="A450" s="258"/>
      <c r="B450" s="13" t="s">
        <v>69</v>
      </c>
      <c r="C450" s="13" t="s">
        <v>190</v>
      </c>
      <c r="D450" s="13" t="s">
        <v>553</v>
      </c>
      <c r="E450" s="13" t="s">
        <v>425</v>
      </c>
      <c r="F450" s="32">
        <v>2</v>
      </c>
      <c r="G450" s="32" t="s">
        <v>955</v>
      </c>
      <c r="H450" s="32">
        <f t="shared" si="44"/>
        <v>2</v>
      </c>
      <c r="I450" s="72">
        <v>1700</v>
      </c>
      <c r="J450" s="72">
        <f t="shared" si="43"/>
        <v>3400</v>
      </c>
      <c r="K450" s="33"/>
    </row>
    <row r="451" spans="1:14">
      <c r="A451" s="258"/>
      <c r="B451" s="13" t="s">
        <v>69</v>
      </c>
      <c r="C451" s="13" t="s">
        <v>190</v>
      </c>
      <c r="D451" s="13" t="s">
        <v>537</v>
      </c>
      <c r="E451" s="13" t="s">
        <v>427</v>
      </c>
      <c r="F451" s="32">
        <v>1</v>
      </c>
      <c r="G451" s="32" t="s">
        <v>680</v>
      </c>
      <c r="H451" s="32">
        <f t="shared" ref="H451" si="46">$G$4*F451</f>
        <v>1</v>
      </c>
      <c r="I451" s="72">
        <v>8500</v>
      </c>
      <c r="J451" s="72">
        <f t="shared" si="43"/>
        <v>8500</v>
      </c>
      <c r="K451" s="33"/>
    </row>
    <row r="452" spans="1:14">
      <c r="A452" s="258"/>
      <c r="B452" s="13" t="s">
        <v>69</v>
      </c>
      <c r="C452" s="13" t="s">
        <v>190</v>
      </c>
      <c r="D452" s="13" t="s">
        <v>540</v>
      </c>
      <c r="E452" s="13" t="s">
        <v>429</v>
      </c>
      <c r="F452" s="32">
        <v>1</v>
      </c>
      <c r="G452" s="32" t="s">
        <v>957</v>
      </c>
      <c r="H452" s="32">
        <f t="shared" si="44"/>
        <v>1</v>
      </c>
      <c r="I452" s="72">
        <v>4800</v>
      </c>
      <c r="J452" s="72">
        <f t="shared" si="43"/>
        <v>4800</v>
      </c>
      <c r="K452" s="33"/>
    </row>
    <row r="453" spans="1:14">
      <c r="A453" s="258"/>
      <c r="B453" s="13" t="s">
        <v>69</v>
      </c>
      <c r="C453" s="13" t="s">
        <v>190</v>
      </c>
      <c r="D453" s="13" t="s">
        <v>432</v>
      </c>
      <c r="E453" s="13" t="s">
        <v>430</v>
      </c>
      <c r="F453" s="32">
        <v>1</v>
      </c>
      <c r="G453" s="32" t="s">
        <v>955</v>
      </c>
      <c r="H453" s="32">
        <f t="shared" si="44"/>
        <v>1</v>
      </c>
      <c r="I453" s="76">
        <v>4000</v>
      </c>
      <c r="J453" s="76">
        <f t="shared" si="43"/>
        <v>4000</v>
      </c>
      <c r="K453" s="33"/>
      <c r="L453" s="59"/>
      <c r="M453" s="59"/>
    </row>
    <row r="454" spans="1:14">
      <c r="A454" s="258"/>
      <c r="B454" s="13" t="s">
        <v>69</v>
      </c>
      <c r="C454" s="13" t="s">
        <v>190</v>
      </c>
      <c r="D454" s="13" t="s">
        <v>436</v>
      </c>
      <c r="E454" s="13" t="s">
        <v>434</v>
      </c>
      <c r="F454" s="32">
        <v>1</v>
      </c>
      <c r="G454" s="32" t="s">
        <v>955</v>
      </c>
      <c r="H454" s="32">
        <f t="shared" si="44"/>
        <v>1</v>
      </c>
      <c r="I454" s="76">
        <v>4000</v>
      </c>
      <c r="J454" s="76">
        <f t="shared" si="43"/>
        <v>4000</v>
      </c>
      <c r="K454" s="33"/>
      <c r="L454" s="59"/>
      <c r="M454" s="59"/>
    </row>
    <row r="455" spans="1:14">
      <c r="A455" s="258"/>
      <c r="B455" s="13" t="s">
        <v>69</v>
      </c>
      <c r="C455" s="13" t="s">
        <v>190</v>
      </c>
      <c r="D455" s="13" t="s">
        <v>439</v>
      </c>
      <c r="E455" s="13" t="s">
        <v>612</v>
      </c>
      <c r="F455" s="32">
        <v>2</v>
      </c>
      <c r="G455" s="32" t="s">
        <v>955</v>
      </c>
      <c r="H455" s="32">
        <f t="shared" si="44"/>
        <v>2</v>
      </c>
      <c r="I455" s="76">
        <v>8000</v>
      </c>
      <c r="J455" s="76">
        <f t="shared" si="43"/>
        <v>16000</v>
      </c>
      <c r="K455" s="33"/>
      <c r="L455" s="59"/>
      <c r="M455" s="59"/>
    </row>
    <row r="456" spans="1:14">
      <c r="A456" s="258"/>
      <c r="B456" s="13" t="s">
        <v>69</v>
      </c>
      <c r="C456" s="13" t="s">
        <v>190</v>
      </c>
      <c r="D456" s="13" t="s">
        <v>529</v>
      </c>
      <c r="E456" s="13" t="s">
        <v>530</v>
      </c>
      <c r="F456" s="32">
        <v>1</v>
      </c>
      <c r="G456" s="32" t="s">
        <v>681</v>
      </c>
      <c r="H456" s="32">
        <f t="shared" ref="H456:H466" si="47">$G$4*F456</f>
        <v>1</v>
      </c>
      <c r="I456" s="72">
        <v>2520</v>
      </c>
      <c r="J456" s="72">
        <f t="shared" si="43"/>
        <v>2520</v>
      </c>
      <c r="K456" s="33"/>
    </row>
    <row r="457" spans="1:14">
      <c r="A457" s="258"/>
      <c r="B457" s="13" t="s">
        <v>69</v>
      </c>
      <c r="C457" s="13" t="s">
        <v>190</v>
      </c>
      <c r="D457" s="13" t="s">
        <v>531</v>
      </c>
      <c r="E457" s="13" t="s">
        <v>532</v>
      </c>
      <c r="F457" s="32">
        <v>1</v>
      </c>
      <c r="G457" s="32" t="s">
        <v>976</v>
      </c>
      <c r="H457" s="32">
        <f t="shared" si="47"/>
        <v>1</v>
      </c>
      <c r="I457" s="72">
        <v>5500</v>
      </c>
      <c r="J457" s="72">
        <f t="shared" si="43"/>
        <v>5500</v>
      </c>
      <c r="K457" s="33"/>
    </row>
    <row r="458" spans="1:14">
      <c r="A458" s="258"/>
      <c r="B458" s="13" t="s">
        <v>69</v>
      </c>
      <c r="C458" s="13" t="s">
        <v>190</v>
      </c>
      <c r="D458" s="13" t="s">
        <v>443</v>
      </c>
      <c r="E458" s="13" t="s">
        <v>442</v>
      </c>
      <c r="F458" s="32">
        <v>1</v>
      </c>
      <c r="G458" s="32" t="s">
        <v>678</v>
      </c>
      <c r="H458" s="32">
        <f t="shared" si="47"/>
        <v>1</v>
      </c>
      <c r="I458" s="72">
        <v>7000</v>
      </c>
      <c r="J458" s="72">
        <f t="shared" si="43"/>
        <v>7000</v>
      </c>
      <c r="K458" s="33"/>
    </row>
    <row r="459" spans="1:14">
      <c r="A459" s="258"/>
      <c r="B459" s="13" t="s">
        <v>69</v>
      </c>
      <c r="C459" s="13" t="s">
        <v>190</v>
      </c>
      <c r="D459" s="13" t="s">
        <v>441</v>
      </c>
      <c r="E459" s="13" t="s">
        <v>440</v>
      </c>
      <c r="F459" s="32">
        <v>1</v>
      </c>
      <c r="G459" s="32" t="s">
        <v>678</v>
      </c>
      <c r="H459" s="32">
        <f t="shared" si="47"/>
        <v>1</v>
      </c>
      <c r="I459" s="72">
        <v>7000</v>
      </c>
      <c r="J459" s="72">
        <f t="shared" si="43"/>
        <v>7000</v>
      </c>
      <c r="K459" s="33"/>
    </row>
    <row r="460" spans="1:14">
      <c r="A460" s="258"/>
      <c r="B460" s="13" t="s">
        <v>69</v>
      </c>
      <c r="C460" s="13" t="s">
        <v>190</v>
      </c>
      <c r="D460" s="13" t="s">
        <v>546</v>
      </c>
      <c r="E460" s="13" t="s">
        <v>547</v>
      </c>
      <c r="F460" s="32">
        <v>1</v>
      </c>
      <c r="G460" s="32" t="s">
        <v>571</v>
      </c>
      <c r="H460" s="32">
        <f t="shared" si="47"/>
        <v>1</v>
      </c>
      <c r="I460" s="72">
        <v>3200</v>
      </c>
      <c r="J460" s="72">
        <f t="shared" si="43"/>
        <v>3200</v>
      </c>
      <c r="K460" s="33"/>
    </row>
    <row r="461" spans="1:14">
      <c r="A461" s="258"/>
      <c r="B461" s="13" t="s">
        <v>69</v>
      </c>
      <c r="C461" s="13" t="s">
        <v>190</v>
      </c>
      <c r="D461" s="13" t="s">
        <v>554</v>
      </c>
      <c r="E461" s="13" t="s">
        <v>533</v>
      </c>
      <c r="F461" s="32">
        <v>1</v>
      </c>
      <c r="G461" s="32" t="s">
        <v>686</v>
      </c>
      <c r="H461" s="32">
        <f t="shared" si="47"/>
        <v>1</v>
      </c>
      <c r="I461" s="72">
        <v>900</v>
      </c>
      <c r="J461" s="72">
        <f t="shared" si="43"/>
        <v>900</v>
      </c>
      <c r="K461" s="33"/>
    </row>
    <row r="462" spans="1:14" ht="17.5">
      <c r="A462" s="258"/>
      <c r="B462" s="13" t="s">
        <v>69</v>
      </c>
      <c r="C462" s="13" t="s">
        <v>190</v>
      </c>
      <c r="D462" s="98" t="s">
        <v>564</v>
      </c>
      <c r="E462" s="98" t="s">
        <v>522</v>
      </c>
      <c r="F462" s="99">
        <v>2</v>
      </c>
      <c r="G462" s="99" t="s">
        <v>560</v>
      </c>
      <c r="H462" s="99">
        <f t="shared" si="47"/>
        <v>2</v>
      </c>
      <c r="I462" s="100">
        <v>88000</v>
      </c>
      <c r="J462" s="100">
        <f t="shared" si="43"/>
        <v>176000</v>
      </c>
      <c r="K462" s="33"/>
      <c r="M462" s="213" t="s">
        <v>1557</v>
      </c>
      <c r="N462" s="214">
        <f>L466*7%</f>
        <v>80779.790000000008</v>
      </c>
    </row>
    <row r="463" spans="1:14" ht="17.5">
      <c r="A463" s="258"/>
      <c r="B463" s="13" t="s">
        <v>69</v>
      </c>
      <c r="C463" s="13" t="s">
        <v>190</v>
      </c>
      <c r="D463" s="109" t="s">
        <v>446</v>
      </c>
      <c r="E463" s="109" t="s">
        <v>450</v>
      </c>
      <c r="F463" s="110">
        <v>1</v>
      </c>
      <c r="G463" s="110" t="s">
        <v>235</v>
      </c>
      <c r="H463" s="110">
        <f t="shared" si="47"/>
        <v>1</v>
      </c>
      <c r="I463" s="111">
        <f>(96*2700)+300000</f>
        <v>559200</v>
      </c>
      <c r="J463" s="111">
        <f t="shared" si="43"/>
        <v>559200</v>
      </c>
      <c r="K463" s="33"/>
      <c r="M463" s="213" t="s">
        <v>1558</v>
      </c>
      <c r="N463" s="214">
        <f>(L466+N462)*20%</f>
        <v>246955.35800000001</v>
      </c>
    </row>
    <row r="464" spans="1:14" ht="17.5">
      <c r="A464" s="264"/>
      <c r="B464" s="15" t="s">
        <v>633</v>
      </c>
      <c r="C464" s="15" t="s">
        <v>190</v>
      </c>
      <c r="D464" s="15" t="s">
        <v>623</v>
      </c>
      <c r="E464" s="15" t="s">
        <v>625</v>
      </c>
      <c r="F464" s="38">
        <v>1</v>
      </c>
      <c r="G464" s="38" t="s">
        <v>690</v>
      </c>
      <c r="H464" s="32">
        <f t="shared" si="47"/>
        <v>1</v>
      </c>
      <c r="I464" s="73">
        <f>16000+1800</f>
        <v>17800</v>
      </c>
      <c r="J464" s="72">
        <f t="shared" si="43"/>
        <v>17800</v>
      </c>
      <c r="K464" s="39"/>
      <c r="M464" s="213" t="s">
        <v>1559</v>
      </c>
      <c r="N464" s="214">
        <f>(L466+N462+N463)*25%</f>
        <v>370433.03700000001</v>
      </c>
    </row>
    <row r="465" spans="1:15" ht="18" thickBot="1">
      <c r="A465" s="264"/>
      <c r="B465" s="15" t="s">
        <v>69</v>
      </c>
      <c r="C465" s="15" t="s">
        <v>190</v>
      </c>
      <c r="D465" s="15" t="s">
        <v>1735</v>
      </c>
      <c r="E465" s="13" t="s">
        <v>693</v>
      </c>
      <c r="F465" s="38">
        <v>1</v>
      </c>
      <c r="G465" s="38" t="s">
        <v>1736</v>
      </c>
      <c r="H465" s="38">
        <f t="shared" si="47"/>
        <v>1</v>
      </c>
      <c r="I465" s="73">
        <v>6500</v>
      </c>
      <c r="J465" s="73">
        <f t="shared" si="43"/>
        <v>6500</v>
      </c>
      <c r="K465" s="39"/>
      <c r="M465" s="213"/>
      <c r="N465" s="214"/>
    </row>
    <row r="466" spans="1:15" ht="26.5" thickBot="1">
      <c r="A466" s="259"/>
      <c r="B466" s="9" t="s">
        <v>69</v>
      </c>
      <c r="C466" s="9" t="s">
        <v>190</v>
      </c>
      <c r="D466" s="9" t="s">
        <v>113</v>
      </c>
      <c r="E466" s="9" t="s">
        <v>113</v>
      </c>
      <c r="F466" s="43">
        <v>1</v>
      </c>
      <c r="G466" s="43" t="s">
        <v>240</v>
      </c>
      <c r="H466" s="32">
        <f t="shared" si="47"/>
        <v>1</v>
      </c>
      <c r="I466" s="74">
        <v>13400</v>
      </c>
      <c r="J466" s="74">
        <f t="shared" si="43"/>
        <v>13400</v>
      </c>
      <c r="K466" s="44"/>
      <c r="L466" s="254">
        <f>SUBTOTAL(9,J440:J491)</f>
        <v>1153997</v>
      </c>
      <c r="N466" s="211">
        <f>L466+N462+N463+N464</f>
        <v>1852165.1850000001</v>
      </c>
      <c r="O466" s="212" t="s">
        <v>1563</v>
      </c>
    </row>
    <row r="467" spans="1:15" hidden="1">
      <c r="A467" s="274">
        <v>18</v>
      </c>
      <c r="B467" s="10" t="s">
        <v>69</v>
      </c>
      <c r="C467" s="10" t="s">
        <v>191</v>
      </c>
      <c r="D467" s="10" t="s">
        <v>555</v>
      </c>
      <c r="E467" s="10" t="s">
        <v>381</v>
      </c>
      <c r="F467" s="5">
        <v>1</v>
      </c>
      <c r="G467" s="5" t="s">
        <v>250</v>
      </c>
      <c r="H467" s="5">
        <f>$G$21*F467</f>
        <v>0</v>
      </c>
      <c r="I467" s="75"/>
      <c r="J467" s="75">
        <f t="shared" si="43"/>
        <v>0</v>
      </c>
      <c r="K467" s="40" t="s">
        <v>238</v>
      </c>
      <c r="L467" s="1"/>
      <c r="M467" s="1"/>
    </row>
    <row r="468" spans="1:15" hidden="1">
      <c r="A468" s="258"/>
      <c r="B468" s="34" t="s">
        <v>69</v>
      </c>
      <c r="C468" s="34" t="s">
        <v>191</v>
      </c>
      <c r="D468" s="34" t="s">
        <v>383</v>
      </c>
      <c r="E468" s="34" t="s">
        <v>384</v>
      </c>
      <c r="F468" s="32">
        <v>12</v>
      </c>
      <c r="G468" s="32" t="s">
        <v>954</v>
      </c>
      <c r="H468" s="32">
        <f t="shared" ref="H468:H492" si="48">$G$21*F468</f>
        <v>0</v>
      </c>
      <c r="I468" s="72"/>
      <c r="J468" s="72">
        <f t="shared" si="43"/>
        <v>0</v>
      </c>
      <c r="K468" s="33"/>
      <c r="L468" s="1"/>
      <c r="M468" s="1"/>
    </row>
    <row r="469" spans="1:15" hidden="1">
      <c r="A469" s="258"/>
      <c r="B469" s="13" t="s">
        <v>69</v>
      </c>
      <c r="C469" s="13" t="s">
        <v>191</v>
      </c>
      <c r="D469" s="13" t="s">
        <v>403</v>
      </c>
      <c r="E469" s="13" t="s">
        <v>412</v>
      </c>
      <c r="F469" s="32">
        <v>1</v>
      </c>
      <c r="G469" s="32" t="s">
        <v>567</v>
      </c>
      <c r="H469" s="32">
        <f t="shared" si="48"/>
        <v>0</v>
      </c>
      <c r="I469" s="76"/>
      <c r="J469" s="76">
        <f t="shared" si="43"/>
        <v>0</v>
      </c>
      <c r="K469" s="33"/>
      <c r="L469" s="1"/>
      <c r="M469" s="1"/>
    </row>
    <row r="470" spans="1:15" hidden="1">
      <c r="A470" s="258"/>
      <c r="B470" s="13" t="s">
        <v>69</v>
      </c>
      <c r="C470" s="13" t="s">
        <v>191</v>
      </c>
      <c r="D470" s="13" t="s">
        <v>409</v>
      </c>
      <c r="E470" s="13" t="s">
        <v>415</v>
      </c>
      <c r="F470" s="32">
        <v>1</v>
      </c>
      <c r="G470" s="32" t="s">
        <v>567</v>
      </c>
      <c r="H470" s="32">
        <f t="shared" si="48"/>
        <v>0</v>
      </c>
      <c r="I470" s="76"/>
      <c r="J470" s="76">
        <f t="shared" si="43"/>
        <v>0</v>
      </c>
      <c r="K470" s="33"/>
      <c r="L470" s="1"/>
      <c r="M470" s="1"/>
    </row>
    <row r="471" spans="1:15" hidden="1">
      <c r="A471" s="258"/>
      <c r="B471" s="13" t="s">
        <v>69</v>
      </c>
      <c r="C471" s="13" t="s">
        <v>191</v>
      </c>
      <c r="D471" s="13" t="s">
        <v>406</v>
      </c>
      <c r="E471" s="13" t="s">
        <v>418</v>
      </c>
      <c r="F471" s="32">
        <v>1</v>
      </c>
      <c r="G471" s="32" t="s">
        <v>567</v>
      </c>
      <c r="H471" s="32">
        <f t="shared" si="48"/>
        <v>0</v>
      </c>
      <c r="I471" s="76"/>
      <c r="J471" s="76">
        <f t="shared" si="43"/>
        <v>0</v>
      </c>
      <c r="K471" s="33"/>
      <c r="L471" s="1"/>
      <c r="M471" s="1"/>
    </row>
    <row r="472" spans="1:15" hidden="1">
      <c r="A472" s="258"/>
      <c r="B472" s="13" t="s">
        <v>69</v>
      </c>
      <c r="C472" s="13" t="s">
        <v>191</v>
      </c>
      <c r="D472" s="13" t="s">
        <v>486</v>
      </c>
      <c r="E472" s="13" t="s">
        <v>386</v>
      </c>
      <c r="F472" s="32">
        <v>1</v>
      </c>
      <c r="G472" s="32" t="s">
        <v>569</v>
      </c>
      <c r="H472" s="32">
        <f t="shared" si="48"/>
        <v>0</v>
      </c>
      <c r="I472" s="76"/>
      <c r="J472" s="76">
        <f t="shared" si="43"/>
        <v>0</v>
      </c>
      <c r="K472" s="33"/>
      <c r="L472" s="1"/>
      <c r="M472" s="1"/>
    </row>
    <row r="473" spans="1:15" hidden="1">
      <c r="A473" s="258"/>
      <c r="B473" s="13" t="s">
        <v>69</v>
      </c>
      <c r="C473" s="13" t="s">
        <v>191</v>
      </c>
      <c r="D473" s="13" t="s">
        <v>525</v>
      </c>
      <c r="E473" s="13" t="s">
        <v>523</v>
      </c>
      <c r="F473" s="32">
        <v>12</v>
      </c>
      <c r="G473" s="32"/>
      <c r="H473" s="32">
        <f t="shared" si="48"/>
        <v>0</v>
      </c>
      <c r="I473" s="72"/>
      <c r="J473" s="72">
        <f t="shared" si="43"/>
        <v>0</v>
      </c>
      <c r="K473" s="33"/>
      <c r="L473" s="1"/>
      <c r="M473" s="1"/>
    </row>
    <row r="474" spans="1:15" hidden="1">
      <c r="A474" s="258"/>
      <c r="B474" s="13" t="s">
        <v>69</v>
      </c>
      <c r="C474" s="13" t="s">
        <v>191</v>
      </c>
      <c r="D474" s="13" t="s">
        <v>542</v>
      </c>
      <c r="E474" s="13" t="s">
        <v>422</v>
      </c>
      <c r="F474" s="32">
        <v>2</v>
      </c>
      <c r="G474" s="32" t="s">
        <v>561</v>
      </c>
      <c r="H474" s="32">
        <f t="shared" si="48"/>
        <v>0</v>
      </c>
      <c r="I474" s="72"/>
      <c r="J474" s="72">
        <f t="shared" si="43"/>
        <v>0</v>
      </c>
      <c r="K474" s="33"/>
      <c r="L474" s="1"/>
      <c r="M474" s="1"/>
    </row>
    <row r="475" spans="1:15" hidden="1">
      <c r="A475" s="258"/>
      <c r="B475" s="13" t="s">
        <v>69</v>
      </c>
      <c r="C475" s="13" t="s">
        <v>191</v>
      </c>
      <c r="D475" s="13" t="s">
        <v>543</v>
      </c>
      <c r="E475" s="13" t="s">
        <v>424</v>
      </c>
      <c r="F475" s="32">
        <v>2</v>
      </c>
      <c r="G475" s="32" t="s">
        <v>561</v>
      </c>
      <c r="H475" s="32">
        <f t="shared" si="48"/>
        <v>0</v>
      </c>
      <c r="I475" s="72"/>
      <c r="J475" s="72">
        <f t="shared" si="43"/>
        <v>0</v>
      </c>
      <c r="K475" s="33"/>
      <c r="L475" s="1"/>
      <c r="M475" s="1"/>
    </row>
    <row r="476" spans="1:15" hidden="1">
      <c r="A476" s="258"/>
      <c r="B476" s="13" t="s">
        <v>69</v>
      </c>
      <c r="C476" s="13" t="s">
        <v>191</v>
      </c>
      <c r="D476" s="13" t="s">
        <v>544</v>
      </c>
      <c r="E476" s="13" t="s">
        <v>420</v>
      </c>
      <c r="F476" s="32">
        <v>2</v>
      </c>
      <c r="G476" s="32" t="s">
        <v>561</v>
      </c>
      <c r="H476" s="32">
        <f t="shared" si="48"/>
        <v>0</v>
      </c>
      <c r="I476" s="72"/>
      <c r="J476" s="72">
        <f t="shared" si="43"/>
        <v>0</v>
      </c>
      <c r="K476" s="33"/>
      <c r="L476" s="1"/>
      <c r="M476" s="1"/>
    </row>
    <row r="477" spans="1:15" hidden="1">
      <c r="A477" s="258"/>
      <c r="B477" s="13" t="s">
        <v>69</v>
      </c>
      <c r="C477" s="13" t="s">
        <v>191</v>
      </c>
      <c r="D477" s="13" t="s">
        <v>553</v>
      </c>
      <c r="E477" s="13" t="s">
        <v>425</v>
      </c>
      <c r="F477" s="32">
        <v>2</v>
      </c>
      <c r="G477" s="32" t="s">
        <v>561</v>
      </c>
      <c r="H477" s="32">
        <f t="shared" si="48"/>
        <v>0</v>
      </c>
      <c r="I477" s="72"/>
      <c r="J477" s="72">
        <f t="shared" si="43"/>
        <v>0</v>
      </c>
      <c r="K477" s="33"/>
      <c r="L477" s="1"/>
      <c r="M477" s="1"/>
    </row>
    <row r="478" spans="1:15" hidden="1">
      <c r="A478" s="258"/>
      <c r="B478" s="13" t="s">
        <v>69</v>
      </c>
      <c r="C478" s="13" t="s">
        <v>191</v>
      </c>
      <c r="D478" s="13" t="s">
        <v>537</v>
      </c>
      <c r="E478" s="13" t="s">
        <v>427</v>
      </c>
      <c r="F478" s="32">
        <v>1</v>
      </c>
      <c r="G478" s="32" t="s">
        <v>562</v>
      </c>
      <c r="H478" s="32">
        <f t="shared" si="48"/>
        <v>0</v>
      </c>
      <c r="I478" s="72"/>
      <c r="J478" s="72">
        <f t="shared" si="43"/>
        <v>0</v>
      </c>
      <c r="K478" s="33"/>
      <c r="L478" s="1"/>
      <c r="M478" s="1"/>
    </row>
    <row r="479" spans="1:15" hidden="1">
      <c r="A479" s="258"/>
      <c r="B479" s="34" t="s">
        <v>69</v>
      </c>
      <c r="C479" s="34" t="s">
        <v>191</v>
      </c>
      <c r="D479" s="34" t="s">
        <v>540</v>
      </c>
      <c r="E479" s="34" t="s">
        <v>429</v>
      </c>
      <c r="F479" s="32">
        <v>1</v>
      </c>
      <c r="G479" s="32" t="s">
        <v>568</v>
      </c>
      <c r="H479" s="32">
        <f t="shared" si="48"/>
        <v>0</v>
      </c>
      <c r="I479" s="72"/>
      <c r="J479" s="72">
        <f t="shared" si="43"/>
        <v>0</v>
      </c>
      <c r="K479" s="33"/>
      <c r="L479" s="1"/>
      <c r="M479" s="1"/>
    </row>
    <row r="480" spans="1:15" hidden="1">
      <c r="A480" s="258"/>
      <c r="B480" s="13" t="s">
        <v>69</v>
      </c>
      <c r="C480" s="13" t="s">
        <v>191</v>
      </c>
      <c r="D480" s="13" t="s">
        <v>432</v>
      </c>
      <c r="E480" s="13" t="s">
        <v>430</v>
      </c>
      <c r="F480" s="32">
        <v>1</v>
      </c>
      <c r="G480" s="32" t="s">
        <v>561</v>
      </c>
      <c r="H480" s="32">
        <f t="shared" si="48"/>
        <v>0</v>
      </c>
      <c r="I480" s="76"/>
      <c r="J480" s="76">
        <f t="shared" si="43"/>
        <v>0</v>
      </c>
      <c r="K480" s="33"/>
      <c r="L480" s="1"/>
      <c r="M480" s="1"/>
    </row>
    <row r="481" spans="1:13" hidden="1">
      <c r="A481" s="258"/>
      <c r="B481" s="13" t="s">
        <v>69</v>
      </c>
      <c r="C481" s="13" t="s">
        <v>191</v>
      </c>
      <c r="D481" s="13" t="s">
        <v>436</v>
      </c>
      <c r="E481" s="13" t="s">
        <v>434</v>
      </c>
      <c r="F481" s="32">
        <v>1</v>
      </c>
      <c r="G481" s="32" t="s">
        <v>561</v>
      </c>
      <c r="H481" s="32">
        <f t="shared" si="48"/>
        <v>0</v>
      </c>
      <c r="I481" s="76"/>
      <c r="J481" s="76">
        <f t="shared" si="43"/>
        <v>0</v>
      </c>
      <c r="K481" s="33"/>
      <c r="L481" s="1"/>
      <c r="M481" s="1"/>
    </row>
    <row r="482" spans="1:13" hidden="1">
      <c r="A482" s="258"/>
      <c r="B482" s="13" t="s">
        <v>69</v>
      </c>
      <c r="C482" s="13" t="s">
        <v>191</v>
      </c>
      <c r="D482" s="13" t="s">
        <v>439</v>
      </c>
      <c r="E482" s="13" t="s">
        <v>612</v>
      </c>
      <c r="F482" s="32">
        <v>2</v>
      </c>
      <c r="G482" s="32" t="s">
        <v>561</v>
      </c>
      <c r="H482" s="32">
        <f t="shared" si="48"/>
        <v>0</v>
      </c>
      <c r="I482" s="76"/>
      <c r="J482" s="76">
        <f t="shared" si="43"/>
        <v>0</v>
      </c>
      <c r="K482" s="33"/>
      <c r="L482" s="1"/>
      <c r="M482" s="1"/>
    </row>
    <row r="483" spans="1:13" hidden="1">
      <c r="A483" s="258"/>
      <c r="B483" s="34" t="s">
        <v>69</v>
      </c>
      <c r="C483" s="34" t="s">
        <v>191</v>
      </c>
      <c r="D483" s="34" t="s">
        <v>529</v>
      </c>
      <c r="E483" s="34" t="s">
        <v>530</v>
      </c>
      <c r="F483" s="32">
        <v>1</v>
      </c>
      <c r="G483" s="32" t="s">
        <v>566</v>
      </c>
      <c r="H483" s="32">
        <f t="shared" si="48"/>
        <v>0</v>
      </c>
      <c r="I483" s="72"/>
      <c r="J483" s="72">
        <f t="shared" si="43"/>
        <v>0</v>
      </c>
      <c r="K483" s="33"/>
      <c r="L483" s="1"/>
      <c r="M483" s="1"/>
    </row>
    <row r="484" spans="1:13" hidden="1">
      <c r="A484" s="258"/>
      <c r="B484" s="34" t="s">
        <v>69</v>
      </c>
      <c r="C484" s="34" t="s">
        <v>191</v>
      </c>
      <c r="D484" s="34" t="s">
        <v>531</v>
      </c>
      <c r="E484" s="34" t="s">
        <v>532</v>
      </c>
      <c r="F484" s="32">
        <v>1</v>
      </c>
      <c r="G484" s="32" t="s">
        <v>566</v>
      </c>
      <c r="H484" s="32">
        <f t="shared" si="48"/>
        <v>0</v>
      </c>
      <c r="I484" s="72"/>
      <c r="J484" s="72">
        <f t="shared" si="43"/>
        <v>0</v>
      </c>
      <c r="K484" s="33"/>
      <c r="L484" s="1"/>
      <c r="M484" s="1"/>
    </row>
    <row r="485" spans="1:13" hidden="1">
      <c r="A485" s="258"/>
      <c r="B485" s="34" t="s">
        <v>69</v>
      </c>
      <c r="C485" s="34" t="s">
        <v>191</v>
      </c>
      <c r="D485" s="34" t="s">
        <v>443</v>
      </c>
      <c r="E485" s="34" t="s">
        <v>442</v>
      </c>
      <c r="F485" s="32">
        <v>1</v>
      </c>
      <c r="G485" s="32" t="s">
        <v>570</v>
      </c>
      <c r="H485" s="32">
        <f t="shared" si="48"/>
        <v>0</v>
      </c>
      <c r="I485" s="72"/>
      <c r="J485" s="72">
        <f t="shared" ref="J485:J550" si="49">H485*I485</f>
        <v>0</v>
      </c>
      <c r="K485" s="33"/>
      <c r="L485" s="1"/>
      <c r="M485" s="1"/>
    </row>
    <row r="486" spans="1:13" hidden="1">
      <c r="A486" s="258"/>
      <c r="B486" s="34" t="s">
        <v>69</v>
      </c>
      <c r="C486" s="34" t="s">
        <v>191</v>
      </c>
      <c r="D486" s="34" t="s">
        <v>441</v>
      </c>
      <c r="E486" s="34" t="s">
        <v>440</v>
      </c>
      <c r="F486" s="32">
        <v>1</v>
      </c>
      <c r="G486" s="32" t="s">
        <v>570</v>
      </c>
      <c r="H486" s="32">
        <f t="shared" si="48"/>
        <v>0</v>
      </c>
      <c r="I486" s="72"/>
      <c r="J486" s="72">
        <f t="shared" si="49"/>
        <v>0</v>
      </c>
      <c r="K486" s="33"/>
      <c r="L486" s="1"/>
      <c r="M486" s="1"/>
    </row>
    <row r="487" spans="1:13" hidden="1">
      <c r="A487" s="258"/>
      <c r="B487" s="34" t="s">
        <v>69</v>
      </c>
      <c r="C487" s="34" t="s">
        <v>191</v>
      </c>
      <c r="D487" s="34" t="s">
        <v>546</v>
      </c>
      <c r="E487" s="34" t="s">
        <v>547</v>
      </c>
      <c r="F487" s="32">
        <v>1</v>
      </c>
      <c r="G487" s="32" t="s">
        <v>571</v>
      </c>
      <c r="H487" s="32">
        <f t="shared" si="48"/>
        <v>0</v>
      </c>
      <c r="I487" s="72"/>
      <c r="J487" s="72">
        <f t="shared" si="49"/>
        <v>0</v>
      </c>
      <c r="K487" s="33"/>
      <c r="L487" s="1"/>
      <c r="M487" s="1"/>
    </row>
    <row r="488" spans="1:13" hidden="1">
      <c r="A488" s="258"/>
      <c r="B488" s="34" t="s">
        <v>69</v>
      </c>
      <c r="C488" s="34" t="s">
        <v>191</v>
      </c>
      <c r="D488" s="34" t="s">
        <v>554</v>
      </c>
      <c r="E488" s="34" t="s">
        <v>533</v>
      </c>
      <c r="F488" s="32">
        <v>1</v>
      </c>
      <c r="G488" s="32" t="s">
        <v>571</v>
      </c>
      <c r="H488" s="32">
        <f t="shared" si="48"/>
        <v>0</v>
      </c>
      <c r="I488" s="72"/>
      <c r="J488" s="72">
        <f t="shared" si="49"/>
        <v>0</v>
      </c>
      <c r="K488" s="33"/>
      <c r="L488" s="1"/>
      <c r="M488" s="1"/>
    </row>
    <row r="489" spans="1:13" hidden="1">
      <c r="A489" s="258"/>
      <c r="B489" s="13" t="s">
        <v>69</v>
      </c>
      <c r="C489" s="13" t="s">
        <v>191</v>
      </c>
      <c r="D489" s="13" t="s">
        <v>118</v>
      </c>
      <c r="E489" s="13" t="s">
        <v>522</v>
      </c>
      <c r="F489" s="32">
        <v>2</v>
      </c>
      <c r="G489" s="32" t="s">
        <v>560</v>
      </c>
      <c r="H489" s="32">
        <f t="shared" si="48"/>
        <v>0</v>
      </c>
      <c r="I489" s="72">
        <v>76100</v>
      </c>
      <c r="J489" s="72">
        <f t="shared" si="49"/>
        <v>0</v>
      </c>
      <c r="K489" s="33"/>
      <c r="L489" s="1"/>
      <c r="M489" s="1"/>
    </row>
    <row r="490" spans="1:13" hidden="1">
      <c r="A490" s="258"/>
      <c r="B490" s="13" t="s">
        <v>69</v>
      </c>
      <c r="C490" s="13" t="s">
        <v>191</v>
      </c>
      <c r="D490" s="13" t="s">
        <v>447</v>
      </c>
      <c r="E490" s="13" t="s">
        <v>451</v>
      </c>
      <c r="F490" s="32">
        <v>1</v>
      </c>
      <c r="G490" s="32" t="s">
        <v>235</v>
      </c>
      <c r="H490" s="32">
        <f t="shared" si="48"/>
        <v>0</v>
      </c>
      <c r="I490" s="72"/>
      <c r="J490" s="72">
        <f t="shared" si="49"/>
        <v>0</v>
      </c>
      <c r="K490" s="33"/>
      <c r="L490" s="1"/>
      <c r="M490" s="1"/>
    </row>
    <row r="491" spans="1:13" hidden="1">
      <c r="A491" s="264"/>
      <c r="B491" s="46" t="s">
        <v>633</v>
      </c>
      <c r="C491" s="46" t="s">
        <v>191</v>
      </c>
      <c r="D491" s="46" t="s">
        <v>623</v>
      </c>
      <c r="E491" s="46" t="s">
        <v>625</v>
      </c>
      <c r="F491" s="38">
        <v>1</v>
      </c>
      <c r="G491" s="38"/>
      <c r="H491" s="38"/>
      <c r="I491" s="73"/>
      <c r="J491" s="73"/>
      <c r="K491" s="39"/>
      <c r="L491" s="1"/>
      <c r="M491" s="1"/>
    </row>
    <row r="492" spans="1:13" ht="17.5" hidden="1" thickBot="1">
      <c r="A492" s="297"/>
      <c r="B492" s="46" t="s">
        <v>69</v>
      </c>
      <c r="C492" s="46" t="s">
        <v>191</v>
      </c>
      <c r="D492" s="46" t="s">
        <v>113</v>
      </c>
      <c r="E492" s="46" t="s">
        <v>113</v>
      </c>
      <c r="F492" s="38">
        <v>1</v>
      </c>
      <c r="G492" s="38" t="s">
        <v>240</v>
      </c>
      <c r="H492" s="38">
        <f t="shared" si="48"/>
        <v>0</v>
      </c>
      <c r="I492" s="73"/>
      <c r="J492" s="73">
        <f t="shared" si="49"/>
        <v>0</v>
      </c>
      <c r="K492" s="39"/>
      <c r="L492" s="1"/>
      <c r="M492" s="1"/>
    </row>
    <row r="493" spans="1:13">
      <c r="A493" s="257">
        <v>19</v>
      </c>
      <c r="B493" s="11" t="s">
        <v>70</v>
      </c>
      <c r="C493" s="11" t="s">
        <v>192</v>
      </c>
      <c r="D493" s="11" t="s">
        <v>555</v>
      </c>
      <c r="E493" s="11" t="s">
        <v>381</v>
      </c>
      <c r="F493" s="30">
        <v>1</v>
      </c>
      <c r="G493" s="30" t="s">
        <v>679</v>
      </c>
      <c r="H493" s="30">
        <f t="shared" ref="H493:H507" si="50">$G$22*F493</f>
        <v>1</v>
      </c>
      <c r="I493" s="71">
        <f>158000+56000</f>
        <v>214000</v>
      </c>
      <c r="J493" s="77">
        <f t="shared" si="49"/>
        <v>214000</v>
      </c>
      <c r="K493" s="31" t="s">
        <v>238</v>
      </c>
      <c r="L493" s="59"/>
      <c r="M493" s="59"/>
    </row>
    <row r="494" spans="1:13">
      <c r="A494" s="258"/>
      <c r="B494" s="13" t="s">
        <v>70</v>
      </c>
      <c r="C494" s="13" t="s">
        <v>192</v>
      </c>
      <c r="D494" s="13" t="s">
        <v>383</v>
      </c>
      <c r="E494" s="13" t="s">
        <v>384</v>
      </c>
      <c r="F494" s="32">
        <v>12</v>
      </c>
      <c r="G494" s="32" t="s">
        <v>954</v>
      </c>
      <c r="H494" s="32">
        <f t="shared" si="50"/>
        <v>12</v>
      </c>
      <c r="I494" s="72">
        <v>2470</v>
      </c>
      <c r="J494" s="72">
        <f t="shared" si="49"/>
        <v>29640</v>
      </c>
      <c r="K494" s="33"/>
    </row>
    <row r="495" spans="1:13">
      <c r="A495" s="258"/>
      <c r="B495" s="13" t="s">
        <v>70</v>
      </c>
      <c r="C495" s="13" t="s">
        <v>192</v>
      </c>
      <c r="D495" s="13" t="s">
        <v>403</v>
      </c>
      <c r="E495" s="13" t="s">
        <v>977</v>
      </c>
      <c r="F495" s="32">
        <v>1</v>
      </c>
      <c r="G495" s="13" t="s">
        <v>1733</v>
      </c>
      <c r="H495" s="32">
        <f t="shared" si="50"/>
        <v>1</v>
      </c>
      <c r="I495" s="301">
        <v>32037</v>
      </c>
      <c r="J495" s="298">
        <f t="shared" si="49"/>
        <v>32037</v>
      </c>
      <c r="K495" s="33"/>
      <c r="L495" s="59"/>
      <c r="M495" s="59"/>
    </row>
    <row r="496" spans="1:13">
      <c r="A496" s="258"/>
      <c r="B496" s="13" t="s">
        <v>70</v>
      </c>
      <c r="C496" s="13" t="s">
        <v>192</v>
      </c>
      <c r="D496" s="13" t="s">
        <v>409</v>
      </c>
      <c r="E496" s="13" t="s">
        <v>979</v>
      </c>
      <c r="F496" s="32">
        <v>1</v>
      </c>
      <c r="G496" s="13" t="s">
        <v>1733</v>
      </c>
      <c r="H496" s="32">
        <f t="shared" si="50"/>
        <v>1</v>
      </c>
      <c r="I496" s="302"/>
      <c r="J496" s="299"/>
      <c r="K496" s="33"/>
      <c r="L496" s="59"/>
      <c r="M496" s="59"/>
    </row>
    <row r="497" spans="1:13">
      <c r="A497" s="258"/>
      <c r="B497" s="13" t="s">
        <v>70</v>
      </c>
      <c r="C497" s="13" t="s">
        <v>192</v>
      </c>
      <c r="D497" s="13" t="s">
        <v>406</v>
      </c>
      <c r="E497" s="13" t="s">
        <v>980</v>
      </c>
      <c r="F497" s="32">
        <v>1</v>
      </c>
      <c r="G497" s="13" t="s">
        <v>1733</v>
      </c>
      <c r="H497" s="32">
        <f t="shared" si="50"/>
        <v>1</v>
      </c>
      <c r="I497" s="303"/>
      <c r="J497" s="300"/>
      <c r="K497" s="33"/>
      <c r="L497" s="59"/>
      <c r="M497" s="59"/>
    </row>
    <row r="498" spans="1:13">
      <c r="A498" s="258"/>
      <c r="B498" s="13" t="s">
        <v>70</v>
      </c>
      <c r="C498" s="13" t="s">
        <v>192</v>
      </c>
      <c r="D498" s="13" t="s">
        <v>486</v>
      </c>
      <c r="E498" s="13" t="s">
        <v>386</v>
      </c>
      <c r="F498" s="32">
        <v>1</v>
      </c>
      <c r="G498" s="32" t="s">
        <v>569</v>
      </c>
      <c r="H498" s="32">
        <f t="shared" si="50"/>
        <v>1</v>
      </c>
      <c r="I498" s="72">
        <v>5000</v>
      </c>
      <c r="J498" s="76">
        <f t="shared" si="49"/>
        <v>5000</v>
      </c>
      <c r="K498" s="33"/>
      <c r="L498" s="59"/>
      <c r="M498" s="59"/>
    </row>
    <row r="499" spans="1:13">
      <c r="A499" s="258"/>
      <c r="B499" s="13" t="s">
        <v>70</v>
      </c>
      <c r="C499" s="13" t="s">
        <v>192</v>
      </c>
      <c r="D499" s="13" t="s">
        <v>542</v>
      </c>
      <c r="E499" s="13" t="s">
        <v>983</v>
      </c>
      <c r="F499" s="32">
        <v>2</v>
      </c>
      <c r="G499" s="32" t="s">
        <v>955</v>
      </c>
      <c r="H499" s="32">
        <f t="shared" si="50"/>
        <v>2</v>
      </c>
      <c r="I499" s="72">
        <v>400</v>
      </c>
      <c r="J499" s="72">
        <f t="shared" si="49"/>
        <v>800</v>
      </c>
      <c r="K499" s="33"/>
    </row>
    <row r="500" spans="1:13">
      <c r="A500" s="258"/>
      <c r="B500" s="13" t="s">
        <v>70</v>
      </c>
      <c r="C500" s="13" t="s">
        <v>192</v>
      </c>
      <c r="D500" s="13" t="s">
        <v>543</v>
      </c>
      <c r="E500" s="13" t="s">
        <v>984</v>
      </c>
      <c r="F500" s="32">
        <v>2</v>
      </c>
      <c r="G500" s="32" t="s">
        <v>955</v>
      </c>
      <c r="H500" s="32">
        <f t="shared" si="50"/>
        <v>2</v>
      </c>
      <c r="I500" s="72">
        <v>400</v>
      </c>
      <c r="J500" s="72">
        <f t="shared" si="49"/>
        <v>800</v>
      </c>
      <c r="K500" s="33"/>
    </row>
    <row r="501" spans="1:13">
      <c r="A501" s="258"/>
      <c r="B501" s="13" t="s">
        <v>70</v>
      </c>
      <c r="C501" s="13" t="s">
        <v>192</v>
      </c>
      <c r="D501" s="13" t="s">
        <v>544</v>
      </c>
      <c r="E501" s="13" t="s">
        <v>985</v>
      </c>
      <c r="F501" s="32">
        <v>2</v>
      </c>
      <c r="G501" s="32" t="s">
        <v>955</v>
      </c>
      <c r="H501" s="32">
        <f t="shared" si="50"/>
        <v>2</v>
      </c>
      <c r="I501" s="72">
        <v>400</v>
      </c>
      <c r="J501" s="72">
        <f t="shared" si="49"/>
        <v>800</v>
      </c>
      <c r="K501" s="33"/>
    </row>
    <row r="502" spans="1:13">
      <c r="A502" s="258"/>
      <c r="B502" s="13" t="s">
        <v>70</v>
      </c>
      <c r="C502" s="13" t="s">
        <v>192</v>
      </c>
      <c r="D502" s="13" t="s">
        <v>553</v>
      </c>
      <c r="E502" s="13" t="s">
        <v>425</v>
      </c>
      <c r="F502" s="32">
        <v>2</v>
      </c>
      <c r="G502" s="32" t="s">
        <v>955</v>
      </c>
      <c r="H502" s="32">
        <f t="shared" si="50"/>
        <v>2</v>
      </c>
      <c r="I502" s="72">
        <v>1700</v>
      </c>
      <c r="J502" s="72">
        <f t="shared" si="49"/>
        <v>3400</v>
      </c>
      <c r="K502" s="33"/>
    </row>
    <row r="503" spans="1:13">
      <c r="A503" s="258"/>
      <c r="B503" s="13" t="s">
        <v>70</v>
      </c>
      <c r="C503" s="13" t="s">
        <v>192</v>
      </c>
      <c r="D503" s="13" t="s">
        <v>537</v>
      </c>
      <c r="E503" s="13" t="s">
        <v>427</v>
      </c>
      <c r="F503" s="32">
        <v>1</v>
      </c>
      <c r="G503" s="32" t="s">
        <v>680</v>
      </c>
      <c r="H503" s="32">
        <f t="shared" ref="H503" si="51">$G$4*F503</f>
        <v>1</v>
      </c>
      <c r="I503" s="72">
        <v>8500</v>
      </c>
      <c r="J503" s="72">
        <f t="shared" si="49"/>
        <v>8500</v>
      </c>
      <c r="K503" s="33"/>
    </row>
    <row r="504" spans="1:13">
      <c r="A504" s="258"/>
      <c r="B504" s="13" t="s">
        <v>70</v>
      </c>
      <c r="C504" s="13" t="s">
        <v>192</v>
      </c>
      <c r="D504" s="13" t="s">
        <v>540</v>
      </c>
      <c r="E504" s="13" t="s">
        <v>429</v>
      </c>
      <c r="F504" s="32">
        <v>1</v>
      </c>
      <c r="G504" s="32" t="s">
        <v>957</v>
      </c>
      <c r="H504" s="32">
        <f t="shared" si="50"/>
        <v>1</v>
      </c>
      <c r="I504" s="72">
        <v>4800</v>
      </c>
      <c r="J504" s="72">
        <f t="shared" si="49"/>
        <v>4800</v>
      </c>
      <c r="K504" s="33"/>
    </row>
    <row r="505" spans="1:13">
      <c r="A505" s="258"/>
      <c r="B505" s="13" t="s">
        <v>70</v>
      </c>
      <c r="C505" s="13" t="s">
        <v>192</v>
      </c>
      <c r="D505" s="13" t="s">
        <v>432</v>
      </c>
      <c r="E505" s="13" t="s">
        <v>430</v>
      </c>
      <c r="F505" s="32">
        <v>1</v>
      </c>
      <c r="G505" s="32" t="s">
        <v>955</v>
      </c>
      <c r="H505" s="32">
        <f t="shared" si="50"/>
        <v>1</v>
      </c>
      <c r="I505" s="76">
        <v>4000</v>
      </c>
      <c r="J505" s="76">
        <f t="shared" si="49"/>
        <v>4000</v>
      </c>
      <c r="K505" s="33"/>
      <c r="L505" s="59"/>
      <c r="M505" s="59"/>
    </row>
    <row r="506" spans="1:13">
      <c r="A506" s="258"/>
      <c r="B506" s="13" t="s">
        <v>70</v>
      </c>
      <c r="C506" s="13" t="s">
        <v>192</v>
      </c>
      <c r="D506" s="13" t="s">
        <v>436</v>
      </c>
      <c r="E506" s="13" t="s">
        <v>434</v>
      </c>
      <c r="F506" s="32">
        <v>1</v>
      </c>
      <c r="G506" s="32" t="s">
        <v>955</v>
      </c>
      <c r="H506" s="32">
        <f t="shared" si="50"/>
        <v>1</v>
      </c>
      <c r="I506" s="76">
        <v>4000</v>
      </c>
      <c r="J506" s="76">
        <f t="shared" si="49"/>
        <v>4000</v>
      </c>
      <c r="K506" s="33"/>
      <c r="L506" s="59"/>
      <c r="M506" s="59"/>
    </row>
    <row r="507" spans="1:13">
      <c r="A507" s="258"/>
      <c r="B507" s="13" t="s">
        <v>70</v>
      </c>
      <c r="C507" s="13" t="s">
        <v>192</v>
      </c>
      <c r="D507" s="13" t="s">
        <v>439</v>
      </c>
      <c r="E507" s="13" t="s">
        <v>612</v>
      </c>
      <c r="F507" s="32">
        <v>2</v>
      </c>
      <c r="G507" s="32" t="s">
        <v>955</v>
      </c>
      <c r="H507" s="32">
        <f t="shared" si="50"/>
        <v>2</v>
      </c>
      <c r="I507" s="76">
        <v>8000</v>
      </c>
      <c r="J507" s="76">
        <f t="shared" si="49"/>
        <v>16000</v>
      </c>
      <c r="K507" s="33"/>
      <c r="L507" s="59"/>
      <c r="M507" s="59"/>
    </row>
    <row r="508" spans="1:13">
      <c r="A508" s="258"/>
      <c r="B508" s="13" t="s">
        <v>70</v>
      </c>
      <c r="C508" s="13" t="s">
        <v>192</v>
      </c>
      <c r="D508" s="13" t="s">
        <v>529</v>
      </c>
      <c r="E508" s="13" t="s">
        <v>530</v>
      </c>
      <c r="F508" s="32">
        <v>1</v>
      </c>
      <c r="G508" s="32" t="s">
        <v>681</v>
      </c>
      <c r="H508" s="32">
        <f t="shared" ref="H508:H518" si="52">$G$4*F508</f>
        <v>1</v>
      </c>
      <c r="I508" s="72">
        <v>2520</v>
      </c>
      <c r="J508" s="72">
        <f t="shared" si="49"/>
        <v>2520</v>
      </c>
      <c r="K508" s="33"/>
    </row>
    <row r="509" spans="1:13">
      <c r="A509" s="258"/>
      <c r="B509" s="13" t="s">
        <v>70</v>
      </c>
      <c r="C509" s="13" t="s">
        <v>192</v>
      </c>
      <c r="D509" s="13" t="s">
        <v>531</v>
      </c>
      <c r="E509" s="13" t="s">
        <v>532</v>
      </c>
      <c r="F509" s="32">
        <v>1</v>
      </c>
      <c r="G509" s="32" t="s">
        <v>976</v>
      </c>
      <c r="H509" s="32">
        <f t="shared" si="52"/>
        <v>1</v>
      </c>
      <c r="I509" s="72">
        <v>5500</v>
      </c>
      <c r="J509" s="72">
        <f t="shared" si="49"/>
        <v>5500</v>
      </c>
      <c r="K509" s="33"/>
    </row>
    <row r="510" spans="1:13">
      <c r="A510" s="258"/>
      <c r="B510" s="13" t="s">
        <v>70</v>
      </c>
      <c r="C510" s="13" t="s">
        <v>192</v>
      </c>
      <c r="D510" s="13" t="s">
        <v>443</v>
      </c>
      <c r="E510" s="13" t="s">
        <v>442</v>
      </c>
      <c r="F510" s="32">
        <v>1</v>
      </c>
      <c r="G510" s="32" t="s">
        <v>678</v>
      </c>
      <c r="H510" s="32">
        <f t="shared" si="52"/>
        <v>1</v>
      </c>
      <c r="I510" s="72">
        <v>7000</v>
      </c>
      <c r="J510" s="72">
        <f t="shared" si="49"/>
        <v>7000</v>
      </c>
      <c r="K510" s="33"/>
    </row>
    <row r="511" spans="1:13">
      <c r="A511" s="258"/>
      <c r="B511" s="13" t="s">
        <v>70</v>
      </c>
      <c r="C511" s="13" t="s">
        <v>192</v>
      </c>
      <c r="D511" s="13" t="s">
        <v>441</v>
      </c>
      <c r="E511" s="13" t="s">
        <v>440</v>
      </c>
      <c r="F511" s="32">
        <v>1</v>
      </c>
      <c r="G511" s="32" t="s">
        <v>678</v>
      </c>
      <c r="H511" s="32">
        <f t="shared" si="52"/>
        <v>1</v>
      </c>
      <c r="I511" s="72">
        <v>7000</v>
      </c>
      <c r="J511" s="72">
        <f t="shared" si="49"/>
        <v>7000</v>
      </c>
      <c r="K511" s="33"/>
    </row>
    <row r="512" spans="1:13">
      <c r="A512" s="258"/>
      <c r="B512" s="13" t="s">
        <v>70</v>
      </c>
      <c r="C512" s="13" t="s">
        <v>192</v>
      </c>
      <c r="D512" s="13" t="s">
        <v>546</v>
      </c>
      <c r="E512" s="13" t="s">
        <v>547</v>
      </c>
      <c r="F512" s="32">
        <v>1</v>
      </c>
      <c r="G512" s="32" t="s">
        <v>571</v>
      </c>
      <c r="H512" s="32">
        <f t="shared" si="52"/>
        <v>1</v>
      </c>
      <c r="I512" s="72">
        <v>3200</v>
      </c>
      <c r="J512" s="72">
        <f t="shared" si="49"/>
        <v>3200</v>
      </c>
      <c r="K512" s="33"/>
    </row>
    <row r="513" spans="1:13">
      <c r="A513" s="258"/>
      <c r="B513" s="13" t="s">
        <v>70</v>
      </c>
      <c r="C513" s="13" t="s">
        <v>192</v>
      </c>
      <c r="D513" s="13" t="s">
        <v>554</v>
      </c>
      <c r="E513" s="13" t="s">
        <v>533</v>
      </c>
      <c r="F513" s="32">
        <v>1</v>
      </c>
      <c r="G513" s="32" t="s">
        <v>686</v>
      </c>
      <c r="H513" s="32">
        <f t="shared" si="52"/>
        <v>1</v>
      </c>
      <c r="I513" s="72">
        <v>900</v>
      </c>
      <c r="J513" s="72">
        <f t="shared" si="49"/>
        <v>900</v>
      </c>
      <c r="K513" s="33"/>
    </row>
    <row r="514" spans="1:13">
      <c r="A514" s="258"/>
      <c r="B514" s="13" t="s">
        <v>70</v>
      </c>
      <c r="C514" s="13" t="s">
        <v>192</v>
      </c>
      <c r="D514" s="101" t="s">
        <v>193</v>
      </c>
      <c r="E514" s="98" t="s">
        <v>522</v>
      </c>
      <c r="F514" s="99">
        <v>2</v>
      </c>
      <c r="G514" s="99" t="s">
        <v>560</v>
      </c>
      <c r="H514" s="99">
        <f t="shared" si="52"/>
        <v>2</v>
      </c>
      <c r="I514" s="100">
        <v>171000</v>
      </c>
      <c r="J514" s="100">
        <f t="shared" si="49"/>
        <v>342000</v>
      </c>
      <c r="K514" s="33"/>
    </row>
    <row r="515" spans="1:13">
      <c r="A515" s="258"/>
      <c r="B515" s="13" t="s">
        <v>70</v>
      </c>
      <c r="C515" s="13" t="s">
        <v>192</v>
      </c>
      <c r="D515" s="109" t="s">
        <v>446</v>
      </c>
      <c r="E515" s="109" t="s">
        <v>450</v>
      </c>
      <c r="F515" s="110">
        <v>1</v>
      </c>
      <c r="G515" s="110" t="s">
        <v>235</v>
      </c>
      <c r="H515" s="110">
        <f t="shared" si="52"/>
        <v>1</v>
      </c>
      <c r="I515" s="111">
        <f>(96*2700)+300000</f>
        <v>559200</v>
      </c>
      <c r="J515" s="111">
        <f t="shared" si="49"/>
        <v>559200</v>
      </c>
      <c r="K515" s="33"/>
    </row>
    <row r="516" spans="1:13">
      <c r="A516" s="264"/>
      <c r="B516" s="15" t="s">
        <v>634</v>
      </c>
      <c r="C516" s="15" t="s">
        <v>192</v>
      </c>
      <c r="D516" s="15" t="s">
        <v>623</v>
      </c>
      <c r="E516" s="15" t="s">
        <v>625</v>
      </c>
      <c r="F516" s="38">
        <v>1</v>
      </c>
      <c r="G516" s="38" t="s">
        <v>690</v>
      </c>
      <c r="H516" s="32">
        <f t="shared" si="52"/>
        <v>1</v>
      </c>
      <c r="I516" s="73">
        <f>16000+1800</f>
        <v>17800</v>
      </c>
      <c r="J516" s="72">
        <f t="shared" si="49"/>
        <v>17800</v>
      </c>
      <c r="K516" s="39"/>
    </row>
    <row r="517" spans="1:13" ht="17.5" thickBot="1">
      <c r="A517" s="264"/>
      <c r="B517" s="15" t="s">
        <v>70</v>
      </c>
      <c r="C517" s="15" t="s">
        <v>192</v>
      </c>
      <c r="D517" s="15" t="s">
        <v>1735</v>
      </c>
      <c r="E517" s="13" t="s">
        <v>693</v>
      </c>
      <c r="F517" s="38">
        <v>1</v>
      </c>
      <c r="G517" s="38" t="s">
        <v>1736</v>
      </c>
      <c r="H517" s="38">
        <f t="shared" si="52"/>
        <v>1</v>
      </c>
      <c r="I517" s="73">
        <v>6500</v>
      </c>
      <c r="J517" s="73">
        <f t="shared" si="49"/>
        <v>6500</v>
      </c>
      <c r="K517" s="39"/>
    </row>
    <row r="518" spans="1:13" ht="26" thickBot="1">
      <c r="A518" s="259"/>
      <c r="B518" s="53" t="s">
        <v>70</v>
      </c>
      <c r="C518" s="53" t="s">
        <v>192</v>
      </c>
      <c r="D518" s="53" t="s">
        <v>113</v>
      </c>
      <c r="E518" s="53" t="s">
        <v>113</v>
      </c>
      <c r="F518" s="85">
        <v>1</v>
      </c>
      <c r="G518" s="85" t="s">
        <v>240</v>
      </c>
      <c r="H518" s="85">
        <f t="shared" si="52"/>
        <v>1</v>
      </c>
      <c r="I518" s="86">
        <v>13400</v>
      </c>
      <c r="J518" s="86">
        <f t="shared" si="49"/>
        <v>13400</v>
      </c>
      <c r="K518" s="44"/>
      <c r="L518" s="254">
        <f>SUBTOTAL(9,J492:J543)</f>
        <v>1288797</v>
      </c>
    </row>
    <row r="519" spans="1:13" hidden="1">
      <c r="A519" s="274">
        <v>20</v>
      </c>
      <c r="B519" s="10" t="s">
        <v>70</v>
      </c>
      <c r="C519" s="10" t="s">
        <v>194</v>
      </c>
      <c r="D519" s="10" t="s">
        <v>555</v>
      </c>
      <c r="E519" s="10" t="s">
        <v>381</v>
      </c>
      <c r="F519" s="5">
        <v>1</v>
      </c>
      <c r="G519" s="5" t="s">
        <v>250</v>
      </c>
      <c r="H519" s="5">
        <f>$G$23*F519</f>
        <v>0</v>
      </c>
      <c r="I519" s="75"/>
      <c r="J519" s="75">
        <f t="shared" si="49"/>
        <v>0</v>
      </c>
      <c r="K519" s="40" t="s">
        <v>238</v>
      </c>
      <c r="L519" s="1"/>
      <c r="M519" s="1"/>
    </row>
    <row r="520" spans="1:13" hidden="1">
      <c r="A520" s="258"/>
      <c r="B520" s="34" t="s">
        <v>70</v>
      </c>
      <c r="C520" s="34" t="s">
        <v>194</v>
      </c>
      <c r="D520" s="34" t="s">
        <v>383</v>
      </c>
      <c r="E520" s="34" t="s">
        <v>384</v>
      </c>
      <c r="F520" s="32">
        <v>12</v>
      </c>
      <c r="G520" s="32" t="s">
        <v>954</v>
      </c>
      <c r="H520" s="32">
        <f t="shared" ref="H520:H543" si="53">$G$23*F520</f>
        <v>0</v>
      </c>
      <c r="I520" s="72"/>
      <c r="J520" s="72">
        <f t="shared" si="49"/>
        <v>0</v>
      </c>
      <c r="K520" s="33"/>
      <c r="L520" s="1"/>
      <c r="M520" s="1"/>
    </row>
    <row r="521" spans="1:13" hidden="1">
      <c r="A521" s="258"/>
      <c r="B521" s="13" t="s">
        <v>70</v>
      </c>
      <c r="C521" s="13" t="s">
        <v>194</v>
      </c>
      <c r="D521" s="13" t="s">
        <v>403</v>
      </c>
      <c r="E521" s="13" t="s">
        <v>412</v>
      </c>
      <c r="F521" s="32">
        <v>1</v>
      </c>
      <c r="G521" s="32" t="s">
        <v>567</v>
      </c>
      <c r="H521" s="32">
        <f t="shared" si="53"/>
        <v>0</v>
      </c>
      <c r="I521" s="76"/>
      <c r="J521" s="76">
        <f t="shared" si="49"/>
        <v>0</v>
      </c>
      <c r="K521" s="33"/>
      <c r="L521" s="1"/>
      <c r="M521" s="1"/>
    </row>
    <row r="522" spans="1:13" hidden="1">
      <c r="A522" s="258"/>
      <c r="B522" s="13" t="s">
        <v>70</v>
      </c>
      <c r="C522" s="13" t="s">
        <v>194</v>
      </c>
      <c r="D522" s="13" t="s">
        <v>409</v>
      </c>
      <c r="E522" s="13" t="s">
        <v>415</v>
      </c>
      <c r="F522" s="32">
        <v>1</v>
      </c>
      <c r="G522" s="32" t="s">
        <v>567</v>
      </c>
      <c r="H522" s="32">
        <f t="shared" si="53"/>
        <v>0</v>
      </c>
      <c r="I522" s="76"/>
      <c r="J522" s="76">
        <f t="shared" si="49"/>
        <v>0</v>
      </c>
      <c r="K522" s="33"/>
      <c r="L522" s="1"/>
      <c r="M522" s="1"/>
    </row>
    <row r="523" spans="1:13" hidden="1">
      <c r="A523" s="258"/>
      <c r="B523" s="13" t="s">
        <v>70</v>
      </c>
      <c r="C523" s="13" t="s">
        <v>194</v>
      </c>
      <c r="D523" s="13" t="s">
        <v>406</v>
      </c>
      <c r="E523" s="13" t="s">
        <v>418</v>
      </c>
      <c r="F523" s="32">
        <v>1</v>
      </c>
      <c r="G523" s="32" t="s">
        <v>567</v>
      </c>
      <c r="H523" s="32">
        <f t="shared" si="53"/>
        <v>0</v>
      </c>
      <c r="I523" s="76"/>
      <c r="J523" s="76">
        <f t="shared" si="49"/>
        <v>0</v>
      </c>
      <c r="K523" s="33"/>
      <c r="L523" s="1"/>
      <c r="M523" s="1"/>
    </row>
    <row r="524" spans="1:13" hidden="1">
      <c r="A524" s="258"/>
      <c r="B524" s="13" t="s">
        <v>70</v>
      </c>
      <c r="C524" s="13" t="s">
        <v>194</v>
      </c>
      <c r="D524" s="13" t="s">
        <v>486</v>
      </c>
      <c r="E524" s="13" t="s">
        <v>386</v>
      </c>
      <c r="F524" s="32">
        <v>1</v>
      </c>
      <c r="G524" s="32" t="s">
        <v>569</v>
      </c>
      <c r="H524" s="32">
        <f t="shared" si="53"/>
        <v>0</v>
      </c>
      <c r="I524" s="76"/>
      <c r="J524" s="76">
        <f t="shared" si="49"/>
        <v>0</v>
      </c>
      <c r="K524" s="33"/>
      <c r="L524" s="1"/>
      <c r="M524" s="1"/>
    </row>
    <row r="525" spans="1:13" hidden="1">
      <c r="A525" s="258"/>
      <c r="B525" s="13" t="s">
        <v>70</v>
      </c>
      <c r="C525" s="13" t="s">
        <v>194</v>
      </c>
      <c r="D525" s="13" t="s">
        <v>542</v>
      </c>
      <c r="E525" s="13" t="s">
        <v>422</v>
      </c>
      <c r="F525" s="32">
        <v>2</v>
      </c>
      <c r="G525" s="32" t="s">
        <v>561</v>
      </c>
      <c r="H525" s="32">
        <f t="shared" si="53"/>
        <v>0</v>
      </c>
      <c r="I525" s="72"/>
      <c r="J525" s="72">
        <f t="shared" si="49"/>
        <v>0</v>
      </c>
      <c r="K525" s="33"/>
      <c r="L525" s="1"/>
      <c r="M525" s="1"/>
    </row>
    <row r="526" spans="1:13" hidden="1">
      <c r="A526" s="258"/>
      <c r="B526" s="13" t="s">
        <v>70</v>
      </c>
      <c r="C526" s="13" t="s">
        <v>194</v>
      </c>
      <c r="D526" s="13" t="s">
        <v>543</v>
      </c>
      <c r="E526" s="13" t="s">
        <v>424</v>
      </c>
      <c r="F526" s="32">
        <v>2</v>
      </c>
      <c r="G526" s="32" t="s">
        <v>561</v>
      </c>
      <c r="H526" s="32">
        <f t="shared" si="53"/>
        <v>0</v>
      </c>
      <c r="I526" s="72"/>
      <c r="J526" s="72">
        <f t="shared" si="49"/>
        <v>0</v>
      </c>
      <c r="K526" s="33"/>
      <c r="L526" s="1"/>
      <c r="M526" s="1"/>
    </row>
    <row r="527" spans="1:13" hidden="1">
      <c r="A527" s="258"/>
      <c r="B527" s="13" t="s">
        <v>70</v>
      </c>
      <c r="C527" s="13" t="s">
        <v>194</v>
      </c>
      <c r="D527" s="13" t="s">
        <v>544</v>
      </c>
      <c r="E527" s="13" t="s">
        <v>420</v>
      </c>
      <c r="F527" s="32">
        <v>2</v>
      </c>
      <c r="G527" s="32" t="s">
        <v>561</v>
      </c>
      <c r="H527" s="32">
        <f t="shared" si="53"/>
        <v>0</v>
      </c>
      <c r="I527" s="72"/>
      <c r="J527" s="72">
        <f t="shared" si="49"/>
        <v>0</v>
      </c>
      <c r="K527" s="33"/>
      <c r="L527" s="1"/>
      <c r="M527" s="1"/>
    </row>
    <row r="528" spans="1:13" hidden="1">
      <c r="A528" s="258"/>
      <c r="B528" s="13" t="s">
        <v>70</v>
      </c>
      <c r="C528" s="13" t="s">
        <v>194</v>
      </c>
      <c r="D528" s="13" t="s">
        <v>553</v>
      </c>
      <c r="E528" s="13" t="s">
        <v>425</v>
      </c>
      <c r="F528" s="32">
        <v>2</v>
      </c>
      <c r="G528" s="32" t="s">
        <v>561</v>
      </c>
      <c r="H528" s="32">
        <f t="shared" si="53"/>
        <v>0</v>
      </c>
      <c r="I528" s="72"/>
      <c r="J528" s="72">
        <f t="shared" si="49"/>
        <v>0</v>
      </c>
      <c r="K528" s="33"/>
      <c r="L528" s="1"/>
      <c r="M528" s="1"/>
    </row>
    <row r="529" spans="1:13" hidden="1">
      <c r="A529" s="258"/>
      <c r="B529" s="13" t="s">
        <v>70</v>
      </c>
      <c r="C529" s="13" t="s">
        <v>194</v>
      </c>
      <c r="D529" s="13" t="s">
        <v>537</v>
      </c>
      <c r="E529" s="13" t="s">
        <v>427</v>
      </c>
      <c r="F529" s="32">
        <v>1</v>
      </c>
      <c r="G529" s="32" t="s">
        <v>562</v>
      </c>
      <c r="H529" s="32">
        <f t="shared" si="53"/>
        <v>0</v>
      </c>
      <c r="I529" s="72"/>
      <c r="J529" s="72">
        <f t="shared" si="49"/>
        <v>0</v>
      </c>
      <c r="K529" s="33"/>
      <c r="L529" s="1"/>
      <c r="M529" s="1"/>
    </row>
    <row r="530" spans="1:13" hidden="1">
      <c r="A530" s="258"/>
      <c r="B530" s="34" t="s">
        <v>70</v>
      </c>
      <c r="C530" s="34" t="s">
        <v>194</v>
      </c>
      <c r="D530" s="34" t="s">
        <v>540</v>
      </c>
      <c r="E530" s="34" t="s">
        <v>429</v>
      </c>
      <c r="F530" s="32">
        <v>1</v>
      </c>
      <c r="G530" s="32" t="s">
        <v>568</v>
      </c>
      <c r="H530" s="32">
        <f t="shared" si="53"/>
        <v>0</v>
      </c>
      <c r="I530" s="72"/>
      <c r="J530" s="72">
        <f t="shared" si="49"/>
        <v>0</v>
      </c>
      <c r="K530" s="33"/>
      <c r="L530" s="1"/>
      <c r="M530" s="1"/>
    </row>
    <row r="531" spans="1:13" hidden="1">
      <c r="A531" s="258"/>
      <c r="B531" s="13" t="s">
        <v>70</v>
      </c>
      <c r="C531" s="13" t="s">
        <v>194</v>
      </c>
      <c r="D531" s="13" t="s">
        <v>432</v>
      </c>
      <c r="E531" s="13" t="s">
        <v>430</v>
      </c>
      <c r="F531" s="32">
        <v>1</v>
      </c>
      <c r="G531" s="32" t="s">
        <v>561</v>
      </c>
      <c r="H531" s="32">
        <f t="shared" si="53"/>
        <v>0</v>
      </c>
      <c r="I531" s="76"/>
      <c r="J531" s="76">
        <f t="shared" si="49"/>
        <v>0</v>
      </c>
      <c r="K531" s="33"/>
      <c r="L531" s="1"/>
      <c r="M531" s="1"/>
    </row>
    <row r="532" spans="1:13" hidden="1">
      <c r="A532" s="258"/>
      <c r="B532" s="13" t="s">
        <v>70</v>
      </c>
      <c r="C532" s="13" t="s">
        <v>194</v>
      </c>
      <c r="D532" s="13" t="s">
        <v>436</v>
      </c>
      <c r="E532" s="13" t="s">
        <v>434</v>
      </c>
      <c r="F532" s="32">
        <v>1</v>
      </c>
      <c r="G532" s="32" t="s">
        <v>561</v>
      </c>
      <c r="H532" s="32">
        <f t="shared" si="53"/>
        <v>0</v>
      </c>
      <c r="I532" s="76"/>
      <c r="J532" s="76">
        <f t="shared" si="49"/>
        <v>0</v>
      </c>
      <c r="K532" s="33"/>
      <c r="L532" s="1"/>
      <c r="M532" s="1"/>
    </row>
    <row r="533" spans="1:13" hidden="1">
      <c r="A533" s="258"/>
      <c r="B533" s="13" t="s">
        <v>70</v>
      </c>
      <c r="C533" s="13" t="s">
        <v>194</v>
      </c>
      <c r="D533" s="13" t="s">
        <v>439</v>
      </c>
      <c r="E533" s="13" t="s">
        <v>612</v>
      </c>
      <c r="F533" s="32">
        <v>2</v>
      </c>
      <c r="G533" s="32" t="s">
        <v>561</v>
      </c>
      <c r="H533" s="32">
        <f t="shared" si="53"/>
        <v>0</v>
      </c>
      <c r="I533" s="76"/>
      <c r="J533" s="76">
        <f t="shared" si="49"/>
        <v>0</v>
      </c>
      <c r="K533" s="33"/>
      <c r="L533" s="1"/>
      <c r="M533" s="1"/>
    </row>
    <row r="534" spans="1:13" hidden="1">
      <c r="A534" s="258"/>
      <c r="B534" s="34" t="s">
        <v>70</v>
      </c>
      <c r="C534" s="34" t="s">
        <v>194</v>
      </c>
      <c r="D534" s="34" t="s">
        <v>529</v>
      </c>
      <c r="E534" s="34" t="s">
        <v>530</v>
      </c>
      <c r="F534" s="32">
        <v>1</v>
      </c>
      <c r="G534" s="32" t="s">
        <v>566</v>
      </c>
      <c r="H534" s="32">
        <f t="shared" si="53"/>
        <v>0</v>
      </c>
      <c r="I534" s="72"/>
      <c r="J534" s="72">
        <f t="shared" si="49"/>
        <v>0</v>
      </c>
      <c r="K534" s="33"/>
      <c r="L534" s="1"/>
      <c r="M534" s="1"/>
    </row>
    <row r="535" spans="1:13" hidden="1">
      <c r="A535" s="258"/>
      <c r="B535" s="34" t="s">
        <v>70</v>
      </c>
      <c r="C535" s="34" t="s">
        <v>194</v>
      </c>
      <c r="D535" s="34" t="s">
        <v>531</v>
      </c>
      <c r="E535" s="34" t="s">
        <v>532</v>
      </c>
      <c r="F535" s="32">
        <v>1</v>
      </c>
      <c r="G535" s="32" t="s">
        <v>566</v>
      </c>
      <c r="H535" s="32">
        <f t="shared" si="53"/>
        <v>0</v>
      </c>
      <c r="I535" s="72"/>
      <c r="J535" s="72">
        <f t="shared" si="49"/>
        <v>0</v>
      </c>
      <c r="K535" s="33"/>
      <c r="L535" s="1"/>
      <c r="M535" s="1"/>
    </row>
    <row r="536" spans="1:13" hidden="1">
      <c r="A536" s="258"/>
      <c r="B536" s="34" t="s">
        <v>70</v>
      </c>
      <c r="C536" s="34" t="s">
        <v>194</v>
      </c>
      <c r="D536" s="34" t="s">
        <v>443</v>
      </c>
      <c r="E536" s="34" t="s">
        <v>442</v>
      </c>
      <c r="F536" s="32">
        <v>1</v>
      </c>
      <c r="G536" s="32" t="s">
        <v>570</v>
      </c>
      <c r="H536" s="32">
        <f t="shared" si="53"/>
        <v>0</v>
      </c>
      <c r="I536" s="72"/>
      <c r="J536" s="72">
        <f t="shared" si="49"/>
        <v>0</v>
      </c>
      <c r="K536" s="33"/>
      <c r="L536" s="1"/>
      <c r="M536" s="1"/>
    </row>
    <row r="537" spans="1:13" hidden="1">
      <c r="A537" s="258"/>
      <c r="B537" s="34" t="s">
        <v>70</v>
      </c>
      <c r="C537" s="34" t="s">
        <v>194</v>
      </c>
      <c r="D537" s="34" t="s">
        <v>441</v>
      </c>
      <c r="E537" s="34" t="s">
        <v>440</v>
      </c>
      <c r="F537" s="32">
        <v>1</v>
      </c>
      <c r="G537" s="32" t="s">
        <v>570</v>
      </c>
      <c r="H537" s="32">
        <f t="shared" si="53"/>
        <v>0</v>
      </c>
      <c r="I537" s="72"/>
      <c r="J537" s="72">
        <f t="shared" si="49"/>
        <v>0</v>
      </c>
      <c r="K537" s="33"/>
      <c r="L537" s="1"/>
      <c r="M537" s="1"/>
    </row>
    <row r="538" spans="1:13" hidden="1">
      <c r="A538" s="258"/>
      <c r="B538" s="34" t="s">
        <v>70</v>
      </c>
      <c r="C538" s="34" t="s">
        <v>194</v>
      </c>
      <c r="D538" s="34" t="s">
        <v>546</v>
      </c>
      <c r="E538" s="34" t="s">
        <v>547</v>
      </c>
      <c r="F538" s="32">
        <v>1</v>
      </c>
      <c r="G538" s="32" t="s">
        <v>571</v>
      </c>
      <c r="H538" s="32">
        <f t="shared" si="53"/>
        <v>0</v>
      </c>
      <c r="I538" s="72"/>
      <c r="J538" s="72">
        <f t="shared" si="49"/>
        <v>0</v>
      </c>
      <c r="K538" s="33"/>
      <c r="L538" s="1"/>
      <c r="M538" s="1"/>
    </row>
    <row r="539" spans="1:13" hidden="1">
      <c r="A539" s="258"/>
      <c r="B539" s="34" t="s">
        <v>70</v>
      </c>
      <c r="C539" s="34" t="s">
        <v>194</v>
      </c>
      <c r="D539" s="34" t="s">
        <v>554</v>
      </c>
      <c r="E539" s="34" t="s">
        <v>533</v>
      </c>
      <c r="F539" s="32">
        <v>1</v>
      </c>
      <c r="G539" s="32" t="s">
        <v>571</v>
      </c>
      <c r="H539" s="32">
        <f t="shared" si="53"/>
        <v>0</v>
      </c>
      <c r="I539" s="72"/>
      <c r="J539" s="72">
        <f t="shared" si="49"/>
        <v>0</v>
      </c>
      <c r="K539" s="33"/>
      <c r="L539" s="1"/>
      <c r="M539" s="1"/>
    </row>
    <row r="540" spans="1:13" hidden="1">
      <c r="A540" s="258"/>
      <c r="B540" s="13" t="s">
        <v>70</v>
      </c>
      <c r="C540" s="13" t="s">
        <v>194</v>
      </c>
      <c r="D540" s="35" t="s">
        <v>193</v>
      </c>
      <c r="E540" s="13" t="s">
        <v>522</v>
      </c>
      <c r="F540" s="32">
        <v>2</v>
      </c>
      <c r="G540" s="32" t="s">
        <v>560</v>
      </c>
      <c r="H540" s="32">
        <f t="shared" si="53"/>
        <v>0</v>
      </c>
      <c r="I540" s="72">
        <v>119200</v>
      </c>
      <c r="J540" s="72">
        <f t="shared" si="49"/>
        <v>0</v>
      </c>
      <c r="K540" s="33"/>
      <c r="L540" s="1"/>
      <c r="M540" s="1"/>
    </row>
    <row r="541" spans="1:13" hidden="1">
      <c r="A541" s="258"/>
      <c r="B541" s="13" t="s">
        <v>70</v>
      </c>
      <c r="C541" s="13" t="s">
        <v>194</v>
      </c>
      <c r="D541" s="13" t="s">
        <v>447</v>
      </c>
      <c r="E541" s="13" t="s">
        <v>451</v>
      </c>
      <c r="F541" s="32">
        <v>1</v>
      </c>
      <c r="G541" s="32" t="s">
        <v>235</v>
      </c>
      <c r="H541" s="32">
        <f t="shared" si="53"/>
        <v>0</v>
      </c>
      <c r="I541" s="72"/>
      <c r="J541" s="72">
        <f t="shared" si="49"/>
        <v>0</v>
      </c>
      <c r="K541" s="33"/>
      <c r="L541" s="1"/>
      <c r="M541" s="1"/>
    </row>
    <row r="542" spans="1:13" hidden="1">
      <c r="A542" s="264"/>
      <c r="B542" s="46" t="s">
        <v>634</v>
      </c>
      <c r="C542" s="46" t="s">
        <v>194</v>
      </c>
      <c r="D542" s="46" t="s">
        <v>623</v>
      </c>
      <c r="E542" s="46" t="s">
        <v>625</v>
      </c>
      <c r="F542" s="38">
        <v>1</v>
      </c>
      <c r="G542" s="38"/>
      <c r="H542" s="38"/>
      <c r="I542" s="73"/>
      <c r="J542" s="73"/>
      <c r="K542" s="39"/>
      <c r="L542" s="1"/>
      <c r="M542" s="1"/>
    </row>
    <row r="543" spans="1:13" ht="17.5" hidden="1" thickBot="1">
      <c r="A543" s="297"/>
      <c r="B543" s="46" t="s">
        <v>70</v>
      </c>
      <c r="C543" s="46" t="s">
        <v>194</v>
      </c>
      <c r="D543" s="46" t="s">
        <v>113</v>
      </c>
      <c r="E543" s="46" t="s">
        <v>113</v>
      </c>
      <c r="F543" s="38">
        <v>1</v>
      </c>
      <c r="G543" s="38" t="s">
        <v>240</v>
      </c>
      <c r="H543" s="38">
        <f t="shared" si="53"/>
        <v>0</v>
      </c>
      <c r="I543" s="73"/>
      <c r="J543" s="73">
        <f t="shared" si="49"/>
        <v>0</v>
      </c>
      <c r="K543" s="39"/>
      <c r="L543" s="1"/>
      <c r="M543" s="1"/>
    </row>
    <row r="544" spans="1:13">
      <c r="A544" s="257">
        <v>21</v>
      </c>
      <c r="B544" s="11" t="s">
        <v>70</v>
      </c>
      <c r="C544" s="11" t="s">
        <v>196</v>
      </c>
      <c r="D544" s="11" t="s">
        <v>555</v>
      </c>
      <c r="E544" s="11" t="s">
        <v>381</v>
      </c>
      <c r="F544" s="30">
        <v>1</v>
      </c>
      <c r="G544" s="30" t="s">
        <v>679</v>
      </c>
      <c r="H544" s="32">
        <f t="shared" ref="H544:H558" si="54">$G$24*F544</f>
        <v>1</v>
      </c>
      <c r="I544" s="71">
        <f>158000+56000</f>
        <v>214000</v>
      </c>
      <c r="J544" s="77">
        <f t="shared" si="49"/>
        <v>214000</v>
      </c>
      <c r="K544" s="31" t="s">
        <v>238</v>
      </c>
      <c r="L544" s="59"/>
      <c r="M544" s="59"/>
    </row>
    <row r="545" spans="1:13">
      <c r="A545" s="258"/>
      <c r="B545" s="13" t="s">
        <v>70</v>
      </c>
      <c r="C545" s="13" t="s">
        <v>196</v>
      </c>
      <c r="D545" s="13" t="s">
        <v>383</v>
      </c>
      <c r="E545" s="13" t="s">
        <v>384</v>
      </c>
      <c r="F545" s="32">
        <v>12</v>
      </c>
      <c r="G545" s="32" t="s">
        <v>954</v>
      </c>
      <c r="H545" s="32">
        <f t="shared" si="54"/>
        <v>12</v>
      </c>
      <c r="I545" s="72">
        <v>2470</v>
      </c>
      <c r="J545" s="72">
        <f t="shared" si="49"/>
        <v>29640</v>
      </c>
      <c r="K545" s="33"/>
    </row>
    <row r="546" spans="1:13">
      <c r="A546" s="258"/>
      <c r="B546" s="13" t="s">
        <v>70</v>
      </c>
      <c r="C546" s="13" t="s">
        <v>196</v>
      </c>
      <c r="D546" s="13" t="s">
        <v>403</v>
      </c>
      <c r="E546" s="13" t="s">
        <v>977</v>
      </c>
      <c r="F546" s="32">
        <v>1</v>
      </c>
      <c r="G546" s="13" t="s">
        <v>1733</v>
      </c>
      <c r="H546" s="32">
        <f t="shared" si="54"/>
        <v>1</v>
      </c>
      <c r="I546" s="301">
        <v>32037</v>
      </c>
      <c r="J546" s="298">
        <f t="shared" si="49"/>
        <v>32037</v>
      </c>
      <c r="K546" s="33"/>
      <c r="L546" s="59"/>
      <c r="M546" s="59"/>
    </row>
    <row r="547" spans="1:13">
      <c r="A547" s="258"/>
      <c r="B547" s="13" t="s">
        <v>70</v>
      </c>
      <c r="C547" s="13" t="s">
        <v>196</v>
      </c>
      <c r="D547" s="13" t="s">
        <v>409</v>
      </c>
      <c r="E547" s="13" t="s">
        <v>979</v>
      </c>
      <c r="F547" s="32">
        <v>1</v>
      </c>
      <c r="G547" s="13" t="s">
        <v>1733</v>
      </c>
      <c r="H547" s="32">
        <f t="shared" si="54"/>
        <v>1</v>
      </c>
      <c r="I547" s="302"/>
      <c r="J547" s="299"/>
      <c r="K547" s="33"/>
      <c r="L547" s="59"/>
      <c r="M547" s="59"/>
    </row>
    <row r="548" spans="1:13">
      <c r="A548" s="258"/>
      <c r="B548" s="13" t="s">
        <v>70</v>
      </c>
      <c r="C548" s="13" t="s">
        <v>196</v>
      </c>
      <c r="D548" s="13" t="s">
        <v>406</v>
      </c>
      <c r="E548" s="13" t="s">
        <v>980</v>
      </c>
      <c r="F548" s="32">
        <v>1</v>
      </c>
      <c r="G548" s="13" t="s">
        <v>1733</v>
      </c>
      <c r="H548" s="32">
        <f t="shared" si="54"/>
        <v>1</v>
      </c>
      <c r="I548" s="303"/>
      <c r="J548" s="300"/>
      <c r="K548" s="33"/>
      <c r="L548" s="59"/>
      <c r="M548" s="59"/>
    </row>
    <row r="549" spans="1:13">
      <c r="A549" s="258"/>
      <c r="B549" s="13" t="s">
        <v>70</v>
      </c>
      <c r="C549" s="13" t="s">
        <v>196</v>
      </c>
      <c r="D549" s="13" t="s">
        <v>556</v>
      </c>
      <c r="E549" s="13" t="s">
        <v>401</v>
      </c>
      <c r="F549" s="32">
        <v>1</v>
      </c>
      <c r="G549" s="32" t="s">
        <v>569</v>
      </c>
      <c r="H549" s="32">
        <f t="shared" si="54"/>
        <v>1</v>
      </c>
      <c r="I549" s="72">
        <v>5300</v>
      </c>
      <c r="J549" s="72">
        <f t="shared" si="49"/>
        <v>5300</v>
      </c>
      <c r="K549" s="33"/>
    </row>
    <row r="550" spans="1:13">
      <c r="A550" s="258"/>
      <c r="B550" s="13" t="s">
        <v>70</v>
      </c>
      <c r="C550" s="13" t="s">
        <v>196</v>
      </c>
      <c r="D550" s="13" t="s">
        <v>542</v>
      </c>
      <c r="E550" s="13" t="s">
        <v>983</v>
      </c>
      <c r="F550" s="32">
        <v>2</v>
      </c>
      <c r="G550" s="32" t="s">
        <v>955</v>
      </c>
      <c r="H550" s="32">
        <f t="shared" si="54"/>
        <v>2</v>
      </c>
      <c r="I550" s="72">
        <v>400</v>
      </c>
      <c r="J550" s="72">
        <f t="shared" si="49"/>
        <v>800</v>
      </c>
      <c r="K550" s="33"/>
    </row>
    <row r="551" spans="1:13">
      <c r="A551" s="258"/>
      <c r="B551" s="13" t="s">
        <v>70</v>
      </c>
      <c r="C551" s="13" t="s">
        <v>196</v>
      </c>
      <c r="D551" s="13" t="s">
        <v>543</v>
      </c>
      <c r="E551" s="13" t="s">
        <v>984</v>
      </c>
      <c r="F551" s="32">
        <v>2</v>
      </c>
      <c r="G551" s="32" t="s">
        <v>955</v>
      </c>
      <c r="H551" s="32">
        <f t="shared" si="54"/>
        <v>2</v>
      </c>
      <c r="I551" s="72">
        <v>400</v>
      </c>
      <c r="J551" s="72">
        <f t="shared" ref="J551:J614" si="55">H551*I551</f>
        <v>800</v>
      </c>
      <c r="K551" s="33"/>
    </row>
    <row r="552" spans="1:13">
      <c r="A552" s="258"/>
      <c r="B552" s="13" t="s">
        <v>70</v>
      </c>
      <c r="C552" s="13" t="s">
        <v>196</v>
      </c>
      <c r="D552" s="13" t="s">
        <v>544</v>
      </c>
      <c r="E552" s="13" t="s">
        <v>985</v>
      </c>
      <c r="F552" s="32">
        <v>2</v>
      </c>
      <c r="G552" s="32" t="s">
        <v>955</v>
      </c>
      <c r="H552" s="32">
        <f t="shared" si="54"/>
        <v>2</v>
      </c>
      <c r="I552" s="72">
        <v>400</v>
      </c>
      <c r="J552" s="72">
        <f t="shared" si="55"/>
        <v>800</v>
      </c>
      <c r="K552" s="33"/>
    </row>
    <row r="553" spans="1:13">
      <c r="A553" s="258"/>
      <c r="B553" s="13" t="s">
        <v>70</v>
      </c>
      <c r="C553" s="13" t="s">
        <v>196</v>
      </c>
      <c r="D553" s="13" t="s">
        <v>553</v>
      </c>
      <c r="E553" s="13" t="s">
        <v>425</v>
      </c>
      <c r="F553" s="32">
        <v>2</v>
      </c>
      <c r="G553" s="32" t="s">
        <v>955</v>
      </c>
      <c r="H553" s="32">
        <f t="shared" si="54"/>
        <v>2</v>
      </c>
      <c r="I553" s="72">
        <v>1700</v>
      </c>
      <c r="J553" s="72">
        <f t="shared" si="55"/>
        <v>3400</v>
      </c>
      <c r="K553" s="33"/>
    </row>
    <row r="554" spans="1:13">
      <c r="A554" s="258"/>
      <c r="B554" s="13" t="s">
        <v>70</v>
      </c>
      <c r="C554" s="13" t="s">
        <v>196</v>
      </c>
      <c r="D554" s="13" t="s">
        <v>537</v>
      </c>
      <c r="E554" s="13" t="s">
        <v>427</v>
      </c>
      <c r="F554" s="32">
        <v>1</v>
      </c>
      <c r="G554" s="32" t="s">
        <v>680</v>
      </c>
      <c r="H554" s="32">
        <f t="shared" ref="H554" si="56">$G$4*F554</f>
        <v>1</v>
      </c>
      <c r="I554" s="72">
        <v>8500</v>
      </c>
      <c r="J554" s="72">
        <f t="shared" si="55"/>
        <v>8500</v>
      </c>
      <c r="K554" s="33"/>
    </row>
    <row r="555" spans="1:13">
      <c r="A555" s="258"/>
      <c r="B555" s="13" t="s">
        <v>70</v>
      </c>
      <c r="C555" s="13" t="s">
        <v>196</v>
      </c>
      <c r="D555" s="13" t="s">
        <v>540</v>
      </c>
      <c r="E555" s="13" t="s">
        <v>429</v>
      </c>
      <c r="F555" s="32">
        <v>1</v>
      </c>
      <c r="G555" s="32" t="s">
        <v>957</v>
      </c>
      <c r="H555" s="32">
        <f t="shared" si="54"/>
        <v>1</v>
      </c>
      <c r="I555" s="72">
        <v>4800</v>
      </c>
      <c r="J555" s="72">
        <f t="shared" si="55"/>
        <v>4800</v>
      </c>
      <c r="K555" s="33"/>
    </row>
    <row r="556" spans="1:13">
      <c r="A556" s="258"/>
      <c r="B556" s="13" t="s">
        <v>70</v>
      </c>
      <c r="C556" s="13" t="s">
        <v>196</v>
      </c>
      <c r="D556" s="13" t="s">
        <v>432</v>
      </c>
      <c r="E556" s="13" t="s">
        <v>430</v>
      </c>
      <c r="F556" s="32">
        <v>1</v>
      </c>
      <c r="G556" s="32" t="s">
        <v>955</v>
      </c>
      <c r="H556" s="32">
        <f t="shared" si="54"/>
        <v>1</v>
      </c>
      <c r="I556" s="76">
        <v>4000</v>
      </c>
      <c r="J556" s="76">
        <f t="shared" si="55"/>
        <v>4000</v>
      </c>
      <c r="K556" s="33"/>
      <c r="L556" s="59"/>
      <c r="M556" s="59"/>
    </row>
    <row r="557" spans="1:13">
      <c r="A557" s="258"/>
      <c r="B557" s="13" t="s">
        <v>70</v>
      </c>
      <c r="C557" s="13" t="s">
        <v>196</v>
      </c>
      <c r="D557" s="13" t="s">
        <v>436</v>
      </c>
      <c r="E557" s="13" t="s">
        <v>434</v>
      </c>
      <c r="F557" s="32">
        <v>1</v>
      </c>
      <c r="G557" s="32" t="s">
        <v>955</v>
      </c>
      <c r="H557" s="32">
        <f t="shared" si="54"/>
        <v>1</v>
      </c>
      <c r="I557" s="76">
        <v>4000</v>
      </c>
      <c r="J557" s="76">
        <f t="shared" si="55"/>
        <v>4000</v>
      </c>
      <c r="K557" s="33"/>
      <c r="L557" s="59"/>
      <c r="M557" s="59"/>
    </row>
    <row r="558" spans="1:13">
      <c r="A558" s="258"/>
      <c r="B558" s="13" t="s">
        <v>70</v>
      </c>
      <c r="C558" s="13" t="s">
        <v>196</v>
      </c>
      <c r="D558" s="13" t="s">
        <v>439</v>
      </c>
      <c r="E558" s="13" t="s">
        <v>612</v>
      </c>
      <c r="F558" s="32">
        <v>2</v>
      </c>
      <c r="G558" s="32" t="s">
        <v>955</v>
      </c>
      <c r="H558" s="32">
        <f t="shared" si="54"/>
        <v>2</v>
      </c>
      <c r="I558" s="76">
        <v>8000</v>
      </c>
      <c r="J558" s="76">
        <f t="shared" si="55"/>
        <v>16000</v>
      </c>
      <c r="K558" s="33"/>
      <c r="L558" s="59"/>
      <c r="M558" s="59"/>
    </row>
    <row r="559" spans="1:13">
      <c r="A559" s="258"/>
      <c r="B559" s="13" t="s">
        <v>70</v>
      </c>
      <c r="C559" s="13" t="s">
        <v>196</v>
      </c>
      <c r="D559" s="13" t="s">
        <v>529</v>
      </c>
      <c r="E559" s="13" t="s">
        <v>530</v>
      </c>
      <c r="F559" s="32">
        <v>1</v>
      </c>
      <c r="G559" s="32" t="s">
        <v>681</v>
      </c>
      <c r="H559" s="32">
        <f t="shared" ref="H559:H569" si="57">$G$4*F559</f>
        <v>1</v>
      </c>
      <c r="I559" s="72">
        <v>2520</v>
      </c>
      <c r="J559" s="72">
        <f t="shared" si="55"/>
        <v>2520</v>
      </c>
      <c r="K559" s="33"/>
    </row>
    <row r="560" spans="1:13">
      <c r="A560" s="258"/>
      <c r="B560" s="13" t="s">
        <v>70</v>
      </c>
      <c r="C560" s="13" t="s">
        <v>196</v>
      </c>
      <c r="D560" s="13" t="s">
        <v>531</v>
      </c>
      <c r="E560" s="13" t="s">
        <v>532</v>
      </c>
      <c r="F560" s="32">
        <v>1</v>
      </c>
      <c r="G560" s="32" t="s">
        <v>976</v>
      </c>
      <c r="H560" s="32">
        <f t="shared" si="57"/>
        <v>1</v>
      </c>
      <c r="I560" s="72">
        <v>5500</v>
      </c>
      <c r="J560" s="72">
        <f t="shared" si="55"/>
        <v>5500</v>
      </c>
      <c r="K560" s="33"/>
    </row>
    <row r="561" spans="1:13">
      <c r="A561" s="258"/>
      <c r="B561" s="13" t="s">
        <v>70</v>
      </c>
      <c r="C561" s="13" t="s">
        <v>196</v>
      </c>
      <c r="D561" s="13" t="s">
        <v>443</v>
      </c>
      <c r="E561" s="13" t="s">
        <v>442</v>
      </c>
      <c r="F561" s="32">
        <v>1</v>
      </c>
      <c r="G561" s="32" t="s">
        <v>678</v>
      </c>
      <c r="H561" s="32">
        <f t="shared" si="57"/>
        <v>1</v>
      </c>
      <c r="I561" s="72">
        <v>7000</v>
      </c>
      <c r="J561" s="72">
        <f t="shared" si="55"/>
        <v>7000</v>
      </c>
      <c r="K561" s="33"/>
    </row>
    <row r="562" spans="1:13">
      <c r="A562" s="258"/>
      <c r="B562" s="13" t="s">
        <v>70</v>
      </c>
      <c r="C562" s="13" t="s">
        <v>196</v>
      </c>
      <c r="D562" s="13" t="s">
        <v>441</v>
      </c>
      <c r="E562" s="13" t="s">
        <v>440</v>
      </c>
      <c r="F562" s="32">
        <v>1</v>
      </c>
      <c r="G562" s="32" t="s">
        <v>678</v>
      </c>
      <c r="H562" s="32">
        <f t="shared" si="57"/>
        <v>1</v>
      </c>
      <c r="I562" s="72">
        <v>7000</v>
      </c>
      <c r="J562" s="72">
        <f t="shared" si="55"/>
        <v>7000</v>
      </c>
      <c r="K562" s="33"/>
    </row>
    <row r="563" spans="1:13">
      <c r="A563" s="258"/>
      <c r="B563" s="13" t="s">
        <v>70</v>
      </c>
      <c r="C563" s="13" t="s">
        <v>196</v>
      </c>
      <c r="D563" s="13" t="s">
        <v>546</v>
      </c>
      <c r="E563" s="13" t="s">
        <v>547</v>
      </c>
      <c r="F563" s="32">
        <v>1</v>
      </c>
      <c r="G563" s="32" t="s">
        <v>571</v>
      </c>
      <c r="H563" s="32">
        <f t="shared" si="57"/>
        <v>1</v>
      </c>
      <c r="I563" s="72">
        <v>3200</v>
      </c>
      <c r="J563" s="72">
        <f t="shared" si="55"/>
        <v>3200</v>
      </c>
      <c r="K563" s="33"/>
    </row>
    <row r="564" spans="1:13">
      <c r="A564" s="258"/>
      <c r="B564" s="13" t="s">
        <v>70</v>
      </c>
      <c r="C564" s="13" t="s">
        <v>196</v>
      </c>
      <c r="D564" s="13" t="s">
        <v>554</v>
      </c>
      <c r="E564" s="13" t="s">
        <v>533</v>
      </c>
      <c r="F564" s="32">
        <v>1</v>
      </c>
      <c r="G564" s="32" t="s">
        <v>686</v>
      </c>
      <c r="H564" s="32">
        <f t="shared" si="57"/>
        <v>1</v>
      </c>
      <c r="I564" s="72">
        <v>900</v>
      </c>
      <c r="J564" s="72">
        <f t="shared" si="55"/>
        <v>900</v>
      </c>
      <c r="K564" s="33"/>
    </row>
    <row r="565" spans="1:13">
      <c r="A565" s="258"/>
      <c r="B565" s="13" t="s">
        <v>70</v>
      </c>
      <c r="C565" s="13" t="s">
        <v>196</v>
      </c>
      <c r="D565" s="101" t="s">
        <v>193</v>
      </c>
      <c r="E565" s="98" t="s">
        <v>522</v>
      </c>
      <c r="F565" s="99">
        <v>2</v>
      </c>
      <c r="G565" s="99" t="s">
        <v>560</v>
      </c>
      <c r="H565" s="99">
        <f t="shared" si="57"/>
        <v>2</v>
      </c>
      <c r="I565" s="100">
        <v>171000</v>
      </c>
      <c r="J565" s="100">
        <f t="shared" si="55"/>
        <v>342000</v>
      </c>
      <c r="K565" s="33"/>
    </row>
    <row r="566" spans="1:13">
      <c r="A566" s="258"/>
      <c r="B566" s="13" t="s">
        <v>70</v>
      </c>
      <c r="C566" s="13" t="s">
        <v>196</v>
      </c>
      <c r="D566" s="109" t="s">
        <v>446</v>
      </c>
      <c r="E566" s="109" t="s">
        <v>450</v>
      </c>
      <c r="F566" s="110">
        <v>1</v>
      </c>
      <c r="G566" s="110" t="s">
        <v>235</v>
      </c>
      <c r="H566" s="110">
        <f t="shared" si="57"/>
        <v>1</v>
      </c>
      <c r="I566" s="111">
        <f>(96*2700)+300000</f>
        <v>559200</v>
      </c>
      <c r="J566" s="111">
        <f t="shared" si="55"/>
        <v>559200</v>
      </c>
      <c r="K566" s="33"/>
    </row>
    <row r="567" spans="1:13">
      <c r="A567" s="264"/>
      <c r="B567" s="15" t="s">
        <v>634</v>
      </c>
      <c r="C567" s="15" t="s">
        <v>196</v>
      </c>
      <c r="D567" s="15" t="s">
        <v>624</v>
      </c>
      <c r="E567" s="15" t="s">
        <v>625</v>
      </c>
      <c r="F567" s="38">
        <v>1</v>
      </c>
      <c r="G567" s="38" t="s">
        <v>690</v>
      </c>
      <c r="H567" s="32">
        <f t="shared" si="57"/>
        <v>1</v>
      </c>
      <c r="I567" s="73">
        <f>16000+1800</f>
        <v>17800</v>
      </c>
      <c r="J567" s="72">
        <f t="shared" si="55"/>
        <v>17800</v>
      </c>
      <c r="K567" s="39"/>
    </row>
    <row r="568" spans="1:13" ht="17.5" thickBot="1">
      <c r="A568" s="264"/>
      <c r="B568" s="15" t="s">
        <v>70</v>
      </c>
      <c r="C568" s="15" t="s">
        <v>196</v>
      </c>
      <c r="D568" s="15" t="s">
        <v>1735</v>
      </c>
      <c r="E568" s="13" t="s">
        <v>693</v>
      </c>
      <c r="F568" s="38">
        <v>1</v>
      </c>
      <c r="G568" s="38" t="s">
        <v>1736</v>
      </c>
      <c r="H568" s="38">
        <f t="shared" si="57"/>
        <v>1</v>
      </c>
      <c r="I568" s="73">
        <v>6500</v>
      </c>
      <c r="J568" s="73">
        <f t="shared" si="55"/>
        <v>6500</v>
      </c>
      <c r="K568" s="39"/>
    </row>
    <row r="569" spans="1:13" ht="26" thickBot="1">
      <c r="A569" s="259"/>
      <c r="B569" s="9" t="s">
        <v>70</v>
      </c>
      <c r="C569" s="9" t="s">
        <v>196</v>
      </c>
      <c r="D569" s="9" t="s">
        <v>113</v>
      </c>
      <c r="E569" s="9" t="s">
        <v>113</v>
      </c>
      <c r="F569" s="43">
        <v>1</v>
      </c>
      <c r="G569" s="43" t="s">
        <v>240</v>
      </c>
      <c r="H569" s="32">
        <f t="shared" si="57"/>
        <v>1</v>
      </c>
      <c r="I569" s="74">
        <v>13400</v>
      </c>
      <c r="J569" s="74">
        <f t="shared" si="55"/>
        <v>13400</v>
      </c>
      <c r="K569" s="44"/>
      <c r="L569" s="254">
        <f>SUBTOTAL(9,J543:J594)</f>
        <v>1289097</v>
      </c>
    </row>
    <row r="570" spans="1:13" hidden="1">
      <c r="A570" s="274">
        <v>22</v>
      </c>
      <c r="B570" s="10" t="s">
        <v>70</v>
      </c>
      <c r="C570" s="10" t="s">
        <v>195</v>
      </c>
      <c r="D570" s="10" t="s">
        <v>555</v>
      </c>
      <c r="E570" s="10" t="s">
        <v>381</v>
      </c>
      <c r="F570" s="5">
        <v>1</v>
      </c>
      <c r="G570" s="5" t="s">
        <v>250</v>
      </c>
      <c r="H570" s="5">
        <f>$K$4*F570</f>
        <v>0</v>
      </c>
      <c r="I570" s="75"/>
      <c r="J570" s="75">
        <f t="shared" si="55"/>
        <v>0</v>
      </c>
      <c r="K570" s="40" t="s">
        <v>238</v>
      </c>
      <c r="L570" s="1"/>
      <c r="M570" s="1"/>
    </row>
    <row r="571" spans="1:13" hidden="1">
      <c r="A571" s="258"/>
      <c r="B571" s="34" t="s">
        <v>70</v>
      </c>
      <c r="C571" s="34" t="s">
        <v>195</v>
      </c>
      <c r="D571" s="34" t="s">
        <v>383</v>
      </c>
      <c r="E571" s="34" t="s">
        <v>384</v>
      </c>
      <c r="F571" s="32">
        <v>12</v>
      </c>
      <c r="G571" s="32" t="s">
        <v>954</v>
      </c>
      <c r="H571" s="32">
        <f t="shared" ref="H571:H594" si="58">$K$4*F571</f>
        <v>0</v>
      </c>
      <c r="I571" s="72"/>
      <c r="J571" s="72">
        <f t="shared" si="55"/>
        <v>0</v>
      </c>
      <c r="K571" s="33"/>
      <c r="L571" s="1"/>
      <c r="M571" s="1"/>
    </row>
    <row r="572" spans="1:13" hidden="1">
      <c r="A572" s="258"/>
      <c r="B572" s="13" t="s">
        <v>70</v>
      </c>
      <c r="C572" s="13" t="s">
        <v>195</v>
      </c>
      <c r="D572" s="13" t="s">
        <v>403</v>
      </c>
      <c r="E572" s="13" t="s">
        <v>412</v>
      </c>
      <c r="F572" s="32">
        <v>1</v>
      </c>
      <c r="G572" s="32" t="s">
        <v>567</v>
      </c>
      <c r="H572" s="32">
        <f t="shared" si="58"/>
        <v>0</v>
      </c>
      <c r="I572" s="76"/>
      <c r="J572" s="76">
        <f t="shared" si="55"/>
        <v>0</v>
      </c>
      <c r="K572" s="33"/>
      <c r="L572" s="1"/>
      <c r="M572" s="1"/>
    </row>
    <row r="573" spans="1:13" hidden="1">
      <c r="A573" s="258"/>
      <c r="B573" s="13" t="s">
        <v>70</v>
      </c>
      <c r="C573" s="13" t="s">
        <v>195</v>
      </c>
      <c r="D573" s="13" t="s">
        <v>409</v>
      </c>
      <c r="E573" s="13" t="s">
        <v>415</v>
      </c>
      <c r="F573" s="32">
        <v>1</v>
      </c>
      <c r="G573" s="32" t="s">
        <v>567</v>
      </c>
      <c r="H573" s="32">
        <f t="shared" si="58"/>
        <v>0</v>
      </c>
      <c r="I573" s="76"/>
      <c r="J573" s="76">
        <f t="shared" si="55"/>
        <v>0</v>
      </c>
      <c r="K573" s="33"/>
      <c r="L573" s="1"/>
      <c r="M573" s="1"/>
    </row>
    <row r="574" spans="1:13" hidden="1">
      <c r="A574" s="258"/>
      <c r="B574" s="13" t="s">
        <v>70</v>
      </c>
      <c r="C574" s="13" t="s">
        <v>195</v>
      </c>
      <c r="D574" s="13" t="s">
        <v>406</v>
      </c>
      <c r="E574" s="13" t="s">
        <v>418</v>
      </c>
      <c r="F574" s="32">
        <v>1</v>
      </c>
      <c r="G574" s="32" t="s">
        <v>567</v>
      </c>
      <c r="H574" s="32">
        <f t="shared" si="58"/>
        <v>0</v>
      </c>
      <c r="I574" s="76"/>
      <c r="J574" s="76">
        <f t="shared" si="55"/>
        <v>0</v>
      </c>
      <c r="K574" s="33"/>
      <c r="L574" s="1"/>
      <c r="M574" s="1"/>
    </row>
    <row r="575" spans="1:13" hidden="1">
      <c r="A575" s="258"/>
      <c r="B575" s="13" t="s">
        <v>70</v>
      </c>
      <c r="C575" s="13" t="s">
        <v>195</v>
      </c>
      <c r="D575" s="13" t="s">
        <v>556</v>
      </c>
      <c r="E575" s="13" t="s">
        <v>401</v>
      </c>
      <c r="F575" s="32">
        <v>1</v>
      </c>
      <c r="G575" s="32" t="s">
        <v>569</v>
      </c>
      <c r="H575" s="32">
        <f t="shared" si="58"/>
        <v>0</v>
      </c>
      <c r="I575" s="72"/>
      <c r="J575" s="72">
        <f t="shared" si="55"/>
        <v>0</v>
      </c>
      <c r="K575" s="33"/>
      <c r="L575" s="1"/>
      <c r="M575" s="1"/>
    </row>
    <row r="576" spans="1:13" hidden="1">
      <c r="A576" s="258"/>
      <c r="B576" s="13" t="s">
        <v>70</v>
      </c>
      <c r="C576" s="13" t="s">
        <v>195</v>
      </c>
      <c r="D576" s="13" t="s">
        <v>542</v>
      </c>
      <c r="E576" s="13" t="s">
        <v>422</v>
      </c>
      <c r="F576" s="32">
        <v>2</v>
      </c>
      <c r="G576" s="32" t="s">
        <v>561</v>
      </c>
      <c r="H576" s="32">
        <f t="shared" si="58"/>
        <v>0</v>
      </c>
      <c r="I576" s="72"/>
      <c r="J576" s="72">
        <f t="shared" si="55"/>
        <v>0</v>
      </c>
      <c r="K576" s="33"/>
      <c r="L576" s="1"/>
      <c r="M576" s="1"/>
    </row>
    <row r="577" spans="1:13" hidden="1">
      <c r="A577" s="258"/>
      <c r="B577" s="13" t="s">
        <v>70</v>
      </c>
      <c r="C577" s="13" t="s">
        <v>195</v>
      </c>
      <c r="D577" s="13" t="s">
        <v>543</v>
      </c>
      <c r="E577" s="13" t="s">
        <v>424</v>
      </c>
      <c r="F577" s="32">
        <v>2</v>
      </c>
      <c r="G577" s="32" t="s">
        <v>561</v>
      </c>
      <c r="H577" s="32">
        <f t="shared" si="58"/>
        <v>0</v>
      </c>
      <c r="I577" s="72"/>
      <c r="J577" s="72">
        <f t="shared" si="55"/>
        <v>0</v>
      </c>
      <c r="K577" s="33"/>
      <c r="L577" s="1"/>
      <c r="M577" s="1"/>
    </row>
    <row r="578" spans="1:13" hidden="1">
      <c r="A578" s="258"/>
      <c r="B578" s="13" t="s">
        <v>70</v>
      </c>
      <c r="C578" s="13" t="s">
        <v>195</v>
      </c>
      <c r="D578" s="13" t="s">
        <v>544</v>
      </c>
      <c r="E578" s="13" t="s">
        <v>420</v>
      </c>
      <c r="F578" s="32">
        <v>2</v>
      </c>
      <c r="G578" s="32" t="s">
        <v>561</v>
      </c>
      <c r="H578" s="32">
        <f t="shared" si="58"/>
        <v>0</v>
      </c>
      <c r="I578" s="72"/>
      <c r="J578" s="72">
        <f t="shared" si="55"/>
        <v>0</v>
      </c>
      <c r="K578" s="33"/>
      <c r="L578" s="1"/>
      <c r="M578" s="1"/>
    </row>
    <row r="579" spans="1:13" hidden="1">
      <c r="A579" s="258"/>
      <c r="B579" s="13" t="s">
        <v>70</v>
      </c>
      <c r="C579" s="13" t="s">
        <v>195</v>
      </c>
      <c r="D579" s="13" t="s">
        <v>553</v>
      </c>
      <c r="E579" s="13" t="s">
        <v>425</v>
      </c>
      <c r="F579" s="32">
        <v>2</v>
      </c>
      <c r="G579" s="32" t="s">
        <v>561</v>
      </c>
      <c r="H579" s="32">
        <f t="shared" si="58"/>
        <v>0</v>
      </c>
      <c r="I579" s="72"/>
      <c r="J579" s="72">
        <f t="shared" si="55"/>
        <v>0</v>
      </c>
      <c r="K579" s="33"/>
      <c r="L579" s="1"/>
      <c r="M579" s="1"/>
    </row>
    <row r="580" spans="1:13" hidden="1">
      <c r="A580" s="258"/>
      <c r="B580" s="13" t="s">
        <v>70</v>
      </c>
      <c r="C580" s="13" t="s">
        <v>195</v>
      </c>
      <c r="D580" s="13" t="s">
        <v>537</v>
      </c>
      <c r="E580" s="13" t="s">
        <v>427</v>
      </c>
      <c r="F580" s="32">
        <v>1</v>
      </c>
      <c r="G580" s="32" t="s">
        <v>562</v>
      </c>
      <c r="H580" s="32">
        <f t="shared" si="58"/>
        <v>0</v>
      </c>
      <c r="I580" s="72"/>
      <c r="J580" s="72">
        <f t="shared" si="55"/>
        <v>0</v>
      </c>
      <c r="K580" s="33"/>
      <c r="L580" s="1"/>
      <c r="M580" s="1"/>
    </row>
    <row r="581" spans="1:13" hidden="1">
      <c r="A581" s="258"/>
      <c r="B581" s="34" t="s">
        <v>70</v>
      </c>
      <c r="C581" s="34" t="s">
        <v>195</v>
      </c>
      <c r="D581" s="34" t="s">
        <v>540</v>
      </c>
      <c r="E581" s="34" t="s">
        <v>429</v>
      </c>
      <c r="F581" s="32">
        <v>1</v>
      </c>
      <c r="G581" s="32" t="s">
        <v>568</v>
      </c>
      <c r="H581" s="32">
        <f t="shared" si="58"/>
        <v>0</v>
      </c>
      <c r="I581" s="72"/>
      <c r="J581" s="72">
        <f t="shared" si="55"/>
        <v>0</v>
      </c>
      <c r="K581" s="33"/>
      <c r="L581" s="1"/>
      <c r="M581" s="1"/>
    </row>
    <row r="582" spans="1:13" hidden="1">
      <c r="A582" s="258"/>
      <c r="B582" s="13" t="s">
        <v>70</v>
      </c>
      <c r="C582" s="13" t="s">
        <v>195</v>
      </c>
      <c r="D582" s="13" t="s">
        <v>432</v>
      </c>
      <c r="E582" s="13" t="s">
        <v>430</v>
      </c>
      <c r="F582" s="32">
        <v>1</v>
      </c>
      <c r="G582" s="32" t="s">
        <v>561</v>
      </c>
      <c r="H582" s="32">
        <f t="shared" si="58"/>
        <v>0</v>
      </c>
      <c r="I582" s="76"/>
      <c r="J582" s="76">
        <f t="shared" si="55"/>
        <v>0</v>
      </c>
      <c r="K582" s="33"/>
      <c r="L582" s="1"/>
      <c r="M582" s="1"/>
    </row>
    <row r="583" spans="1:13" hidden="1">
      <c r="A583" s="258"/>
      <c r="B583" s="13" t="s">
        <v>70</v>
      </c>
      <c r="C583" s="13" t="s">
        <v>195</v>
      </c>
      <c r="D583" s="13" t="s">
        <v>436</v>
      </c>
      <c r="E583" s="13" t="s">
        <v>434</v>
      </c>
      <c r="F583" s="32">
        <v>1</v>
      </c>
      <c r="G583" s="32" t="s">
        <v>561</v>
      </c>
      <c r="H583" s="32">
        <f t="shared" si="58"/>
        <v>0</v>
      </c>
      <c r="I583" s="76"/>
      <c r="J583" s="76">
        <f t="shared" si="55"/>
        <v>0</v>
      </c>
      <c r="K583" s="33"/>
      <c r="L583" s="1"/>
      <c r="M583" s="1"/>
    </row>
    <row r="584" spans="1:13" hidden="1">
      <c r="A584" s="258"/>
      <c r="B584" s="13" t="s">
        <v>70</v>
      </c>
      <c r="C584" s="13" t="s">
        <v>195</v>
      </c>
      <c r="D584" s="13" t="s">
        <v>439</v>
      </c>
      <c r="E584" s="13" t="s">
        <v>612</v>
      </c>
      <c r="F584" s="32">
        <v>2</v>
      </c>
      <c r="G584" s="32" t="s">
        <v>561</v>
      </c>
      <c r="H584" s="32">
        <f t="shared" si="58"/>
        <v>0</v>
      </c>
      <c r="I584" s="76"/>
      <c r="J584" s="76">
        <f t="shared" si="55"/>
        <v>0</v>
      </c>
      <c r="K584" s="33"/>
      <c r="L584" s="1"/>
      <c r="M584" s="1"/>
    </row>
    <row r="585" spans="1:13" hidden="1">
      <c r="A585" s="258"/>
      <c r="B585" s="34" t="s">
        <v>70</v>
      </c>
      <c r="C585" s="34" t="s">
        <v>195</v>
      </c>
      <c r="D585" s="34" t="s">
        <v>529</v>
      </c>
      <c r="E585" s="34" t="s">
        <v>530</v>
      </c>
      <c r="F585" s="32">
        <v>1</v>
      </c>
      <c r="G585" s="32" t="s">
        <v>566</v>
      </c>
      <c r="H585" s="32">
        <f t="shared" si="58"/>
        <v>0</v>
      </c>
      <c r="I585" s="72"/>
      <c r="J585" s="72">
        <f t="shared" si="55"/>
        <v>0</v>
      </c>
      <c r="K585" s="33"/>
      <c r="L585" s="1"/>
      <c r="M585" s="1"/>
    </row>
    <row r="586" spans="1:13" hidden="1">
      <c r="A586" s="258"/>
      <c r="B586" s="34" t="s">
        <v>70</v>
      </c>
      <c r="C586" s="34" t="s">
        <v>195</v>
      </c>
      <c r="D586" s="34" t="s">
        <v>531</v>
      </c>
      <c r="E586" s="34" t="s">
        <v>532</v>
      </c>
      <c r="F586" s="32">
        <v>1</v>
      </c>
      <c r="G586" s="32" t="s">
        <v>566</v>
      </c>
      <c r="H586" s="32">
        <f t="shared" si="58"/>
        <v>0</v>
      </c>
      <c r="I586" s="72"/>
      <c r="J586" s="72">
        <f t="shared" si="55"/>
        <v>0</v>
      </c>
      <c r="K586" s="33"/>
      <c r="L586" s="1"/>
      <c r="M586" s="1"/>
    </row>
    <row r="587" spans="1:13" hidden="1">
      <c r="A587" s="258"/>
      <c r="B587" s="34" t="s">
        <v>70</v>
      </c>
      <c r="C587" s="34" t="s">
        <v>195</v>
      </c>
      <c r="D587" s="34" t="s">
        <v>443</v>
      </c>
      <c r="E587" s="34" t="s">
        <v>442</v>
      </c>
      <c r="F587" s="32">
        <v>1</v>
      </c>
      <c r="G587" s="32" t="s">
        <v>570</v>
      </c>
      <c r="H587" s="32">
        <f t="shared" si="58"/>
        <v>0</v>
      </c>
      <c r="I587" s="72"/>
      <c r="J587" s="72">
        <f t="shared" si="55"/>
        <v>0</v>
      </c>
      <c r="K587" s="33"/>
      <c r="L587" s="1"/>
      <c r="M587" s="1"/>
    </row>
    <row r="588" spans="1:13" hidden="1">
      <c r="A588" s="258"/>
      <c r="B588" s="34" t="s">
        <v>70</v>
      </c>
      <c r="C588" s="34" t="s">
        <v>195</v>
      </c>
      <c r="D588" s="34" t="s">
        <v>441</v>
      </c>
      <c r="E588" s="34" t="s">
        <v>440</v>
      </c>
      <c r="F588" s="32">
        <v>1</v>
      </c>
      <c r="G588" s="32" t="s">
        <v>570</v>
      </c>
      <c r="H588" s="32">
        <f t="shared" si="58"/>
        <v>0</v>
      </c>
      <c r="I588" s="72"/>
      <c r="J588" s="72">
        <f t="shared" si="55"/>
        <v>0</v>
      </c>
      <c r="K588" s="33"/>
      <c r="L588" s="1"/>
      <c r="M588" s="1"/>
    </row>
    <row r="589" spans="1:13" hidden="1">
      <c r="A589" s="258"/>
      <c r="B589" s="34" t="s">
        <v>70</v>
      </c>
      <c r="C589" s="34" t="s">
        <v>195</v>
      </c>
      <c r="D589" s="34" t="s">
        <v>546</v>
      </c>
      <c r="E589" s="34" t="s">
        <v>547</v>
      </c>
      <c r="F589" s="32">
        <v>1</v>
      </c>
      <c r="G589" s="32" t="s">
        <v>571</v>
      </c>
      <c r="H589" s="32">
        <f t="shared" si="58"/>
        <v>0</v>
      </c>
      <c r="I589" s="72"/>
      <c r="J589" s="72">
        <f t="shared" si="55"/>
        <v>0</v>
      </c>
      <c r="K589" s="33"/>
      <c r="L589" s="1"/>
      <c r="M589" s="1"/>
    </row>
    <row r="590" spans="1:13" hidden="1">
      <c r="A590" s="258"/>
      <c r="B590" s="34" t="s">
        <v>70</v>
      </c>
      <c r="C590" s="34" t="s">
        <v>195</v>
      </c>
      <c r="D590" s="34" t="s">
        <v>554</v>
      </c>
      <c r="E590" s="34" t="s">
        <v>533</v>
      </c>
      <c r="F590" s="32">
        <v>1</v>
      </c>
      <c r="G590" s="32" t="s">
        <v>571</v>
      </c>
      <c r="H590" s="32">
        <f t="shared" si="58"/>
        <v>0</v>
      </c>
      <c r="I590" s="72"/>
      <c r="J590" s="72">
        <f t="shared" si="55"/>
        <v>0</v>
      </c>
      <c r="K590" s="33"/>
      <c r="L590" s="1"/>
      <c r="M590" s="1"/>
    </row>
    <row r="591" spans="1:13" hidden="1">
      <c r="A591" s="258"/>
      <c r="B591" s="13" t="s">
        <v>70</v>
      </c>
      <c r="C591" s="13" t="s">
        <v>195</v>
      </c>
      <c r="D591" s="35" t="s">
        <v>193</v>
      </c>
      <c r="E591" s="13" t="s">
        <v>522</v>
      </c>
      <c r="F591" s="32">
        <v>2</v>
      </c>
      <c r="G591" s="32" t="s">
        <v>560</v>
      </c>
      <c r="H591" s="32">
        <f t="shared" si="58"/>
        <v>0</v>
      </c>
      <c r="I591" s="72">
        <v>119200</v>
      </c>
      <c r="J591" s="72">
        <f t="shared" si="55"/>
        <v>0</v>
      </c>
      <c r="K591" s="33"/>
      <c r="L591" s="1"/>
      <c r="M591" s="1"/>
    </row>
    <row r="592" spans="1:13" hidden="1">
      <c r="A592" s="258"/>
      <c r="B592" s="13" t="s">
        <v>70</v>
      </c>
      <c r="C592" s="13" t="s">
        <v>195</v>
      </c>
      <c r="D592" s="13" t="s">
        <v>447</v>
      </c>
      <c r="E592" s="13" t="s">
        <v>451</v>
      </c>
      <c r="F592" s="32">
        <v>1</v>
      </c>
      <c r="G592" s="32" t="s">
        <v>235</v>
      </c>
      <c r="H592" s="32">
        <f t="shared" si="58"/>
        <v>0</v>
      </c>
      <c r="I592" s="72"/>
      <c r="J592" s="72">
        <f t="shared" si="55"/>
        <v>0</v>
      </c>
      <c r="K592" s="33"/>
      <c r="L592" s="1"/>
      <c r="M592" s="1"/>
    </row>
    <row r="593" spans="1:13" hidden="1">
      <c r="A593" s="264"/>
      <c r="B593" s="46" t="s">
        <v>634</v>
      </c>
      <c r="C593" s="46" t="s">
        <v>195</v>
      </c>
      <c r="D593" s="46" t="s">
        <v>624</v>
      </c>
      <c r="E593" s="46" t="s">
        <v>625</v>
      </c>
      <c r="F593" s="38">
        <v>1</v>
      </c>
      <c r="G593" s="38"/>
      <c r="H593" s="38"/>
      <c r="I593" s="73"/>
      <c r="J593" s="73"/>
      <c r="K593" s="39"/>
      <c r="L593" s="1"/>
      <c r="M593" s="1"/>
    </row>
    <row r="594" spans="1:13" ht="17.5" hidden="1" thickBot="1">
      <c r="A594" s="297"/>
      <c r="B594" s="46" t="s">
        <v>70</v>
      </c>
      <c r="C594" s="46" t="s">
        <v>195</v>
      </c>
      <c r="D594" s="46" t="s">
        <v>113</v>
      </c>
      <c r="E594" s="46" t="s">
        <v>113</v>
      </c>
      <c r="F594" s="38">
        <v>1</v>
      </c>
      <c r="G594" s="38" t="s">
        <v>240</v>
      </c>
      <c r="H594" s="38">
        <f t="shared" si="58"/>
        <v>0</v>
      </c>
      <c r="I594" s="73"/>
      <c r="J594" s="73">
        <f t="shared" si="55"/>
        <v>0</v>
      </c>
      <c r="K594" s="39"/>
      <c r="L594" s="1"/>
      <c r="M594" s="1"/>
    </row>
    <row r="595" spans="1:13">
      <c r="A595" s="257">
        <v>23</v>
      </c>
      <c r="B595" s="11" t="s">
        <v>70</v>
      </c>
      <c r="C595" s="11" t="s">
        <v>198</v>
      </c>
      <c r="D595" s="11" t="s">
        <v>555</v>
      </c>
      <c r="E595" s="11" t="s">
        <v>381</v>
      </c>
      <c r="F595" s="30">
        <v>1</v>
      </c>
      <c r="G595" s="30" t="s">
        <v>679</v>
      </c>
      <c r="H595" s="30">
        <f t="shared" ref="H595:H610" si="59">$K$5*F595</f>
        <v>1</v>
      </c>
      <c r="I595" s="71">
        <f>158000+56000</f>
        <v>214000</v>
      </c>
      <c r="J595" s="77">
        <f t="shared" si="55"/>
        <v>214000</v>
      </c>
      <c r="K595" s="31" t="s">
        <v>238</v>
      </c>
      <c r="L595" s="59"/>
      <c r="M595" s="59"/>
    </row>
    <row r="596" spans="1:13">
      <c r="A596" s="258"/>
      <c r="B596" s="13" t="s">
        <v>70</v>
      </c>
      <c r="C596" s="13" t="s">
        <v>198</v>
      </c>
      <c r="D596" s="13" t="s">
        <v>383</v>
      </c>
      <c r="E596" s="13" t="s">
        <v>384</v>
      </c>
      <c r="F596" s="32">
        <v>12</v>
      </c>
      <c r="G596" s="32" t="s">
        <v>954</v>
      </c>
      <c r="H596" s="32">
        <f t="shared" si="59"/>
        <v>12</v>
      </c>
      <c r="I596" s="72">
        <v>2470</v>
      </c>
      <c r="J596" s="72">
        <f t="shared" si="55"/>
        <v>29640</v>
      </c>
      <c r="K596" s="33"/>
    </row>
    <row r="597" spans="1:13">
      <c r="A597" s="258"/>
      <c r="B597" s="13" t="s">
        <v>70</v>
      </c>
      <c r="C597" s="13" t="s">
        <v>198</v>
      </c>
      <c r="D597" s="13" t="s">
        <v>403</v>
      </c>
      <c r="E597" s="13" t="s">
        <v>977</v>
      </c>
      <c r="F597" s="32">
        <v>1</v>
      </c>
      <c r="G597" s="13" t="s">
        <v>1733</v>
      </c>
      <c r="H597" s="32">
        <f t="shared" si="59"/>
        <v>1</v>
      </c>
      <c r="I597" s="301">
        <v>32037</v>
      </c>
      <c r="J597" s="298">
        <f t="shared" si="55"/>
        <v>32037</v>
      </c>
      <c r="K597" s="33"/>
      <c r="L597" s="59"/>
      <c r="M597" s="59"/>
    </row>
    <row r="598" spans="1:13">
      <c r="A598" s="258"/>
      <c r="B598" s="13" t="s">
        <v>70</v>
      </c>
      <c r="C598" s="13" t="s">
        <v>198</v>
      </c>
      <c r="D598" s="13" t="s">
        <v>409</v>
      </c>
      <c r="E598" s="13" t="s">
        <v>979</v>
      </c>
      <c r="F598" s="32">
        <v>1</v>
      </c>
      <c r="G598" s="13" t="s">
        <v>1733</v>
      </c>
      <c r="H598" s="32">
        <f t="shared" si="59"/>
        <v>1</v>
      </c>
      <c r="I598" s="302"/>
      <c r="J598" s="299"/>
      <c r="K598" s="33"/>
      <c r="L598" s="59"/>
      <c r="M598" s="59"/>
    </row>
    <row r="599" spans="1:13">
      <c r="A599" s="258"/>
      <c r="B599" s="13" t="s">
        <v>70</v>
      </c>
      <c r="C599" s="13" t="s">
        <v>198</v>
      </c>
      <c r="D599" s="13" t="s">
        <v>406</v>
      </c>
      <c r="E599" s="13" t="s">
        <v>980</v>
      </c>
      <c r="F599" s="32">
        <v>1</v>
      </c>
      <c r="G599" s="13" t="s">
        <v>1733</v>
      </c>
      <c r="H599" s="32">
        <f t="shared" si="59"/>
        <v>1</v>
      </c>
      <c r="I599" s="303"/>
      <c r="J599" s="300"/>
      <c r="K599" s="33"/>
      <c r="L599" s="59"/>
      <c r="M599" s="59"/>
    </row>
    <row r="600" spans="1:13">
      <c r="A600" s="258"/>
      <c r="B600" s="13" t="s">
        <v>70</v>
      </c>
      <c r="C600" s="13" t="s">
        <v>198</v>
      </c>
      <c r="D600" s="13" t="s">
        <v>486</v>
      </c>
      <c r="E600" s="13" t="s">
        <v>386</v>
      </c>
      <c r="F600" s="32">
        <v>1</v>
      </c>
      <c r="G600" s="32" t="s">
        <v>569</v>
      </c>
      <c r="H600" s="32">
        <f t="shared" si="59"/>
        <v>1</v>
      </c>
      <c r="I600" s="72">
        <v>5000</v>
      </c>
      <c r="J600" s="76">
        <f t="shared" si="55"/>
        <v>5000</v>
      </c>
      <c r="K600" s="33"/>
      <c r="L600" s="59"/>
      <c r="M600" s="59"/>
    </row>
    <row r="601" spans="1:13">
      <c r="A601" s="258"/>
      <c r="B601" s="13" t="s">
        <v>70</v>
      </c>
      <c r="C601" s="13" t="s">
        <v>198</v>
      </c>
      <c r="D601" s="13" t="s">
        <v>525</v>
      </c>
      <c r="E601" s="13" t="s">
        <v>523</v>
      </c>
      <c r="F601" s="32">
        <v>12</v>
      </c>
      <c r="G601" s="32" t="s">
        <v>731</v>
      </c>
      <c r="H601" s="32">
        <f t="shared" ref="H601" si="60">$G$8*F601</f>
        <v>12</v>
      </c>
      <c r="I601" s="72">
        <v>2600</v>
      </c>
      <c r="J601" s="72">
        <f t="shared" si="55"/>
        <v>31200</v>
      </c>
      <c r="K601" s="33"/>
    </row>
    <row r="602" spans="1:13">
      <c r="A602" s="258"/>
      <c r="B602" s="13" t="s">
        <v>70</v>
      </c>
      <c r="C602" s="13" t="s">
        <v>198</v>
      </c>
      <c r="D602" s="13" t="s">
        <v>542</v>
      </c>
      <c r="E602" s="13" t="s">
        <v>983</v>
      </c>
      <c r="F602" s="32">
        <v>2</v>
      </c>
      <c r="G602" s="32" t="s">
        <v>955</v>
      </c>
      <c r="H602" s="32">
        <f t="shared" si="59"/>
        <v>2</v>
      </c>
      <c r="I602" s="72">
        <v>400</v>
      </c>
      <c r="J602" s="72">
        <f t="shared" si="55"/>
        <v>800</v>
      </c>
      <c r="K602" s="33"/>
    </row>
    <row r="603" spans="1:13">
      <c r="A603" s="258"/>
      <c r="B603" s="13" t="s">
        <v>70</v>
      </c>
      <c r="C603" s="13" t="s">
        <v>198</v>
      </c>
      <c r="D603" s="13" t="s">
        <v>543</v>
      </c>
      <c r="E603" s="13" t="s">
        <v>984</v>
      </c>
      <c r="F603" s="32">
        <v>2</v>
      </c>
      <c r="G603" s="32" t="s">
        <v>955</v>
      </c>
      <c r="H603" s="32">
        <f t="shared" si="59"/>
        <v>2</v>
      </c>
      <c r="I603" s="72">
        <v>400</v>
      </c>
      <c r="J603" s="72">
        <f t="shared" si="55"/>
        <v>800</v>
      </c>
      <c r="K603" s="33"/>
    </row>
    <row r="604" spans="1:13">
      <c r="A604" s="258"/>
      <c r="B604" s="13" t="s">
        <v>70</v>
      </c>
      <c r="C604" s="13" t="s">
        <v>198</v>
      </c>
      <c r="D604" s="13" t="s">
        <v>544</v>
      </c>
      <c r="E604" s="13" t="s">
        <v>985</v>
      </c>
      <c r="F604" s="32">
        <v>2</v>
      </c>
      <c r="G604" s="32" t="s">
        <v>955</v>
      </c>
      <c r="H604" s="32">
        <f t="shared" si="59"/>
        <v>2</v>
      </c>
      <c r="I604" s="72">
        <v>400</v>
      </c>
      <c r="J604" s="72">
        <f t="shared" si="55"/>
        <v>800</v>
      </c>
      <c r="K604" s="33"/>
    </row>
    <row r="605" spans="1:13">
      <c r="A605" s="258"/>
      <c r="B605" s="13" t="s">
        <v>70</v>
      </c>
      <c r="C605" s="13" t="s">
        <v>198</v>
      </c>
      <c r="D605" s="13" t="s">
        <v>553</v>
      </c>
      <c r="E605" s="13" t="s">
        <v>425</v>
      </c>
      <c r="F605" s="32">
        <v>2</v>
      </c>
      <c r="G605" s="32" t="s">
        <v>955</v>
      </c>
      <c r="H605" s="32">
        <f t="shared" si="59"/>
        <v>2</v>
      </c>
      <c r="I605" s="72">
        <v>1700</v>
      </c>
      <c r="J605" s="72">
        <f t="shared" si="55"/>
        <v>3400</v>
      </c>
      <c r="K605" s="33"/>
    </row>
    <row r="606" spans="1:13">
      <c r="A606" s="258"/>
      <c r="B606" s="13" t="s">
        <v>70</v>
      </c>
      <c r="C606" s="13" t="s">
        <v>198</v>
      </c>
      <c r="D606" s="13" t="s">
        <v>537</v>
      </c>
      <c r="E606" s="13" t="s">
        <v>427</v>
      </c>
      <c r="F606" s="32">
        <v>1</v>
      </c>
      <c r="G606" s="32" t="s">
        <v>680</v>
      </c>
      <c r="H606" s="32">
        <f t="shared" ref="H606" si="61">$G$4*F606</f>
        <v>1</v>
      </c>
      <c r="I606" s="72">
        <v>8500</v>
      </c>
      <c r="J606" s="72">
        <f t="shared" si="55"/>
        <v>8500</v>
      </c>
      <c r="K606" s="33"/>
    </row>
    <row r="607" spans="1:13">
      <c r="A607" s="258"/>
      <c r="B607" s="13" t="s">
        <v>70</v>
      </c>
      <c r="C607" s="13" t="s">
        <v>198</v>
      </c>
      <c r="D607" s="13" t="s">
        <v>541</v>
      </c>
      <c r="E607" s="13" t="s">
        <v>429</v>
      </c>
      <c r="F607" s="32">
        <v>1</v>
      </c>
      <c r="G607" s="32" t="s">
        <v>957</v>
      </c>
      <c r="H607" s="32">
        <f t="shared" si="59"/>
        <v>1</v>
      </c>
      <c r="I607" s="72">
        <v>4800</v>
      </c>
      <c r="J607" s="72">
        <f t="shared" si="55"/>
        <v>4800</v>
      </c>
      <c r="K607" s="33"/>
    </row>
    <row r="608" spans="1:13">
      <c r="A608" s="258"/>
      <c r="B608" s="13" t="s">
        <v>70</v>
      </c>
      <c r="C608" s="13" t="s">
        <v>198</v>
      </c>
      <c r="D608" s="13" t="s">
        <v>432</v>
      </c>
      <c r="E608" s="13" t="s">
        <v>430</v>
      </c>
      <c r="F608" s="32">
        <v>1</v>
      </c>
      <c r="G608" s="32" t="s">
        <v>955</v>
      </c>
      <c r="H608" s="32">
        <f t="shared" si="59"/>
        <v>1</v>
      </c>
      <c r="I608" s="76">
        <v>4000</v>
      </c>
      <c r="J608" s="76">
        <f t="shared" si="55"/>
        <v>4000</v>
      </c>
      <c r="K608" s="33"/>
      <c r="L608" s="59"/>
      <c r="M608" s="59"/>
    </row>
    <row r="609" spans="1:15">
      <c r="A609" s="258"/>
      <c r="B609" s="13" t="s">
        <v>70</v>
      </c>
      <c r="C609" s="13" t="s">
        <v>198</v>
      </c>
      <c r="D609" s="13" t="s">
        <v>436</v>
      </c>
      <c r="E609" s="13" t="s">
        <v>434</v>
      </c>
      <c r="F609" s="32">
        <v>1</v>
      </c>
      <c r="G609" s="32" t="s">
        <v>955</v>
      </c>
      <c r="H609" s="32">
        <f t="shared" si="59"/>
        <v>1</v>
      </c>
      <c r="I609" s="76">
        <v>4000</v>
      </c>
      <c r="J609" s="76">
        <f t="shared" si="55"/>
        <v>4000</v>
      </c>
      <c r="K609" s="33"/>
      <c r="L609" s="59"/>
      <c r="M609" s="59"/>
    </row>
    <row r="610" spans="1:15">
      <c r="A610" s="258"/>
      <c r="B610" s="13" t="s">
        <v>70</v>
      </c>
      <c r="C610" s="13" t="s">
        <v>198</v>
      </c>
      <c r="D610" s="13" t="s">
        <v>439</v>
      </c>
      <c r="E610" s="13" t="s">
        <v>612</v>
      </c>
      <c r="F610" s="32">
        <v>2</v>
      </c>
      <c r="G610" s="32" t="s">
        <v>955</v>
      </c>
      <c r="H610" s="32">
        <f t="shared" si="59"/>
        <v>2</v>
      </c>
      <c r="I610" s="76">
        <v>8000</v>
      </c>
      <c r="J610" s="76">
        <f t="shared" si="55"/>
        <v>16000</v>
      </c>
      <c r="K610" s="33"/>
      <c r="L610" s="59"/>
      <c r="M610" s="59"/>
    </row>
    <row r="611" spans="1:15">
      <c r="A611" s="258"/>
      <c r="B611" s="13" t="s">
        <v>70</v>
      </c>
      <c r="C611" s="13" t="s">
        <v>198</v>
      </c>
      <c r="D611" s="13" t="s">
        <v>529</v>
      </c>
      <c r="E611" s="13" t="s">
        <v>530</v>
      </c>
      <c r="F611" s="32">
        <v>1</v>
      </c>
      <c r="G611" s="32" t="s">
        <v>681</v>
      </c>
      <c r="H611" s="32">
        <f t="shared" ref="H611:H621" si="62">$G$4*F611</f>
        <v>1</v>
      </c>
      <c r="I611" s="72">
        <v>2520</v>
      </c>
      <c r="J611" s="72">
        <f t="shared" si="55"/>
        <v>2520</v>
      </c>
      <c r="K611" s="33"/>
    </row>
    <row r="612" spans="1:15">
      <c r="A612" s="258"/>
      <c r="B612" s="13" t="s">
        <v>70</v>
      </c>
      <c r="C612" s="13" t="s">
        <v>198</v>
      </c>
      <c r="D612" s="13" t="s">
        <v>531</v>
      </c>
      <c r="E612" s="13" t="s">
        <v>532</v>
      </c>
      <c r="F612" s="32">
        <v>1</v>
      </c>
      <c r="G612" s="32" t="s">
        <v>976</v>
      </c>
      <c r="H612" s="32">
        <f t="shared" si="62"/>
        <v>1</v>
      </c>
      <c r="I612" s="72">
        <v>5500</v>
      </c>
      <c r="J612" s="72">
        <f t="shared" si="55"/>
        <v>5500</v>
      </c>
      <c r="K612" s="33"/>
    </row>
    <row r="613" spans="1:15">
      <c r="A613" s="258"/>
      <c r="B613" s="13" t="s">
        <v>70</v>
      </c>
      <c r="C613" s="13" t="s">
        <v>198</v>
      </c>
      <c r="D613" s="13" t="s">
        <v>443</v>
      </c>
      <c r="E613" s="13" t="s">
        <v>442</v>
      </c>
      <c r="F613" s="32">
        <v>1</v>
      </c>
      <c r="G613" s="32" t="s">
        <v>678</v>
      </c>
      <c r="H613" s="32">
        <f t="shared" si="62"/>
        <v>1</v>
      </c>
      <c r="I613" s="72">
        <v>7000</v>
      </c>
      <c r="J613" s="72">
        <f t="shared" si="55"/>
        <v>7000</v>
      </c>
      <c r="K613" s="33"/>
    </row>
    <row r="614" spans="1:15">
      <c r="A614" s="258"/>
      <c r="B614" s="13" t="s">
        <v>70</v>
      </c>
      <c r="C614" s="13" t="s">
        <v>198</v>
      </c>
      <c r="D614" s="13" t="s">
        <v>441</v>
      </c>
      <c r="E614" s="13" t="s">
        <v>440</v>
      </c>
      <c r="F614" s="32">
        <v>1</v>
      </c>
      <c r="G614" s="32" t="s">
        <v>678</v>
      </c>
      <c r="H614" s="32">
        <f t="shared" si="62"/>
        <v>1</v>
      </c>
      <c r="I614" s="72">
        <v>7000</v>
      </c>
      <c r="J614" s="72">
        <f t="shared" si="55"/>
        <v>7000</v>
      </c>
      <c r="K614" s="33"/>
    </row>
    <row r="615" spans="1:15">
      <c r="A615" s="258"/>
      <c r="B615" s="13" t="s">
        <v>70</v>
      </c>
      <c r="C615" s="13" t="s">
        <v>198</v>
      </c>
      <c r="D615" s="13" t="s">
        <v>546</v>
      </c>
      <c r="E615" s="13" t="s">
        <v>547</v>
      </c>
      <c r="F615" s="32">
        <v>1</v>
      </c>
      <c r="G615" s="32" t="s">
        <v>571</v>
      </c>
      <c r="H615" s="32">
        <f t="shared" si="62"/>
        <v>1</v>
      </c>
      <c r="I615" s="72">
        <v>3200</v>
      </c>
      <c r="J615" s="72">
        <f t="shared" ref="J615:J647" si="63">H615*I615</f>
        <v>3200</v>
      </c>
      <c r="K615" s="33"/>
    </row>
    <row r="616" spans="1:15">
      <c r="A616" s="258"/>
      <c r="B616" s="13" t="s">
        <v>70</v>
      </c>
      <c r="C616" s="13" t="s">
        <v>198</v>
      </c>
      <c r="D616" s="13" t="s">
        <v>554</v>
      </c>
      <c r="E616" s="13" t="s">
        <v>533</v>
      </c>
      <c r="F616" s="32">
        <v>1</v>
      </c>
      <c r="G616" s="32" t="s">
        <v>686</v>
      </c>
      <c r="H616" s="32">
        <f t="shared" si="62"/>
        <v>1</v>
      </c>
      <c r="I616" s="72">
        <v>900</v>
      </c>
      <c r="J616" s="72">
        <f t="shared" si="63"/>
        <v>900</v>
      </c>
      <c r="K616" s="33"/>
    </row>
    <row r="617" spans="1:15" ht="17.5">
      <c r="A617" s="258"/>
      <c r="B617" s="13" t="s">
        <v>70</v>
      </c>
      <c r="C617" s="13" t="s">
        <v>198</v>
      </c>
      <c r="D617" s="101" t="s">
        <v>193</v>
      </c>
      <c r="E617" s="98" t="s">
        <v>522</v>
      </c>
      <c r="F617" s="99">
        <v>2</v>
      </c>
      <c r="G617" s="99" t="s">
        <v>560</v>
      </c>
      <c r="H617" s="99">
        <f t="shared" si="62"/>
        <v>2</v>
      </c>
      <c r="I617" s="100">
        <v>171000</v>
      </c>
      <c r="J617" s="100">
        <f t="shared" si="63"/>
        <v>342000</v>
      </c>
      <c r="K617" s="33"/>
      <c r="M617" s="213" t="s">
        <v>1557</v>
      </c>
      <c r="N617" s="214">
        <f>L621*7%</f>
        <v>92399.790000000008</v>
      </c>
    </row>
    <row r="618" spans="1:15" ht="17.5">
      <c r="A618" s="258"/>
      <c r="B618" s="13" t="s">
        <v>70</v>
      </c>
      <c r="C618" s="13" t="s">
        <v>198</v>
      </c>
      <c r="D618" s="109" t="s">
        <v>446</v>
      </c>
      <c r="E618" s="109" t="s">
        <v>450</v>
      </c>
      <c r="F618" s="110">
        <v>1</v>
      </c>
      <c r="G618" s="110" t="s">
        <v>235</v>
      </c>
      <c r="H618" s="110">
        <f t="shared" si="62"/>
        <v>1</v>
      </c>
      <c r="I618" s="111">
        <f>(96*2700)+300000</f>
        <v>559200</v>
      </c>
      <c r="J618" s="111">
        <f t="shared" si="63"/>
        <v>559200</v>
      </c>
      <c r="K618" s="33"/>
      <c r="M618" s="213" t="s">
        <v>1558</v>
      </c>
      <c r="N618" s="214">
        <f>(L621+N617)*20%</f>
        <v>282479.35800000001</v>
      </c>
    </row>
    <row r="619" spans="1:15" ht="17.5">
      <c r="A619" s="264"/>
      <c r="B619" s="15" t="s">
        <v>634</v>
      </c>
      <c r="C619" s="15" t="s">
        <v>198</v>
      </c>
      <c r="D619" s="15" t="s">
        <v>624</v>
      </c>
      <c r="E619" s="15" t="s">
        <v>625</v>
      </c>
      <c r="F619" s="38">
        <v>1</v>
      </c>
      <c r="G619" s="38" t="s">
        <v>690</v>
      </c>
      <c r="H619" s="32">
        <f t="shared" si="62"/>
        <v>1</v>
      </c>
      <c r="I619" s="73">
        <f>16000+1800</f>
        <v>17800</v>
      </c>
      <c r="J619" s="72">
        <f t="shared" si="63"/>
        <v>17800</v>
      </c>
      <c r="K619" s="39"/>
      <c r="M619" s="213" t="s">
        <v>1559</v>
      </c>
      <c r="N619" s="214">
        <f>(L621+N617+N618)*25%</f>
        <v>423719.03700000001</v>
      </c>
    </row>
    <row r="620" spans="1:15" ht="18" thickBot="1">
      <c r="A620" s="264"/>
      <c r="B620" s="15" t="s">
        <v>70</v>
      </c>
      <c r="C620" s="15" t="s">
        <v>198</v>
      </c>
      <c r="D620" s="15" t="s">
        <v>1735</v>
      </c>
      <c r="E620" s="13" t="s">
        <v>693</v>
      </c>
      <c r="F620" s="38">
        <v>1</v>
      </c>
      <c r="G620" s="38" t="s">
        <v>1736</v>
      </c>
      <c r="H620" s="38">
        <f t="shared" si="62"/>
        <v>1</v>
      </c>
      <c r="I620" s="73">
        <v>6500</v>
      </c>
      <c r="J620" s="73">
        <f t="shared" si="63"/>
        <v>6500</v>
      </c>
      <c r="K620" s="39"/>
      <c r="M620" s="213"/>
      <c r="N620" s="214"/>
    </row>
    <row r="621" spans="1:15" ht="26.5" thickBot="1">
      <c r="A621" s="259"/>
      <c r="B621" s="53" t="s">
        <v>70</v>
      </c>
      <c r="C621" s="53" t="s">
        <v>198</v>
      </c>
      <c r="D621" s="53" t="s">
        <v>113</v>
      </c>
      <c r="E621" s="53" t="s">
        <v>113</v>
      </c>
      <c r="F621" s="85">
        <v>1</v>
      </c>
      <c r="G621" s="85" t="s">
        <v>240</v>
      </c>
      <c r="H621" s="85">
        <f t="shared" si="62"/>
        <v>1</v>
      </c>
      <c r="I621" s="86">
        <v>13400</v>
      </c>
      <c r="J621" s="86">
        <f t="shared" si="63"/>
        <v>13400</v>
      </c>
      <c r="K621" s="44"/>
      <c r="L621" s="254">
        <f>SUBTOTAL(9,J595:J646)</f>
        <v>1319997</v>
      </c>
      <c r="N621" s="211">
        <f>L621+N617+N618+N619</f>
        <v>2118595.1850000001</v>
      </c>
      <c r="O621" s="212" t="s">
        <v>1563</v>
      </c>
    </row>
    <row r="622" spans="1:15" hidden="1">
      <c r="A622" s="308">
        <v>24</v>
      </c>
      <c r="B622" s="8" t="s">
        <v>70</v>
      </c>
      <c r="C622" s="8" t="s">
        <v>197</v>
      </c>
      <c r="D622" s="10" t="s">
        <v>555</v>
      </c>
      <c r="E622" s="8" t="s">
        <v>381</v>
      </c>
      <c r="F622" s="8">
        <v>1</v>
      </c>
      <c r="G622" s="5" t="s">
        <v>250</v>
      </c>
      <c r="H622" s="5">
        <f>$K$6*F622</f>
        <v>0</v>
      </c>
      <c r="I622" s="75"/>
      <c r="J622" s="75">
        <f t="shared" si="63"/>
        <v>0</v>
      </c>
      <c r="K622" s="40" t="s">
        <v>238</v>
      </c>
      <c r="L622" s="1"/>
      <c r="M622" s="1"/>
    </row>
    <row r="623" spans="1:15" hidden="1">
      <c r="A623" s="305"/>
      <c r="B623" s="36" t="s">
        <v>70</v>
      </c>
      <c r="C623" s="36" t="s">
        <v>197</v>
      </c>
      <c r="D623" s="34" t="s">
        <v>383</v>
      </c>
      <c r="E623" s="36" t="s">
        <v>384</v>
      </c>
      <c r="F623" s="35">
        <v>12</v>
      </c>
      <c r="G623" s="32" t="s">
        <v>954</v>
      </c>
      <c r="H623" s="32">
        <f t="shared" ref="H623:H647" si="64">$K$6*F623</f>
        <v>0</v>
      </c>
      <c r="I623" s="72"/>
      <c r="J623" s="72">
        <f t="shared" si="63"/>
        <v>0</v>
      </c>
      <c r="K623" s="33"/>
      <c r="L623" s="1"/>
      <c r="M623" s="1"/>
    </row>
    <row r="624" spans="1:15" hidden="1">
      <c r="A624" s="305"/>
      <c r="B624" s="35" t="s">
        <v>70</v>
      </c>
      <c r="C624" s="35" t="s">
        <v>197</v>
      </c>
      <c r="D624" s="13" t="s">
        <v>403</v>
      </c>
      <c r="E624" s="35" t="s">
        <v>412</v>
      </c>
      <c r="F624" s="35">
        <v>1</v>
      </c>
      <c r="G624" s="32" t="s">
        <v>567</v>
      </c>
      <c r="H624" s="32">
        <f t="shared" si="64"/>
        <v>0</v>
      </c>
      <c r="I624" s="76"/>
      <c r="J624" s="76">
        <f t="shared" si="63"/>
        <v>0</v>
      </c>
      <c r="K624" s="33"/>
      <c r="L624" s="1"/>
      <c r="M624" s="1"/>
    </row>
    <row r="625" spans="1:13" hidden="1">
      <c r="A625" s="305"/>
      <c r="B625" s="35" t="s">
        <v>70</v>
      </c>
      <c r="C625" s="35" t="s">
        <v>197</v>
      </c>
      <c r="D625" s="13" t="s">
        <v>409</v>
      </c>
      <c r="E625" s="35" t="s">
        <v>416</v>
      </c>
      <c r="F625" s="35">
        <v>1</v>
      </c>
      <c r="G625" s="32" t="s">
        <v>567</v>
      </c>
      <c r="H625" s="32">
        <f t="shared" si="64"/>
        <v>0</v>
      </c>
      <c r="I625" s="76"/>
      <c r="J625" s="76">
        <f t="shared" si="63"/>
        <v>0</v>
      </c>
      <c r="K625" s="33"/>
      <c r="L625" s="1"/>
      <c r="M625" s="1"/>
    </row>
    <row r="626" spans="1:13" hidden="1">
      <c r="A626" s="305"/>
      <c r="B626" s="35" t="s">
        <v>70</v>
      </c>
      <c r="C626" s="35" t="s">
        <v>197</v>
      </c>
      <c r="D626" s="13" t="s">
        <v>406</v>
      </c>
      <c r="E626" s="35" t="s">
        <v>418</v>
      </c>
      <c r="F626" s="35">
        <v>1</v>
      </c>
      <c r="G626" s="32" t="s">
        <v>567</v>
      </c>
      <c r="H626" s="32">
        <f t="shared" si="64"/>
        <v>0</v>
      </c>
      <c r="I626" s="76"/>
      <c r="J626" s="76">
        <f t="shared" si="63"/>
        <v>0</v>
      </c>
      <c r="K626" s="33"/>
      <c r="L626" s="1"/>
      <c r="M626" s="1"/>
    </row>
    <row r="627" spans="1:13" hidden="1">
      <c r="A627" s="305"/>
      <c r="B627" s="35" t="s">
        <v>70</v>
      </c>
      <c r="C627" s="35" t="s">
        <v>197</v>
      </c>
      <c r="D627" s="13" t="s">
        <v>486</v>
      </c>
      <c r="E627" s="35" t="s">
        <v>386</v>
      </c>
      <c r="F627" s="35">
        <v>1</v>
      </c>
      <c r="G627" s="32" t="s">
        <v>569</v>
      </c>
      <c r="H627" s="32">
        <f t="shared" si="64"/>
        <v>0</v>
      </c>
      <c r="I627" s="76"/>
      <c r="J627" s="76">
        <f t="shared" si="63"/>
        <v>0</v>
      </c>
      <c r="K627" s="33"/>
      <c r="L627" s="1"/>
      <c r="M627" s="1"/>
    </row>
    <row r="628" spans="1:13" hidden="1">
      <c r="A628" s="305"/>
      <c r="B628" s="35" t="s">
        <v>70</v>
      </c>
      <c r="C628" s="35" t="s">
        <v>197</v>
      </c>
      <c r="D628" s="13" t="s">
        <v>525</v>
      </c>
      <c r="E628" s="13" t="s">
        <v>523</v>
      </c>
      <c r="F628" s="35">
        <v>12</v>
      </c>
      <c r="G628" s="32"/>
      <c r="H628" s="32">
        <f t="shared" si="64"/>
        <v>0</v>
      </c>
      <c r="I628" s="72"/>
      <c r="J628" s="72">
        <f t="shared" si="63"/>
        <v>0</v>
      </c>
      <c r="K628" s="33"/>
      <c r="L628" s="1"/>
      <c r="M628" s="1"/>
    </row>
    <row r="629" spans="1:13" hidden="1">
      <c r="A629" s="305"/>
      <c r="B629" s="35" t="s">
        <v>70</v>
      </c>
      <c r="C629" s="35" t="s">
        <v>197</v>
      </c>
      <c r="D629" s="13" t="s">
        <v>542</v>
      </c>
      <c r="E629" s="35" t="s">
        <v>422</v>
      </c>
      <c r="F629" s="35">
        <v>2</v>
      </c>
      <c r="G629" s="32" t="s">
        <v>561</v>
      </c>
      <c r="H629" s="32">
        <f t="shared" si="64"/>
        <v>0</v>
      </c>
      <c r="I629" s="72"/>
      <c r="J629" s="72">
        <f t="shared" si="63"/>
        <v>0</v>
      </c>
      <c r="K629" s="33"/>
      <c r="L629" s="1"/>
      <c r="M629" s="1"/>
    </row>
    <row r="630" spans="1:13" hidden="1">
      <c r="A630" s="305"/>
      <c r="B630" s="35" t="s">
        <v>70</v>
      </c>
      <c r="C630" s="35" t="s">
        <v>197</v>
      </c>
      <c r="D630" s="13" t="s">
        <v>543</v>
      </c>
      <c r="E630" s="35" t="s">
        <v>424</v>
      </c>
      <c r="F630" s="35">
        <v>2</v>
      </c>
      <c r="G630" s="32" t="s">
        <v>561</v>
      </c>
      <c r="H630" s="32">
        <f t="shared" si="64"/>
        <v>0</v>
      </c>
      <c r="I630" s="72"/>
      <c r="J630" s="72">
        <f t="shared" si="63"/>
        <v>0</v>
      </c>
      <c r="K630" s="33"/>
      <c r="L630" s="1"/>
      <c r="M630" s="1"/>
    </row>
    <row r="631" spans="1:13" hidden="1">
      <c r="A631" s="305"/>
      <c r="B631" s="35" t="s">
        <v>70</v>
      </c>
      <c r="C631" s="35" t="s">
        <v>197</v>
      </c>
      <c r="D631" s="13" t="s">
        <v>544</v>
      </c>
      <c r="E631" s="35" t="s">
        <v>420</v>
      </c>
      <c r="F631" s="35">
        <v>2</v>
      </c>
      <c r="G631" s="32" t="s">
        <v>561</v>
      </c>
      <c r="H631" s="32">
        <f t="shared" si="64"/>
        <v>0</v>
      </c>
      <c r="I631" s="72"/>
      <c r="J631" s="72">
        <f t="shared" si="63"/>
        <v>0</v>
      </c>
      <c r="K631" s="33"/>
      <c r="L631" s="1"/>
      <c r="M631" s="1"/>
    </row>
    <row r="632" spans="1:13" hidden="1">
      <c r="A632" s="305"/>
      <c r="B632" s="35" t="s">
        <v>70</v>
      </c>
      <c r="C632" s="35" t="s">
        <v>197</v>
      </c>
      <c r="D632" s="13" t="s">
        <v>553</v>
      </c>
      <c r="E632" s="35" t="s">
        <v>425</v>
      </c>
      <c r="F632" s="35">
        <v>2</v>
      </c>
      <c r="G632" s="32" t="s">
        <v>561</v>
      </c>
      <c r="H632" s="32">
        <f t="shared" si="64"/>
        <v>0</v>
      </c>
      <c r="I632" s="72"/>
      <c r="J632" s="72">
        <f t="shared" si="63"/>
        <v>0</v>
      </c>
      <c r="K632" s="33"/>
      <c r="L632" s="1"/>
      <c r="M632" s="1"/>
    </row>
    <row r="633" spans="1:13" hidden="1">
      <c r="A633" s="305"/>
      <c r="B633" s="35" t="s">
        <v>70</v>
      </c>
      <c r="C633" s="35" t="s">
        <v>197</v>
      </c>
      <c r="D633" s="35" t="s">
        <v>537</v>
      </c>
      <c r="E633" s="35" t="s">
        <v>427</v>
      </c>
      <c r="F633" s="35">
        <v>1</v>
      </c>
      <c r="G633" s="32" t="s">
        <v>562</v>
      </c>
      <c r="H633" s="32">
        <f t="shared" si="64"/>
        <v>0</v>
      </c>
      <c r="I633" s="72"/>
      <c r="J633" s="72">
        <f t="shared" si="63"/>
        <v>0</v>
      </c>
      <c r="K633" s="33"/>
      <c r="L633" s="1"/>
      <c r="M633" s="1"/>
    </row>
    <row r="634" spans="1:13" hidden="1">
      <c r="A634" s="305"/>
      <c r="B634" s="36" t="s">
        <v>70</v>
      </c>
      <c r="C634" s="36" t="s">
        <v>197</v>
      </c>
      <c r="D634" s="36" t="s">
        <v>540</v>
      </c>
      <c r="E634" s="36" t="s">
        <v>429</v>
      </c>
      <c r="F634" s="35">
        <v>1</v>
      </c>
      <c r="G634" s="32" t="s">
        <v>568</v>
      </c>
      <c r="H634" s="32">
        <f t="shared" si="64"/>
        <v>0</v>
      </c>
      <c r="I634" s="72"/>
      <c r="J634" s="72">
        <f t="shared" si="63"/>
        <v>0</v>
      </c>
      <c r="K634" s="33"/>
      <c r="L634" s="1"/>
      <c r="M634" s="1"/>
    </row>
    <row r="635" spans="1:13" hidden="1">
      <c r="A635" s="305"/>
      <c r="B635" s="35" t="s">
        <v>70</v>
      </c>
      <c r="C635" s="35" t="s">
        <v>197</v>
      </c>
      <c r="D635" s="13" t="s">
        <v>432</v>
      </c>
      <c r="E635" s="35" t="s">
        <v>430</v>
      </c>
      <c r="F635" s="35">
        <v>1</v>
      </c>
      <c r="G635" s="32" t="s">
        <v>561</v>
      </c>
      <c r="H635" s="32">
        <f t="shared" si="64"/>
        <v>0</v>
      </c>
      <c r="I635" s="76"/>
      <c r="J635" s="76">
        <f t="shared" si="63"/>
        <v>0</v>
      </c>
      <c r="K635" s="33"/>
      <c r="L635" s="1"/>
      <c r="M635" s="1"/>
    </row>
    <row r="636" spans="1:13" hidden="1">
      <c r="A636" s="305"/>
      <c r="B636" s="35" t="s">
        <v>70</v>
      </c>
      <c r="C636" s="35" t="s">
        <v>197</v>
      </c>
      <c r="D636" s="13" t="s">
        <v>436</v>
      </c>
      <c r="E636" s="35" t="s">
        <v>434</v>
      </c>
      <c r="F636" s="35">
        <v>1</v>
      </c>
      <c r="G636" s="32" t="s">
        <v>561</v>
      </c>
      <c r="H636" s="32">
        <f t="shared" si="64"/>
        <v>0</v>
      </c>
      <c r="I636" s="76"/>
      <c r="J636" s="76">
        <f t="shared" si="63"/>
        <v>0</v>
      </c>
      <c r="K636" s="33"/>
      <c r="L636" s="1"/>
      <c r="M636" s="1"/>
    </row>
    <row r="637" spans="1:13" hidden="1">
      <c r="A637" s="305"/>
      <c r="B637" s="35" t="s">
        <v>70</v>
      </c>
      <c r="C637" s="35" t="s">
        <v>197</v>
      </c>
      <c r="D637" s="13" t="s">
        <v>439</v>
      </c>
      <c r="E637" s="13" t="s">
        <v>612</v>
      </c>
      <c r="F637" s="32">
        <v>2</v>
      </c>
      <c r="G637" s="32" t="s">
        <v>561</v>
      </c>
      <c r="H637" s="32">
        <f t="shared" si="64"/>
        <v>0</v>
      </c>
      <c r="I637" s="76"/>
      <c r="J637" s="76">
        <f t="shared" si="63"/>
        <v>0</v>
      </c>
      <c r="K637" s="33"/>
      <c r="L637" s="1"/>
      <c r="M637" s="1"/>
    </row>
    <row r="638" spans="1:13" hidden="1">
      <c r="A638" s="305"/>
      <c r="B638" s="36" t="s">
        <v>70</v>
      </c>
      <c r="C638" s="36" t="s">
        <v>197</v>
      </c>
      <c r="D638" s="34" t="s">
        <v>529</v>
      </c>
      <c r="E638" s="34" t="s">
        <v>530</v>
      </c>
      <c r="F638" s="35">
        <v>1</v>
      </c>
      <c r="G638" s="32" t="s">
        <v>566</v>
      </c>
      <c r="H638" s="32">
        <f t="shared" si="64"/>
        <v>0</v>
      </c>
      <c r="I638" s="72"/>
      <c r="J638" s="72">
        <f t="shared" si="63"/>
        <v>0</v>
      </c>
      <c r="K638" s="33"/>
      <c r="L638" s="1"/>
      <c r="M638" s="1"/>
    </row>
    <row r="639" spans="1:13" hidden="1">
      <c r="A639" s="305"/>
      <c r="B639" s="36" t="s">
        <v>70</v>
      </c>
      <c r="C639" s="36" t="s">
        <v>197</v>
      </c>
      <c r="D639" s="34" t="s">
        <v>531</v>
      </c>
      <c r="E639" s="34" t="s">
        <v>532</v>
      </c>
      <c r="F639" s="35">
        <v>1</v>
      </c>
      <c r="G639" s="32" t="s">
        <v>566</v>
      </c>
      <c r="H639" s="32">
        <f t="shared" si="64"/>
        <v>0</v>
      </c>
      <c r="I639" s="72"/>
      <c r="J639" s="72">
        <f t="shared" si="63"/>
        <v>0</v>
      </c>
      <c r="K639" s="33"/>
      <c r="L639" s="1"/>
      <c r="M639" s="1"/>
    </row>
    <row r="640" spans="1:13" hidden="1">
      <c r="A640" s="305"/>
      <c r="B640" s="36" t="s">
        <v>70</v>
      </c>
      <c r="C640" s="36" t="s">
        <v>197</v>
      </c>
      <c r="D640" s="34" t="s">
        <v>443</v>
      </c>
      <c r="E640" s="36" t="s">
        <v>442</v>
      </c>
      <c r="F640" s="35">
        <v>1</v>
      </c>
      <c r="G640" s="32" t="s">
        <v>570</v>
      </c>
      <c r="H640" s="32">
        <f t="shared" si="64"/>
        <v>0</v>
      </c>
      <c r="I640" s="72"/>
      <c r="J640" s="72">
        <f t="shared" si="63"/>
        <v>0</v>
      </c>
      <c r="K640" s="33"/>
      <c r="L640" s="1"/>
      <c r="M640" s="1"/>
    </row>
    <row r="641" spans="1:13" hidden="1">
      <c r="A641" s="305"/>
      <c r="B641" s="36" t="s">
        <v>70</v>
      </c>
      <c r="C641" s="36" t="s">
        <v>197</v>
      </c>
      <c r="D641" s="34" t="s">
        <v>441</v>
      </c>
      <c r="E641" s="36" t="s">
        <v>440</v>
      </c>
      <c r="F641" s="35">
        <v>1</v>
      </c>
      <c r="G641" s="32" t="s">
        <v>570</v>
      </c>
      <c r="H641" s="32">
        <f t="shared" si="64"/>
        <v>0</v>
      </c>
      <c r="I641" s="72"/>
      <c r="J641" s="72">
        <f t="shared" si="63"/>
        <v>0</v>
      </c>
      <c r="K641" s="33"/>
      <c r="L641" s="1"/>
      <c r="M641" s="1"/>
    </row>
    <row r="642" spans="1:13" hidden="1">
      <c r="A642" s="305"/>
      <c r="B642" s="36" t="s">
        <v>70</v>
      </c>
      <c r="C642" s="36" t="s">
        <v>197</v>
      </c>
      <c r="D642" s="34" t="s">
        <v>546</v>
      </c>
      <c r="E642" s="34" t="s">
        <v>547</v>
      </c>
      <c r="F642" s="35">
        <v>1</v>
      </c>
      <c r="G642" s="32" t="s">
        <v>571</v>
      </c>
      <c r="H642" s="32">
        <f t="shared" si="64"/>
        <v>0</v>
      </c>
      <c r="I642" s="72"/>
      <c r="J642" s="72">
        <f t="shared" si="63"/>
        <v>0</v>
      </c>
      <c r="K642" s="33"/>
      <c r="L642" s="1"/>
      <c r="M642" s="1"/>
    </row>
    <row r="643" spans="1:13" hidden="1">
      <c r="A643" s="305"/>
      <c r="B643" s="36" t="s">
        <v>70</v>
      </c>
      <c r="C643" s="36" t="s">
        <v>197</v>
      </c>
      <c r="D643" s="34" t="s">
        <v>554</v>
      </c>
      <c r="E643" s="34" t="s">
        <v>533</v>
      </c>
      <c r="F643" s="35">
        <v>1</v>
      </c>
      <c r="G643" s="32" t="s">
        <v>571</v>
      </c>
      <c r="H643" s="32">
        <f t="shared" si="64"/>
        <v>0</v>
      </c>
      <c r="I643" s="72"/>
      <c r="J643" s="72">
        <f t="shared" si="63"/>
        <v>0</v>
      </c>
      <c r="K643" s="33"/>
      <c r="L643" s="1"/>
      <c r="M643" s="1"/>
    </row>
    <row r="644" spans="1:13" hidden="1">
      <c r="A644" s="305"/>
      <c r="B644" s="15" t="s">
        <v>634</v>
      </c>
      <c r="C644" s="35" t="s">
        <v>197</v>
      </c>
      <c r="D644" s="35" t="s">
        <v>193</v>
      </c>
      <c r="E644" s="13" t="s">
        <v>522</v>
      </c>
      <c r="F644" s="35">
        <v>2</v>
      </c>
      <c r="G644" s="32" t="s">
        <v>560</v>
      </c>
      <c r="H644" s="32">
        <f t="shared" si="64"/>
        <v>0</v>
      </c>
      <c r="I644" s="72">
        <v>119200</v>
      </c>
      <c r="J644" s="72">
        <f t="shared" si="63"/>
        <v>0</v>
      </c>
      <c r="K644" s="33"/>
      <c r="L644" s="1"/>
      <c r="M644" s="1"/>
    </row>
    <row r="645" spans="1:13" hidden="1">
      <c r="A645" s="305"/>
      <c r="B645" s="15" t="s">
        <v>634</v>
      </c>
      <c r="C645" s="37" t="s">
        <v>197</v>
      </c>
      <c r="D645" s="13" t="s">
        <v>447</v>
      </c>
      <c r="E645" s="37" t="s">
        <v>451</v>
      </c>
      <c r="F645" s="37">
        <v>1</v>
      </c>
      <c r="G645" s="38" t="s">
        <v>235</v>
      </c>
      <c r="H645" s="32">
        <f t="shared" si="64"/>
        <v>0</v>
      </c>
      <c r="I645" s="73"/>
      <c r="J645" s="73">
        <f t="shared" si="63"/>
        <v>0</v>
      </c>
      <c r="K645" s="39"/>
      <c r="L645" s="1"/>
      <c r="M645" s="1"/>
    </row>
    <row r="646" spans="1:13" hidden="1">
      <c r="A646" s="306"/>
      <c r="B646" s="46" t="s">
        <v>634</v>
      </c>
      <c r="C646" s="46" t="s">
        <v>197</v>
      </c>
      <c r="D646" s="46" t="s">
        <v>624</v>
      </c>
      <c r="E646" s="46" t="s">
        <v>625</v>
      </c>
      <c r="F646" s="38">
        <v>1</v>
      </c>
      <c r="G646" s="38"/>
      <c r="H646" s="38"/>
      <c r="I646" s="73"/>
      <c r="J646" s="73"/>
      <c r="K646" s="39"/>
      <c r="L646" s="1"/>
      <c r="M646" s="1"/>
    </row>
    <row r="647" spans="1:13" s="7" customFormat="1" ht="17.5" hidden="1" thickBot="1">
      <c r="A647" s="309"/>
      <c r="B647" s="45" t="s">
        <v>634</v>
      </c>
      <c r="C647" s="45" t="s">
        <v>197</v>
      </c>
      <c r="D647" s="46" t="s">
        <v>113</v>
      </c>
      <c r="E647" s="45" t="s">
        <v>113</v>
      </c>
      <c r="F647" s="37">
        <v>1</v>
      </c>
      <c r="G647" s="38" t="s">
        <v>240</v>
      </c>
      <c r="H647" s="38">
        <f t="shared" si="64"/>
        <v>0</v>
      </c>
      <c r="I647" s="73"/>
      <c r="J647" s="73">
        <f t="shared" si="63"/>
        <v>0</v>
      </c>
      <c r="K647" s="39"/>
    </row>
    <row r="648" spans="1:13">
      <c r="A648" s="304">
        <v>25</v>
      </c>
      <c r="B648" s="47" t="s">
        <v>389</v>
      </c>
      <c r="C648" s="47" t="s">
        <v>345</v>
      </c>
      <c r="D648" s="47" t="s">
        <v>379</v>
      </c>
      <c r="E648" s="47" t="s">
        <v>382</v>
      </c>
      <c r="F648" s="47">
        <v>1</v>
      </c>
      <c r="G648" s="30" t="s">
        <v>250</v>
      </c>
      <c r="H648" s="5">
        <f t="shared" ref="H648:H672" si="65">$K$7*F648</f>
        <v>1</v>
      </c>
      <c r="I648" s="77">
        <f>118000+53000</f>
        <v>171000</v>
      </c>
      <c r="J648" s="77">
        <f>H648*I648</f>
        <v>171000</v>
      </c>
      <c r="K648" s="31" t="s">
        <v>238</v>
      </c>
      <c r="L648" s="59"/>
      <c r="M648" s="59"/>
    </row>
    <row r="649" spans="1:13">
      <c r="A649" s="305"/>
      <c r="B649" s="35" t="s">
        <v>389</v>
      </c>
      <c r="C649" s="35" t="s">
        <v>345</v>
      </c>
      <c r="D649" s="13" t="s">
        <v>383</v>
      </c>
      <c r="E649" s="35" t="s">
        <v>384</v>
      </c>
      <c r="F649" s="35">
        <v>8</v>
      </c>
      <c r="G649" s="32" t="s">
        <v>954</v>
      </c>
      <c r="H649" s="5">
        <f t="shared" si="65"/>
        <v>8</v>
      </c>
      <c r="I649" s="72">
        <v>2470</v>
      </c>
      <c r="J649" s="72">
        <f t="shared" ref="J649:J710" si="66">H649*I649</f>
        <v>19760</v>
      </c>
      <c r="K649" s="33"/>
    </row>
    <row r="650" spans="1:13">
      <c r="A650" s="305"/>
      <c r="B650" s="35" t="s">
        <v>389</v>
      </c>
      <c r="C650" s="35" t="s">
        <v>345</v>
      </c>
      <c r="D650" s="13" t="s">
        <v>405</v>
      </c>
      <c r="E650" s="35" t="s">
        <v>978</v>
      </c>
      <c r="F650" s="35">
        <v>1</v>
      </c>
      <c r="G650" s="13" t="s">
        <v>1733</v>
      </c>
      <c r="H650" s="5">
        <f t="shared" si="65"/>
        <v>1</v>
      </c>
      <c r="I650" s="301">
        <v>30594</v>
      </c>
      <c r="J650" s="298">
        <f t="shared" si="66"/>
        <v>30594</v>
      </c>
      <c r="K650" s="33"/>
      <c r="L650" s="59"/>
      <c r="M650" s="59"/>
    </row>
    <row r="651" spans="1:13">
      <c r="A651" s="305"/>
      <c r="B651" s="35" t="s">
        <v>389</v>
      </c>
      <c r="C651" s="35" t="s">
        <v>345</v>
      </c>
      <c r="D651" s="35" t="s">
        <v>411</v>
      </c>
      <c r="E651" s="35" t="s">
        <v>981</v>
      </c>
      <c r="F651" s="35">
        <v>1</v>
      </c>
      <c r="G651" s="13" t="s">
        <v>1733</v>
      </c>
      <c r="H651" s="5">
        <f t="shared" si="65"/>
        <v>1</v>
      </c>
      <c r="I651" s="302"/>
      <c r="J651" s="299"/>
      <c r="K651" s="33"/>
      <c r="L651" s="59"/>
      <c r="M651" s="59"/>
    </row>
    <row r="652" spans="1:13">
      <c r="A652" s="305"/>
      <c r="B652" s="35" t="s">
        <v>389</v>
      </c>
      <c r="C652" s="35" t="s">
        <v>345</v>
      </c>
      <c r="D652" s="35" t="s">
        <v>408</v>
      </c>
      <c r="E652" s="35" t="s">
        <v>982</v>
      </c>
      <c r="F652" s="35">
        <v>1</v>
      </c>
      <c r="G652" s="13" t="s">
        <v>1733</v>
      </c>
      <c r="H652" s="5">
        <f t="shared" si="65"/>
        <v>1</v>
      </c>
      <c r="I652" s="303"/>
      <c r="J652" s="300"/>
      <c r="K652" s="33"/>
      <c r="L652" s="59"/>
      <c r="M652" s="59"/>
    </row>
    <row r="653" spans="1:13">
      <c r="A653" s="305"/>
      <c r="B653" s="35" t="s">
        <v>389</v>
      </c>
      <c r="C653" s="35" t="s">
        <v>345</v>
      </c>
      <c r="D653" s="35" t="s">
        <v>487</v>
      </c>
      <c r="E653" s="35" t="s">
        <v>400</v>
      </c>
      <c r="F653" s="35">
        <v>1</v>
      </c>
      <c r="G653" s="32" t="s">
        <v>569</v>
      </c>
      <c r="H653" s="5">
        <f t="shared" si="65"/>
        <v>1</v>
      </c>
      <c r="I653" s="72">
        <v>5000</v>
      </c>
      <c r="J653" s="76">
        <v>4500</v>
      </c>
      <c r="K653" s="33"/>
      <c r="L653" s="59"/>
      <c r="M653" s="59"/>
    </row>
    <row r="654" spans="1:13">
      <c r="A654" s="305"/>
      <c r="B654" s="35" t="s">
        <v>389</v>
      </c>
      <c r="C654" s="35" t="s">
        <v>345</v>
      </c>
      <c r="D654" s="35" t="s">
        <v>557</v>
      </c>
      <c r="E654" s="35" t="s">
        <v>986</v>
      </c>
      <c r="F654" s="35">
        <v>2</v>
      </c>
      <c r="G654" s="32" t="s">
        <v>955</v>
      </c>
      <c r="H654" s="5">
        <f t="shared" si="65"/>
        <v>2</v>
      </c>
      <c r="I654" s="72">
        <v>400</v>
      </c>
      <c r="J654" s="72">
        <f t="shared" si="66"/>
        <v>800</v>
      </c>
      <c r="K654" s="33"/>
    </row>
    <row r="655" spans="1:13">
      <c r="A655" s="305"/>
      <c r="B655" s="35" t="s">
        <v>389</v>
      </c>
      <c r="C655" s="35" t="s">
        <v>345</v>
      </c>
      <c r="D655" s="35" t="s">
        <v>558</v>
      </c>
      <c r="E655" s="35" t="s">
        <v>987</v>
      </c>
      <c r="F655" s="35">
        <v>2</v>
      </c>
      <c r="G655" s="32" t="s">
        <v>955</v>
      </c>
      <c r="H655" s="5">
        <f t="shared" si="65"/>
        <v>2</v>
      </c>
      <c r="I655" s="72">
        <v>400</v>
      </c>
      <c r="J655" s="72">
        <f t="shared" si="66"/>
        <v>800</v>
      </c>
      <c r="K655" s="33"/>
    </row>
    <row r="656" spans="1:13">
      <c r="A656" s="305"/>
      <c r="B656" s="35" t="s">
        <v>389</v>
      </c>
      <c r="C656" s="35" t="s">
        <v>345</v>
      </c>
      <c r="D656" s="35" t="s">
        <v>545</v>
      </c>
      <c r="E656" s="35" t="s">
        <v>426</v>
      </c>
      <c r="F656" s="35">
        <v>3</v>
      </c>
      <c r="G656" s="32" t="s">
        <v>955</v>
      </c>
      <c r="H656" s="5">
        <f t="shared" si="65"/>
        <v>3</v>
      </c>
      <c r="I656" s="72">
        <v>1500</v>
      </c>
      <c r="J656" s="72">
        <f t="shared" si="66"/>
        <v>4500</v>
      </c>
      <c r="K656" s="33"/>
    </row>
    <row r="657" spans="1:13">
      <c r="A657" s="305"/>
      <c r="B657" s="35" t="s">
        <v>389</v>
      </c>
      <c r="C657" s="35" t="s">
        <v>345</v>
      </c>
      <c r="D657" s="35" t="s">
        <v>539</v>
      </c>
      <c r="E657" s="35" t="s">
        <v>428</v>
      </c>
      <c r="F657" s="35">
        <v>1</v>
      </c>
      <c r="G657" s="32" t="s">
        <v>680</v>
      </c>
      <c r="H657" s="32">
        <f t="shared" ref="H657" si="67">$G$4*F657</f>
        <v>1</v>
      </c>
      <c r="I657" s="72">
        <v>7500</v>
      </c>
      <c r="J657" s="72">
        <f t="shared" si="66"/>
        <v>7500</v>
      </c>
      <c r="K657" s="33"/>
    </row>
    <row r="658" spans="1:13">
      <c r="A658" s="305"/>
      <c r="B658" s="35" t="s">
        <v>389</v>
      </c>
      <c r="C658" s="35" t="s">
        <v>345</v>
      </c>
      <c r="D658" s="35" t="s">
        <v>965</v>
      </c>
      <c r="E658" s="35" t="s">
        <v>963</v>
      </c>
      <c r="F658" s="35">
        <v>1</v>
      </c>
      <c r="G658" s="32" t="s">
        <v>957</v>
      </c>
      <c r="H658" s="5">
        <f t="shared" si="65"/>
        <v>1</v>
      </c>
      <c r="I658" s="72">
        <v>3600</v>
      </c>
      <c r="J658" s="72">
        <f t="shared" si="66"/>
        <v>3600</v>
      </c>
      <c r="K658" s="33"/>
    </row>
    <row r="659" spans="1:13">
      <c r="A659" s="305"/>
      <c r="B659" s="35" t="s">
        <v>389</v>
      </c>
      <c r="C659" s="35" t="s">
        <v>345</v>
      </c>
      <c r="D659" s="35" t="s">
        <v>433</v>
      </c>
      <c r="E659" s="35" t="s">
        <v>431</v>
      </c>
      <c r="F659" s="35">
        <v>1</v>
      </c>
      <c r="G659" s="32" t="s">
        <v>955</v>
      </c>
      <c r="H659" s="5">
        <f t="shared" si="65"/>
        <v>1</v>
      </c>
      <c r="I659" s="76">
        <f>2750+1000</f>
        <v>3750</v>
      </c>
      <c r="J659" s="76">
        <f t="shared" si="66"/>
        <v>3750</v>
      </c>
      <c r="K659" s="33"/>
      <c r="L659" s="59"/>
      <c r="M659" s="59"/>
    </row>
    <row r="660" spans="1:13">
      <c r="A660" s="305"/>
      <c r="B660" s="35" t="s">
        <v>389</v>
      </c>
      <c r="C660" s="35" t="s">
        <v>345</v>
      </c>
      <c r="D660" s="35" t="s">
        <v>438</v>
      </c>
      <c r="E660" s="35" t="s">
        <v>435</v>
      </c>
      <c r="F660" s="35">
        <v>1</v>
      </c>
      <c r="G660" s="32" t="s">
        <v>955</v>
      </c>
      <c r="H660" s="5">
        <f t="shared" si="65"/>
        <v>1</v>
      </c>
      <c r="I660" s="76">
        <v>3750</v>
      </c>
      <c r="J660" s="76">
        <f t="shared" si="66"/>
        <v>3750</v>
      </c>
      <c r="K660" s="33"/>
      <c r="L660" s="59"/>
      <c r="M660" s="59"/>
    </row>
    <row r="661" spans="1:13">
      <c r="A661" s="305"/>
      <c r="B661" s="35" t="s">
        <v>389</v>
      </c>
      <c r="C661" s="35" t="s">
        <v>345</v>
      </c>
      <c r="D661" s="35" t="s">
        <v>437</v>
      </c>
      <c r="E661" s="35" t="s">
        <v>613</v>
      </c>
      <c r="F661" s="32">
        <v>2</v>
      </c>
      <c r="G661" s="32" t="s">
        <v>955</v>
      </c>
      <c r="H661" s="5">
        <f t="shared" si="65"/>
        <v>2</v>
      </c>
      <c r="I661" s="76">
        <v>7500</v>
      </c>
      <c r="J661" s="76">
        <f t="shared" si="66"/>
        <v>15000</v>
      </c>
      <c r="K661" s="33"/>
      <c r="L661" s="59"/>
      <c r="M661" s="59"/>
    </row>
    <row r="662" spans="1:13">
      <c r="A662" s="305"/>
      <c r="B662" s="35" t="s">
        <v>389</v>
      </c>
      <c r="C662" s="35" t="s">
        <v>345</v>
      </c>
      <c r="D662" s="13" t="s">
        <v>529</v>
      </c>
      <c r="E662" s="13" t="s">
        <v>530</v>
      </c>
      <c r="F662" s="35">
        <v>1</v>
      </c>
      <c r="G662" s="32" t="s">
        <v>681</v>
      </c>
      <c r="H662" s="32">
        <f t="shared" ref="H662:H665" si="68">$G$4*F662</f>
        <v>1</v>
      </c>
      <c r="I662" s="72">
        <v>2520</v>
      </c>
      <c r="J662" s="72">
        <f t="shared" si="66"/>
        <v>2520</v>
      </c>
      <c r="K662" s="33"/>
    </row>
    <row r="663" spans="1:13">
      <c r="A663" s="305"/>
      <c r="B663" s="35" t="s">
        <v>389</v>
      </c>
      <c r="C663" s="35" t="s">
        <v>345</v>
      </c>
      <c r="D663" s="13" t="s">
        <v>531</v>
      </c>
      <c r="E663" s="13" t="s">
        <v>532</v>
      </c>
      <c r="F663" s="35">
        <v>1</v>
      </c>
      <c r="G663" s="32" t="s">
        <v>976</v>
      </c>
      <c r="H663" s="32">
        <f t="shared" si="68"/>
        <v>1</v>
      </c>
      <c r="I663" s="72">
        <v>5500</v>
      </c>
      <c r="J663" s="72">
        <f t="shared" si="66"/>
        <v>5500</v>
      </c>
      <c r="K663" s="33"/>
    </row>
    <row r="664" spans="1:13">
      <c r="A664" s="305"/>
      <c r="B664" s="35" t="s">
        <v>389</v>
      </c>
      <c r="C664" s="35" t="s">
        <v>345</v>
      </c>
      <c r="D664" s="13" t="s">
        <v>443</v>
      </c>
      <c r="E664" s="35" t="s">
        <v>442</v>
      </c>
      <c r="F664" s="35">
        <v>1</v>
      </c>
      <c r="G664" s="32" t="s">
        <v>678</v>
      </c>
      <c r="H664" s="32">
        <f t="shared" si="68"/>
        <v>1</v>
      </c>
      <c r="I664" s="72">
        <v>7000</v>
      </c>
      <c r="J664" s="72">
        <f t="shared" si="66"/>
        <v>7000</v>
      </c>
      <c r="K664" s="33"/>
    </row>
    <row r="665" spans="1:13">
      <c r="A665" s="305"/>
      <c r="B665" s="35" t="s">
        <v>389</v>
      </c>
      <c r="C665" s="35" t="s">
        <v>345</v>
      </c>
      <c r="D665" s="13" t="s">
        <v>441</v>
      </c>
      <c r="E665" s="35" t="s">
        <v>440</v>
      </c>
      <c r="F665" s="35">
        <v>1</v>
      </c>
      <c r="G665" s="32" t="s">
        <v>678</v>
      </c>
      <c r="H665" s="32">
        <f t="shared" si="68"/>
        <v>1</v>
      </c>
      <c r="I665" s="72">
        <v>7000</v>
      </c>
      <c r="J665" s="72">
        <f t="shared" si="66"/>
        <v>7000</v>
      </c>
      <c r="K665" s="33"/>
    </row>
    <row r="666" spans="1:13">
      <c r="A666" s="305"/>
      <c r="B666" s="35" t="s">
        <v>389</v>
      </c>
      <c r="C666" s="35" t="s">
        <v>345</v>
      </c>
      <c r="D666" s="13" t="s">
        <v>546</v>
      </c>
      <c r="E666" s="13" t="s">
        <v>547</v>
      </c>
      <c r="F666" s="35">
        <v>1</v>
      </c>
      <c r="G666" s="32" t="s">
        <v>571</v>
      </c>
      <c r="H666" s="32">
        <f t="shared" ref="H666:H667" si="69">$G$4*F666</f>
        <v>1</v>
      </c>
      <c r="I666" s="72">
        <v>3200</v>
      </c>
      <c r="J666" s="72">
        <f t="shared" si="66"/>
        <v>3200</v>
      </c>
      <c r="K666" s="33"/>
    </row>
    <row r="667" spans="1:13">
      <c r="A667" s="305"/>
      <c r="B667" s="35" t="s">
        <v>389</v>
      </c>
      <c r="C667" s="35" t="s">
        <v>345</v>
      </c>
      <c r="D667" s="13" t="s">
        <v>554</v>
      </c>
      <c r="E667" s="13" t="s">
        <v>533</v>
      </c>
      <c r="F667" s="35">
        <v>1</v>
      </c>
      <c r="G667" s="32" t="s">
        <v>686</v>
      </c>
      <c r="H667" s="32">
        <f t="shared" si="69"/>
        <v>1</v>
      </c>
      <c r="I667" s="72">
        <v>900</v>
      </c>
      <c r="J667" s="72">
        <f t="shared" si="66"/>
        <v>900</v>
      </c>
      <c r="K667" s="33"/>
    </row>
    <row r="668" spans="1:13">
      <c r="A668" s="305"/>
      <c r="B668" s="35" t="s">
        <v>389</v>
      </c>
      <c r="C668" s="35" t="s">
        <v>345</v>
      </c>
      <c r="D668" s="101" t="s">
        <v>552</v>
      </c>
      <c r="E668" s="98" t="s">
        <v>522</v>
      </c>
      <c r="F668" s="101">
        <v>1</v>
      </c>
      <c r="G668" s="99" t="s">
        <v>560</v>
      </c>
      <c r="H668" s="102">
        <f t="shared" si="65"/>
        <v>1</v>
      </c>
      <c r="I668" s="100">
        <v>63000</v>
      </c>
      <c r="J668" s="100">
        <f t="shared" si="66"/>
        <v>63000</v>
      </c>
      <c r="K668" s="33"/>
    </row>
    <row r="669" spans="1:13">
      <c r="A669" s="305"/>
      <c r="B669" s="35" t="s">
        <v>389</v>
      </c>
      <c r="C669" s="35" t="s">
        <v>345</v>
      </c>
      <c r="D669" s="109" t="s">
        <v>452</v>
      </c>
      <c r="E669" s="112" t="s">
        <v>453</v>
      </c>
      <c r="F669" s="112">
        <v>1</v>
      </c>
      <c r="G669" s="110" t="s">
        <v>235</v>
      </c>
      <c r="H669" s="113">
        <f t="shared" si="65"/>
        <v>1</v>
      </c>
      <c r="I669" s="111">
        <f>(24*2700)+300000</f>
        <v>364800</v>
      </c>
      <c r="J669" s="111">
        <f t="shared" si="66"/>
        <v>364800</v>
      </c>
      <c r="K669" s="33"/>
    </row>
    <row r="670" spans="1:13">
      <c r="A670" s="306"/>
      <c r="B670" s="35" t="s">
        <v>389</v>
      </c>
      <c r="C670" s="37" t="s">
        <v>635</v>
      </c>
      <c r="D670" s="15" t="s">
        <v>636</v>
      </c>
      <c r="E670" s="37" t="s">
        <v>637</v>
      </c>
      <c r="F670" s="37">
        <v>1</v>
      </c>
      <c r="G670" s="38" t="s">
        <v>691</v>
      </c>
      <c r="H670" s="5">
        <f t="shared" si="65"/>
        <v>1</v>
      </c>
      <c r="I670" s="73">
        <f>14000+1500</f>
        <v>15500</v>
      </c>
      <c r="J670" s="72">
        <f t="shared" si="66"/>
        <v>15500</v>
      </c>
      <c r="K670" s="39"/>
    </row>
    <row r="671" spans="1:13" ht="17.5" thickBot="1">
      <c r="A671" s="306"/>
      <c r="B671" s="35" t="s">
        <v>389</v>
      </c>
      <c r="C671" s="37" t="s">
        <v>345</v>
      </c>
      <c r="D671" s="15" t="s">
        <v>1735</v>
      </c>
      <c r="E671" s="13" t="s">
        <v>693</v>
      </c>
      <c r="F671" s="38">
        <v>1</v>
      </c>
      <c r="G671" s="38" t="s">
        <v>1736</v>
      </c>
      <c r="H671" s="38">
        <f t="shared" ref="H671" si="70">$G$4*F671</f>
        <v>1</v>
      </c>
      <c r="I671" s="73">
        <v>6500</v>
      </c>
      <c r="J671" s="73">
        <f t="shared" si="66"/>
        <v>6500</v>
      </c>
      <c r="K671" s="39"/>
    </row>
    <row r="672" spans="1:13" ht="26" thickBot="1">
      <c r="A672" s="307"/>
      <c r="B672" s="42" t="s">
        <v>389</v>
      </c>
      <c r="C672" s="42" t="s">
        <v>345</v>
      </c>
      <c r="D672" s="9" t="s">
        <v>113</v>
      </c>
      <c r="E672" s="42" t="s">
        <v>113</v>
      </c>
      <c r="F672" s="42">
        <v>1</v>
      </c>
      <c r="G672" s="43" t="s">
        <v>240</v>
      </c>
      <c r="H672" s="48">
        <f t="shared" si="65"/>
        <v>1</v>
      </c>
      <c r="I672" s="74">
        <v>13400</v>
      </c>
      <c r="J672" s="74">
        <f t="shared" si="66"/>
        <v>13400</v>
      </c>
      <c r="K672" s="44"/>
      <c r="L672" s="254">
        <f>SUBTOTAL(9,J646:J672)</f>
        <v>754874</v>
      </c>
    </row>
    <row r="673" spans="1:13" hidden="1">
      <c r="A673" s="308">
        <v>26</v>
      </c>
      <c r="B673" s="8" t="s">
        <v>389</v>
      </c>
      <c r="C673" s="8" t="s">
        <v>346</v>
      </c>
      <c r="D673" s="8" t="s">
        <v>379</v>
      </c>
      <c r="E673" s="8" t="s">
        <v>382</v>
      </c>
      <c r="F673" s="8">
        <v>1</v>
      </c>
      <c r="G673" s="5" t="s">
        <v>250</v>
      </c>
      <c r="H673" s="5">
        <f>$K$8*F673</f>
        <v>0</v>
      </c>
      <c r="I673" s="75"/>
      <c r="J673" s="75">
        <f t="shared" si="66"/>
        <v>0</v>
      </c>
      <c r="K673" s="40" t="s">
        <v>238</v>
      </c>
      <c r="L673" s="1"/>
      <c r="M673" s="1"/>
    </row>
    <row r="674" spans="1:13" hidden="1">
      <c r="A674" s="305"/>
      <c r="B674" s="36" t="s">
        <v>389</v>
      </c>
      <c r="C674" s="36" t="s">
        <v>346</v>
      </c>
      <c r="D674" s="34" t="s">
        <v>383</v>
      </c>
      <c r="E674" s="36" t="s">
        <v>384</v>
      </c>
      <c r="F674" s="35">
        <v>8</v>
      </c>
      <c r="G674" s="32" t="s">
        <v>954</v>
      </c>
      <c r="H674" s="32">
        <f t="shared" ref="H674:H694" si="71">$K$8*F674</f>
        <v>0</v>
      </c>
      <c r="I674" s="72"/>
      <c r="J674" s="72">
        <f t="shared" si="66"/>
        <v>0</v>
      </c>
      <c r="K674" s="33"/>
      <c r="L674" s="1"/>
      <c r="M674" s="1"/>
    </row>
    <row r="675" spans="1:13" hidden="1">
      <c r="A675" s="305"/>
      <c r="B675" s="35" t="s">
        <v>389</v>
      </c>
      <c r="C675" s="35" t="s">
        <v>346</v>
      </c>
      <c r="D675" s="13" t="s">
        <v>405</v>
      </c>
      <c r="E675" s="35" t="s">
        <v>414</v>
      </c>
      <c r="F675" s="35">
        <v>1</v>
      </c>
      <c r="G675" s="32" t="s">
        <v>567</v>
      </c>
      <c r="H675" s="32">
        <f t="shared" si="71"/>
        <v>0</v>
      </c>
      <c r="I675" s="76"/>
      <c r="J675" s="76">
        <f t="shared" si="66"/>
        <v>0</v>
      </c>
      <c r="K675" s="33"/>
      <c r="L675" s="1"/>
      <c r="M675" s="1"/>
    </row>
    <row r="676" spans="1:13" hidden="1">
      <c r="A676" s="305"/>
      <c r="B676" s="35" t="s">
        <v>389</v>
      </c>
      <c r="C676" s="35" t="s">
        <v>346</v>
      </c>
      <c r="D676" s="35" t="s">
        <v>411</v>
      </c>
      <c r="E676" s="35" t="s">
        <v>417</v>
      </c>
      <c r="F676" s="35">
        <v>1</v>
      </c>
      <c r="G676" s="32" t="s">
        <v>567</v>
      </c>
      <c r="H676" s="32">
        <f t="shared" si="71"/>
        <v>0</v>
      </c>
      <c r="I676" s="76"/>
      <c r="J676" s="76">
        <f t="shared" si="66"/>
        <v>0</v>
      </c>
      <c r="K676" s="33"/>
      <c r="L676" s="1"/>
      <c r="M676" s="1"/>
    </row>
    <row r="677" spans="1:13" hidden="1">
      <c r="A677" s="305"/>
      <c r="B677" s="35" t="s">
        <v>389</v>
      </c>
      <c r="C677" s="35" t="s">
        <v>346</v>
      </c>
      <c r="D677" s="35" t="s">
        <v>408</v>
      </c>
      <c r="E677" s="35" t="s">
        <v>419</v>
      </c>
      <c r="F677" s="35">
        <v>1</v>
      </c>
      <c r="G677" s="32" t="s">
        <v>567</v>
      </c>
      <c r="H677" s="32">
        <f t="shared" si="71"/>
        <v>0</v>
      </c>
      <c r="I677" s="76"/>
      <c r="J677" s="76">
        <f t="shared" si="66"/>
        <v>0</v>
      </c>
      <c r="K677" s="33"/>
      <c r="L677" s="1"/>
      <c r="M677" s="1"/>
    </row>
    <row r="678" spans="1:13" hidden="1">
      <c r="A678" s="305"/>
      <c r="B678" s="35" t="s">
        <v>389</v>
      </c>
      <c r="C678" s="35" t="s">
        <v>346</v>
      </c>
      <c r="D678" s="35" t="s">
        <v>487</v>
      </c>
      <c r="E678" s="35" t="s">
        <v>400</v>
      </c>
      <c r="F678" s="35">
        <v>1</v>
      </c>
      <c r="G678" s="32" t="s">
        <v>569</v>
      </c>
      <c r="H678" s="32">
        <f t="shared" si="71"/>
        <v>0</v>
      </c>
      <c r="I678" s="76"/>
      <c r="J678" s="76">
        <f t="shared" si="66"/>
        <v>0</v>
      </c>
      <c r="K678" s="33"/>
      <c r="L678" s="1"/>
      <c r="M678" s="1"/>
    </row>
    <row r="679" spans="1:13" hidden="1">
      <c r="A679" s="305"/>
      <c r="B679" s="35" t="s">
        <v>389</v>
      </c>
      <c r="C679" s="35" t="s">
        <v>346</v>
      </c>
      <c r="D679" s="35" t="s">
        <v>557</v>
      </c>
      <c r="E679" s="35" t="s">
        <v>423</v>
      </c>
      <c r="F679" s="35">
        <v>2</v>
      </c>
      <c r="G679" s="32" t="s">
        <v>561</v>
      </c>
      <c r="H679" s="32">
        <f t="shared" si="71"/>
        <v>0</v>
      </c>
      <c r="I679" s="72"/>
      <c r="J679" s="72">
        <f t="shared" si="66"/>
        <v>0</v>
      </c>
      <c r="K679" s="33"/>
      <c r="L679" s="1"/>
      <c r="M679" s="1"/>
    </row>
    <row r="680" spans="1:13" hidden="1">
      <c r="A680" s="305"/>
      <c r="B680" s="35" t="s">
        <v>389</v>
      </c>
      <c r="C680" s="35" t="s">
        <v>346</v>
      </c>
      <c r="D680" s="35" t="s">
        <v>558</v>
      </c>
      <c r="E680" s="35" t="s">
        <v>421</v>
      </c>
      <c r="F680" s="35">
        <v>2</v>
      </c>
      <c r="G680" s="32" t="s">
        <v>561</v>
      </c>
      <c r="H680" s="32">
        <f t="shared" si="71"/>
        <v>0</v>
      </c>
      <c r="I680" s="72"/>
      <c r="J680" s="72">
        <f t="shared" si="66"/>
        <v>0</v>
      </c>
      <c r="K680" s="33"/>
      <c r="L680" s="1"/>
      <c r="M680" s="1"/>
    </row>
    <row r="681" spans="1:13" hidden="1">
      <c r="A681" s="305"/>
      <c r="B681" s="35" t="s">
        <v>389</v>
      </c>
      <c r="C681" s="35" t="s">
        <v>346</v>
      </c>
      <c r="D681" s="35" t="s">
        <v>545</v>
      </c>
      <c r="E681" s="35" t="s">
        <v>426</v>
      </c>
      <c r="F681" s="35">
        <v>3</v>
      </c>
      <c r="G681" s="32" t="s">
        <v>561</v>
      </c>
      <c r="H681" s="32">
        <f t="shared" si="71"/>
        <v>0</v>
      </c>
      <c r="I681" s="72"/>
      <c r="J681" s="72">
        <f t="shared" si="66"/>
        <v>0</v>
      </c>
      <c r="K681" s="33"/>
      <c r="L681" s="1"/>
      <c r="M681" s="1"/>
    </row>
    <row r="682" spans="1:13" hidden="1">
      <c r="A682" s="305"/>
      <c r="B682" s="35" t="s">
        <v>389</v>
      </c>
      <c r="C682" s="35" t="s">
        <v>346</v>
      </c>
      <c r="D682" s="35" t="s">
        <v>539</v>
      </c>
      <c r="E682" s="35" t="s">
        <v>428</v>
      </c>
      <c r="F682" s="35">
        <v>1</v>
      </c>
      <c r="G682" s="32" t="s">
        <v>562</v>
      </c>
      <c r="H682" s="32">
        <f t="shared" si="71"/>
        <v>0</v>
      </c>
      <c r="I682" s="72"/>
      <c r="J682" s="72">
        <f t="shared" si="66"/>
        <v>0</v>
      </c>
      <c r="K682" s="33"/>
      <c r="L682" s="1"/>
      <c r="M682" s="1"/>
    </row>
    <row r="683" spans="1:13" hidden="1">
      <c r="A683" s="305"/>
      <c r="B683" s="36" t="s">
        <v>389</v>
      </c>
      <c r="C683" s="36" t="s">
        <v>346</v>
      </c>
      <c r="D683" s="36" t="s">
        <v>540</v>
      </c>
      <c r="E683" s="36" t="s">
        <v>429</v>
      </c>
      <c r="F683" s="35">
        <v>1</v>
      </c>
      <c r="G683" s="32" t="s">
        <v>568</v>
      </c>
      <c r="H683" s="32">
        <f t="shared" si="71"/>
        <v>0</v>
      </c>
      <c r="I683" s="72"/>
      <c r="J683" s="72">
        <f t="shared" si="66"/>
        <v>0</v>
      </c>
      <c r="K683" s="33"/>
      <c r="L683" s="1"/>
      <c r="M683" s="1"/>
    </row>
    <row r="684" spans="1:13" hidden="1">
      <c r="A684" s="305"/>
      <c r="B684" s="35" t="s">
        <v>389</v>
      </c>
      <c r="C684" s="35" t="s">
        <v>346</v>
      </c>
      <c r="D684" s="35" t="s">
        <v>433</v>
      </c>
      <c r="E684" s="35" t="s">
        <v>431</v>
      </c>
      <c r="F684" s="35">
        <v>1</v>
      </c>
      <c r="G684" s="32" t="s">
        <v>561</v>
      </c>
      <c r="H684" s="32">
        <f t="shared" si="71"/>
        <v>0</v>
      </c>
      <c r="I684" s="76"/>
      <c r="J684" s="76">
        <f t="shared" si="66"/>
        <v>0</v>
      </c>
      <c r="K684" s="33"/>
      <c r="L684" s="1"/>
      <c r="M684" s="1"/>
    </row>
    <row r="685" spans="1:13" hidden="1">
      <c r="A685" s="305"/>
      <c r="B685" s="35" t="s">
        <v>389</v>
      </c>
      <c r="C685" s="35" t="s">
        <v>346</v>
      </c>
      <c r="D685" s="35" t="s">
        <v>438</v>
      </c>
      <c r="E685" s="35" t="s">
        <v>435</v>
      </c>
      <c r="F685" s="35">
        <v>1</v>
      </c>
      <c r="G685" s="32" t="s">
        <v>561</v>
      </c>
      <c r="H685" s="32">
        <f t="shared" si="71"/>
        <v>0</v>
      </c>
      <c r="I685" s="76"/>
      <c r="J685" s="76">
        <f t="shared" si="66"/>
        <v>0</v>
      </c>
      <c r="K685" s="33"/>
      <c r="L685" s="1"/>
      <c r="M685" s="1"/>
    </row>
    <row r="686" spans="1:13" hidden="1">
      <c r="A686" s="305"/>
      <c r="B686" s="35" t="s">
        <v>389</v>
      </c>
      <c r="C686" s="35" t="s">
        <v>346</v>
      </c>
      <c r="D686" s="35" t="s">
        <v>437</v>
      </c>
      <c r="E686" s="35" t="s">
        <v>613</v>
      </c>
      <c r="F686" s="32">
        <v>2</v>
      </c>
      <c r="G686" s="32" t="s">
        <v>561</v>
      </c>
      <c r="H686" s="32">
        <f t="shared" si="71"/>
        <v>0</v>
      </c>
      <c r="I686" s="76"/>
      <c r="J686" s="76">
        <f t="shared" si="66"/>
        <v>0</v>
      </c>
      <c r="K686" s="33"/>
      <c r="L686" s="1"/>
      <c r="M686" s="1"/>
    </row>
    <row r="687" spans="1:13" hidden="1">
      <c r="A687" s="305"/>
      <c r="B687" s="36" t="s">
        <v>389</v>
      </c>
      <c r="C687" s="36" t="s">
        <v>346</v>
      </c>
      <c r="D687" s="34" t="s">
        <v>529</v>
      </c>
      <c r="E687" s="34" t="s">
        <v>530</v>
      </c>
      <c r="F687" s="35">
        <v>1</v>
      </c>
      <c r="G687" s="32" t="s">
        <v>566</v>
      </c>
      <c r="H687" s="32">
        <f t="shared" si="71"/>
        <v>0</v>
      </c>
      <c r="I687" s="72"/>
      <c r="J687" s="72">
        <f t="shared" si="66"/>
        <v>0</v>
      </c>
      <c r="K687" s="33"/>
      <c r="L687" s="1"/>
      <c r="M687" s="1"/>
    </row>
    <row r="688" spans="1:13" hidden="1">
      <c r="A688" s="305"/>
      <c r="B688" s="36" t="s">
        <v>389</v>
      </c>
      <c r="C688" s="36" t="s">
        <v>346</v>
      </c>
      <c r="D688" s="34" t="s">
        <v>531</v>
      </c>
      <c r="E688" s="34" t="s">
        <v>532</v>
      </c>
      <c r="F688" s="35">
        <v>1</v>
      </c>
      <c r="G688" s="32" t="s">
        <v>566</v>
      </c>
      <c r="H688" s="32">
        <f t="shared" si="71"/>
        <v>0</v>
      </c>
      <c r="I688" s="72"/>
      <c r="J688" s="72">
        <f t="shared" si="66"/>
        <v>0</v>
      </c>
      <c r="K688" s="33"/>
      <c r="L688" s="1"/>
      <c r="M688" s="1"/>
    </row>
    <row r="689" spans="1:13" hidden="1">
      <c r="A689" s="305"/>
      <c r="B689" s="36" t="s">
        <v>389</v>
      </c>
      <c r="C689" s="36" t="s">
        <v>346</v>
      </c>
      <c r="D689" s="34" t="s">
        <v>443</v>
      </c>
      <c r="E689" s="36" t="s">
        <v>442</v>
      </c>
      <c r="F689" s="35">
        <v>1</v>
      </c>
      <c r="G689" s="32" t="s">
        <v>570</v>
      </c>
      <c r="H689" s="32">
        <f t="shared" si="71"/>
        <v>0</v>
      </c>
      <c r="I689" s="72"/>
      <c r="J689" s="72">
        <f t="shared" si="66"/>
        <v>0</v>
      </c>
      <c r="K689" s="33"/>
      <c r="L689" s="1"/>
      <c r="M689" s="1"/>
    </row>
    <row r="690" spans="1:13" hidden="1">
      <c r="A690" s="305"/>
      <c r="B690" s="36" t="s">
        <v>389</v>
      </c>
      <c r="C690" s="36" t="s">
        <v>346</v>
      </c>
      <c r="D690" s="34" t="s">
        <v>441</v>
      </c>
      <c r="E690" s="36" t="s">
        <v>440</v>
      </c>
      <c r="F690" s="35">
        <v>1</v>
      </c>
      <c r="G690" s="32" t="s">
        <v>570</v>
      </c>
      <c r="H690" s="32">
        <f t="shared" si="71"/>
        <v>0</v>
      </c>
      <c r="I690" s="72"/>
      <c r="J690" s="72">
        <f t="shared" si="66"/>
        <v>0</v>
      </c>
      <c r="K690" s="33"/>
      <c r="L690" s="1"/>
      <c r="M690" s="1"/>
    </row>
    <row r="691" spans="1:13" hidden="1">
      <c r="A691" s="305"/>
      <c r="B691" s="36" t="s">
        <v>389</v>
      </c>
      <c r="C691" s="36" t="s">
        <v>346</v>
      </c>
      <c r="D691" s="34" t="s">
        <v>546</v>
      </c>
      <c r="E691" s="34" t="s">
        <v>547</v>
      </c>
      <c r="F691" s="35">
        <v>1</v>
      </c>
      <c r="G691" s="32" t="s">
        <v>571</v>
      </c>
      <c r="H691" s="32">
        <f t="shared" si="71"/>
        <v>0</v>
      </c>
      <c r="I691" s="72"/>
      <c r="J691" s="72">
        <f t="shared" si="66"/>
        <v>0</v>
      </c>
      <c r="K691" s="33"/>
      <c r="L691" s="1"/>
      <c r="M691" s="1"/>
    </row>
    <row r="692" spans="1:13" hidden="1">
      <c r="A692" s="305"/>
      <c r="B692" s="36" t="s">
        <v>389</v>
      </c>
      <c r="C692" s="36" t="s">
        <v>346</v>
      </c>
      <c r="D692" s="34" t="s">
        <v>554</v>
      </c>
      <c r="E692" s="34" t="s">
        <v>533</v>
      </c>
      <c r="F692" s="35">
        <v>1</v>
      </c>
      <c r="G692" s="32" t="s">
        <v>571</v>
      </c>
      <c r="H692" s="32">
        <f t="shared" si="71"/>
        <v>0</v>
      </c>
      <c r="I692" s="72"/>
      <c r="J692" s="72">
        <f t="shared" si="66"/>
        <v>0</v>
      </c>
      <c r="K692" s="33"/>
      <c r="L692" s="1"/>
      <c r="M692" s="1"/>
    </row>
    <row r="693" spans="1:13" hidden="1">
      <c r="A693" s="305"/>
      <c r="B693" s="35" t="s">
        <v>389</v>
      </c>
      <c r="C693" s="35" t="s">
        <v>346</v>
      </c>
      <c r="D693" s="35" t="s">
        <v>552</v>
      </c>
      <c r="E693" s="13" t="s">
        <v>522</v>
      </c>
      <c r="F693" s="35">
        <v>1</v>
      </c>
      <c r="G693" s="32" t="s">
        <v>560</v>
      </c>
      <c r="H693" s="32">
        <f t="shared" si="71"/>
        <v>0</v>
      </c>
      <c r="I693" s="72">
        <v>45300</v>
      </c>
      <c r="J693" s="72">
        <f t="shared" si="66"/>
        <v>0</v>
      </c>
      <c r="K693" s="33"/>
      <c r="L693" s="1"/>
      <c r="M693" s="1"/>
    </row>
    <row r="694" spans="1:13" hidden="1">
      <c r="A694" s="305"/>
      <c r="B694" s="35" t="s">
        <v>389</v>
      </c>
      <c r="C694" s="35" t="s">
        <v>346</v>
      </c>
      <c r="D694" s="35" t="s">
        <v>550</v>
      </c>
      <c r="E694" s="35" t="s">
        <v>454</v>
      </c>
      <c r="F694" s="35">
        <v>1</v>
      </c>
      <c r="G694" s="32" t="s">
        <v>235</v>
      </c>
      <c r="H694" s="32">
        <f t="shared" si="71"/>
        <v>0</v>
      </c>
      <c r="I694" s="72"/>
      <c r="J694" s="72">
        <f t="shared" si="66"/>
        <v>0</v>
      </c>
      <c r="K694" s="33"/>
      <c r="L694" s="1"/>
      <c r="M694" s="1"/>
    </row>
    <row r="695" spans="1:13" hidden="1">
      <c r="A695" s="306"/>
      <c r="B695" s="36" t="s">
        <v>389</v>
      </c>
      <c r="C695" s="45" t="s">
        <v>346</v>
      </c>
      <c r="D695" s="46" t="s">
        <v>636</v>
      </c>
      <c r="E695" s="45" t="s">
        <v>637</v>
      </c>
      <c r="F695" s="37">
        <v>1</v>
      </c>
      <c r="G695" s="38"/>
      <c r="H695" s="38"/>
      <c r="I695" s="73"/>
      <c r="J695" s="73"/>
      <c r="K695" s="39"/>
      <c r="L695" s="1"/>
      <c r="M695" s="1"/>
    </row>
    <row r="696" spans="1:13" ht="17.5" hidden="1" thickBot="1">
      <c r="A696" s="309"/>
      <c r="B696" s="45" t="s">
        <v>389</v>
      </c>
      <c r="C696" s="45" t="s">
        <v>346</v>
      </c>
      <c r="D696" s="46" t="s">
        <v>113</v>
      </c>
      <c r="E696" s="45" t="s">
        <v>113</v>
      </c>
      <c r="F696" s="37">
        <v>1</v>
      </c>
      <c r="G696" s="38" t="s">
        <v>240</v>
      </c>
      <c r="H696" s="38">
        <f>$K$8*F696</f>
        <v>0</v>
      </c>
      <c r="I696" s="73"/>
      <c r="J696" s="73">
        <f t="shared" si="66"/>
        <v>0</v>
      </c>
      <c r="K696" s="39"/>
      <c r="L696" s="1"/>
      <c r="M696" s="1"/>
    </row>
    <row r="697" spans="1:13">
      <c r="A697" s="304">
        <v>27</v>
      </c>
      <c r="B697" s="47" t="s">
        <v>388</v>
      </c>
      <c r="C697" s="47" t="s">
        <v>347</v>
      </c>
      <c r="D697" s="47" t="s">
        <v>379</v>
      </c>
      <c r="E697" s="47" t="s">
        <v>382</v>
      </c>
      <c r="F697" s="47">
        <v>1</v>
      </c>
      <c r="G697" s="30" t="s">
        <v>250</v>
      </c>
      <c r="H697" s="32">
        <f t="shared" ref="H697:H721" si="72">$K$9*F697</f>
        <v>1</v>
      </c>
      <c r="I697" s="77">
        <f>118000+53000</f>
        <v>171000</v>
      </c>
      <c r="J697" s="77">
        <f t="shared" si="66"/>
        <v>171000</v>
      </c>
      <c r="K697" s="31" t="s">
        <v>238</v>
      </c>
      <c r="L697" s="59"/>
      <c r="M697" s="59"/>
    </row>
    <row r="698" spans="1:13">
      <c r="A698" s="305"/>
      <c r="B698" s="35" t="s">
        <v>388</v>
      </c>
      <c r="C698" s="35" t="s">
        <v>396</v>
      </c>
      <c r="D698" s="13" t="s">
        <v>383</v>
      </c>
      <c r="E698" s="35" t="s">
        <v>384</v>
      </c>
      <c r="F698" s="35">
        <v>8</v>
      </c>
      <c r="G698" s="32" t="s">
        <v>954</v>
      </c>
      <c r="H698" s="32">
        <f t="shared" si="72"/>
        <v>8</v>
      </c>
      <c r="I698" s="72">
        <v>2470</v>
      </c>
      <c r="J698" s="72">
        <f t="shared" si="66"/>
        <v>19760</v>
      </c>
      <c r="K698" s="33"/>
    </row>
    <row r="699" spans="1:13">
      <c r="A699" s="305"/>
      <c r="B699" s="35" t="s">
        <v>388</v>
      </c>
      <c r="C699" s="35" t="s">
        <v>396</v>
      </c>
      <c r="D699" s="13" t="s">
        <v>405</v>
      </c>
      <c r="E699" s="35" t="s">
        <v>978</v>
      </c>
      <c r="F699" s="35">
        <v>1</v>
      </c>
      <c r="G699" s="13" t="s">
        <v>1733</v>
      </c>
      <c r="H699" s="32">
        <f t="shared" si="72"/>
        <v>1</v>
      </c>
      <c r="I699" s="301">
        <v>30594</v>
      </c>
      <c r="J699" s="298">
        <f t="shared" si="66"/>
        <v>30594</v>
      </c>
      <c r="K699" s="33"/>
      <c r="L699" s="59"/>
      <c r="M699" s="59"/>
    </row>
    <row r="700" spans="1:13">
      <c r="A700" s="305"/>
      <c r="B700" s="35" t="s">
        <v>388</v>
      </c>
      <c r="C700" s="35" t="s">
        <v>396</v>
      </c>
      <c r="D700" s="35" t="s">
        <v>411</v>
      </c>
      <c r="E700" s="35" t="s">
        <v>981</v>
      </c>
      <c r="F700" s="35">
        <v>1</v>
      </c>
      <c r="G700" s="13" t="s">
        <v>1733</v>
      </c>
      <c r="H700" s="32">
        <f t="shared" si="72"/>
        <v>1</v>
      </c>
      <c r="I700" s="302"/>
      <c r="J700" s="299"/>
      <c r="K700" s="33"/>
      <c r="L700" s="59"/>
      <c r="M700" s="59"/>
    </row>
    <row r="701" spans="1:13">
      <c r="A701" s="305"/>
      <c r="B701" s="35" t="s">
        <v>388</v>
      </c>
      <c r="C701" s="35" t="s">
        <v>396</v>
      </c>
      <c r="D701" s="35" t="s">
        <v>408</v>
      </c>
      <c r="E701" s="35" t="s">
        <v>982</v>
      </c>
      <c r="F701" s="35">
        <v>1</v>
      </c>
      <c r="G701" s="13" t="s">
        <v>1733</v>
      </c>
      <c r="H701" s="32">
        <f t="shared" si="72"/>
        <v>1</v>
      </c>
      <c r="I701" s="303"/>
      <c r="J701" s="300"/>
      <c r="K701" s="33"/>
      <c r="L701" s="59"/>
      <c r="M701" s="59"/>
    </row>
    <row r="702" spans="1:13">
      <c r="A702" s="305"/>
      <c r="B702" s="35" t="s">
        <v>388</v>
      </c>
      <c r="C702" s="35" t="s">
        <v>396</v>
      </c>
      <c r="D702" s="13" t="s">
        <v>559</v>
      </c>
      <c r="E702" s="35" t="s">
        <v>402</v>
      </c>
      <c r="F702" s="35">
        <v>1</v>
      </c>
      <c r="G702" s="32" t="s">
        <v>569</v>
      </c>
      <c r="H702" s="32">
        <f t="shared" si="72"/>
        <v>1</v>
      </c>
      <c r="I702" s="72">
        <v>5300</v>
      </c>
      <c r="J702" s="72">
        <v>4500</v>
      </c>
      <c r="K702" s="33"/>
    </row>
    <row r="703" spans="1:13">
      <c r="A703" s="305"/>
      <c r="B703" s="35" t="s">
        <v>388</v>
      </c>
      <c r="C703" s="35" t="s">
        <v>396</v>
      </c>
      <c r="D703" s="35" t="s">
        <v>557</v>
      </c>
      <c r="E703" s="35" t="s">
        <v>986</v>
      </c>
      <c r="F703" s="35">
        <v>2</v>
      </c>
      <c r="G703" s="32" t="s">
        <v>955</v>
      </c>
      <c r="H703" s="32">
        <f t="shared" si="72"/>
        <v>2</v>
      </c>
      <c r="I703" s="72">
        <v>400</v>
      </c>
      <c r="J703" s="72">
        <f t="shared" si="66"/>
        <v>800</v>
      </c>
      <c r="K703" s="33"/>
    </row>
    <row r="704" spans="1:13">
      <c r="A704" s="305"/>
      <c r="B704" s="35" t="s">
        <v>388</v>
      </c>
      <c r="C704" s="35" t="s">
        <v>396</v>
      </c>
      <c r="D704" s="35" t="s">
        <v>558</v>
      </c>
      <c r="E704" s="35" t="s">
        <v>987</v>
      </c>
      <c r="F704" s="35">
        <v>2</v>
      </c>
      <c r="G704" s="32" t="s">
        <v>955</v>
      </c>
      <c r="H704" s="32">
        <f t="shared" si="72"/>
        <v>2</v>
      </c>
      <c r="I704" s="72">
        <v>400</v>
      </c>
      <c r="J704" s="72">
        <f t="shared" si="66"/>
        <v>800</v>
      </c>
      <c r="K704" s="33"/>
    </row>
    <row r="705" spans="1:13">
      <c r="A705" s="305"/>
      <c r="B705" s="35" t="s">
        <v>388</v>
      </c>
      <c r="C705" s="35" t="s">
        <v>396</v>
      </c>
      <c r="D705" s="35" t="s">
        <v>545</v>
      </c>
      <c r="E705" s="35" t="s">
        <v>426</v>
      </c>
      <c r="F705" s="35">
        <v>3</v>
      </c>
      <c r="G705" s="32" t="s">
        <v>955</v>
      </c>
      <c r="H705" s="32">
        <f t="shared" si="72"/>
        <v>3</v>
      </c>
      <c r="I705" s="72">
        <v>1500</v>
      </c>
      <c r="J705" s="72">
        <f t="shared" si="66"/>
        <v>4500</v>
      </c>
      <c r="K705" s="33"/>
    </row>
    <row r="706" spans="1:13">
      <c r="A706" s="305"/>
      <c r="B706" s="35" t="s">
        <v>388</v>
      </c>
      <c r="C706" s="35" t="s">
        <v>396</v>
      </c>
      <c r="D706" s="35" t="s">
        <v>539</v>
      </c>
      <c r="E706" s="35" t="s">
        <v>428</v>
      </c>
      <c r="F706" s="35">
        <v>1</v>
      </c>
      <c r="G706" s="32" t="s">
        <v>680</v>
      </c>
      <c r="H706" s="32">
        <f t="shared" ref="H706" si="73">$G$4*F706</f>
        <v>1</v>
      </c>
      <c r="I706" s="72">
        <v>7500</v>
      </c>
      <c r="J706" s="72">
        <f t="shared" si="66"/>
        <v>7500</v>
      </c>
      <c r="K706" s="33"/>
    </row>
    <row r="707" spans="1:13">
      <c r="A707" s="305"/>
      <c r="B707" s="35" t="s">
        <v>388</v>
      </c>
      <c r="C707" s="35" t="s">
        <v>396</v>
      </c>
      <c r="D707" s="35" t="s">
        <v>964</v>
      </c>
      <c r="E707" s="35" t="s">
        <v>962</v>
      </c>
      <c r="F707" s="35">
        <v>1</v>
      </c>
      <c r="G707" s="32" t="s">
        <v>957</v>
      </c>
      <c r="H707" s="32">
        <f t="shared" si="72"/>
        <v>1</v>
      </c>
      <c r="I707" s="72">
        <v>3600</v>
      </c>
      <c r="J707" s="72">
        <f t="shared" si="66"/>
        <v>3600</v>
      </c>
      <c r="K707" s="33"/>
    </row>
    <row r="708" spans="1:13">
      <c r="A708" s="305"/>
      <c r="B708" s="35" t="s">
        <v>388</v>
      </c>
      <c r="C708" s="35" t="s">
        <v>396</v>
      </c>
      <c r="D708" s="35" t="s">
        <v>433</v>
      </c>
      <c r="E708" s="35" t="s">
        <v>431</v>
      </c>
      <c r="F708" s="35">
        <v>1</v>
      </c>
      <c r="G708" s="32" t="s">
        <v>955</v>
      </c>
      <c r="H708" s="32">
        <f t="shared" si="72"/>
        <v>1</v>
      </c>
      <c r="I708" s="76">
        <v>3750</v>
      </c>
      <c r="J708" s="76">
        <f t="shared" si="66"/>
        <v>3750</v>
      </c>
      <c r="K708" s="33"/>
      <c r="L708" s="59"/>
      <c r="M708" s="59"/>
    </row>
    <row r="709" spans="1:13">
      <c r="A709" s="305"/>
      <c r="B709" s="35" t="s">
        <v>388</v>
      </c>
      <c r="C709" s="35" t="s">
        <v>396</v>
      </c>
      <c r="D709" s="35" t="s">
        <v>438</v>
      </c>
      <c r="E709" s="35" t="s">
        <v>435</v>
      </c>
      <c r="F709" s="35">
        <v>1</v>
      </c>
      <c r="G709" s="32" t="s">
        <v>955</v>
      </c>
      <c r="H709" s="32">
        <f t="shared" si="72"/>
        <v>1</v>
      </c>
      <c r="I709" s="76">
        <v>3750</v>
      </c>
      <c r="J709" s="76">
        <f t="shared" si="66"/>
        <v>3750</v>
      </c>
      <c r="K709" s="33"/>
      <c r="L709" s="59"/>
      <c r="M709" s="59"/>
    </row>
    <row r="710" spans="1:13">
      <c r="A710" s="305"/>
      <c r="B710" s="35" t="s">
        <v>388</v>
      </c>
      <c r="C710" s="35" t="s">
        <v>396</v>
      </c>
      <c r="D710" s="35" t="s">
        <v>437</v>
      </c>
      <c r="E710" s="35" t="s">
        <v>613</v>
      </c>
      <c r="F710" s="32">
        <v>2</v>
      </c>
      <c r="G710" s="32" t="s">
        <v>955</v>
      </c>
      <c r="H710" s="32">
        <f t="shared" si="72"/>
        <v>2</v>
      </c>
      <c r="I710" s="76">
        <v>7500</v>
      </c>
      <c r="J710" s="76">
        <f t="shared" si="66"/>
        <v>15000</v>
      </c>
      <c r="K710" s="33"/>
      <c r="L710" s="59"/>
      <c r="M710" s="59"/>
    </row>
    <row r="711" spans="1:13">
      <c r="A711" s="305"/>
      <c r="B711" s="35" t="s">
        <v>388</v>
      </c>
      <c r="C711" s="35" t="s">
        <v>396</v>
      </c>
      <c r="D711" s="13" t="s">
        <v>529</v>
      </c>
      <c r="E711" s="13" t="s">
        <v>530</v>
      </c>
      <c r="F711" s="35">
        <v>1</v>
      </c>
      <c r="G711" s="32" t="s">
        <v>681</v>
      </c>
      <c r="H711" s="32">
        <f t="shared" ref="H711:H715" si="74">$G$4*F711</f>
        <v>1</v>
      </c>
      <c r="I711" s="72">
        <v>2520</v>
      </c>
      <c r="J711" s="72">
        <f t="shared" ref="J711:J774" si="75">H711*I711</f>
        <v>2520</v>
      </c>
      <c r="K711" s="33"/>
    </row>
    <row r="712" spans="1:13">
      <c r="A712" s="305"/>
      <c r="B712" s="35" t="s">
        <v>388</v>
      </c>
      <c r="C712" s="35" t="s">
        <v>396</v>
      </c>
      <c r="D712" s="13" t="s">
        <v>531</v>
      </c>
      <c r="E712" s="13" t="s">
        <v>532</v>
      </c>
      <c r="F712" s="35">
        <v>1</v>
      </c>
      <c r="G712" s="32" t="s">
        <v>976</v>
      </c>
      <c r="H712" s="32">
        <f t="shared" si="74"/>
        <v>1</v>
      </c>
      <c r="I712" s="72">
        <v>5500</v>
      </c>
      <c r="J712" s="72">
        <f t="shared" si="75"/>
        <v>5500</v>
      </c>
      <c r="K712" s="33"/>
    </row>
    <row r="713" spans="1:13">
      <c r="A713" s="305"/>
      <c r="B713" s="35" t="s">
        <v>388</v>
      </c>
      <c r="C713" s="35" t="s">
        <v>396</v>
      </c>
      <c r="D713" s="13" t="s">
        <v>443</v>
      </c>
      <c r="E713" s="35" t="s">
        <v>442</v>
      </c>
      <c r="F713" s="35">
        <v>1</v>
      </c>
      <c r="G713" s="32" t="s">
        <v>678</v>
      </c>
      <c r="H713" s="32">
        <f t="shared" si="74"/>
        <v>1</v>
      </c>
      <c r="I713" s="72">
        <v>7000</v>
      </c>
      <c r="J713" s="72">
        <f t="shared" si="75"/>
        <v>7000</v>
      </c>
      <c r="K713" s="33"/>
    </row>
    <row r="714" spans="1:13">
      <c r="A714" s="305"/>
      <c r="B714" s="35" t="s">
        <v>388</v>
      </c>
      <c r="C714" s="35" t="s">
        <v>396</v>
      </c>
      <c r="D714" s="13" t="s">
        <v>441</v>
      </c>
      <c r="E714" s="35" t="s">
        <v>440</v>
      </c>
      <c r="F714" s="35">
        <v>1</v>
      </c>
      <c r="G714" s="32" t="s">
        <v>678</v>
      </c>
      <c r="H714" s="32">
        <f t="shared" si="74"/>
        <v>1</v>
      </c>
      <c r="I714" s="72">
        <v>7000</v>
      </c>
      <c r="J714" s="72">
        <f t="shared" si="75"/>
        <v>7000</v>
      </c>
      <c r="K714" s="33"/>
    </row>
    <row r="715" spans="1:13">
      <c r="A715" s="305"/>
      <c r="B715" s="35" t="s">
        <v>388</v>
      </c>
      <c r="C715" s="35" t="s">
        <v>396</v>
      </c>
      <c r="D715" s="13" t="s">
        <v>546</v>
      </c>
      <c r="E715" s="13" t="s">
        <v>547</v>
      </c>
      <c r="F715" s="35">
        <v>1</v>
      </c>
      <c r="G715" s="32" t="s">
        <v>571</v>
      </c>
      <c r="H715" s="32">
        <f t="shared" si="74"/>
        <v>1</v>
      </c>
      <c r="I715" s="72">
        <v>3200</v>
      </c>
      <c r="J715" s="72">
        <f t="shared" si="75"/>
        <v>3200</v>
      </c>
      <c r="K715" s="33"/>
    </row>
    <row r="716" spans="1:13">
      <c r="A716" s="305"/>
      <c r="B716" s="35" t="s">
        <v>388</v>
      </c>
      <c r="C716" s="35" t="s">
        <v>396</v>
      </c>
      <c r="D716" s="13" t="s">
        <v>554</v>
      </c>
      <c r="E716" s="13" t="s">
        <v>533</v>
      </c>
      <c r="F716" s="35">
        <v>1</v>
      </c>
      <c r="G716" s="32" t="s">
        <v>686</v>
      </c>
      <c r="H716" s="32">
        <f t="shared" ref="H716" si="76">$G$4*F716</f>
        <v>1</v>
      </c>
      <c r="I716" s="72">
        <v>900</v>
      </c>
      <c r="J716" s="72">
        <f t="shared" si="75"/>
        <v>900</v>
      </c>
      <c r="K716" s="33"/>
    </row>
    <row r="717" spans="1:13">
      <c r="A717" s="305"/>
      <c r="B717" s="35" t="s">
        <v>388</v>
      </c>
      <c r="C717" s="35" t="s">
        <v>396</v>
      </c>
      <c r="D717" s="101" t="s">
        <v>552</v>
      </c>
      <c r="E717" s="98" t="s">
        <v>522</v>
      </c>
      <c r="F717" s="101">
        <v>1</v>
      </c>
      <c r="G717" s="99" t="s">
        <v>560</v>
      </c>
      <c r="H717" s="99">
        <f t="shared" si="72"/>
        <v>1</v>
      </c>
      <c r="I717" s="100">
        <v>63000</v>
      </c>
      <c r="J717" s="100">
        <f t="shared" si="75"/>
        <v>63000</v>
      </c>
      <c r="K717" s="33"/>
    </row>
    <row r="718" spans="1:13">
      <c r="A718" s="305"/>
      <c r="B718" s="35" t="s">
        <v>388</v>
      </c>
      <c r="C718" s="35" t="s">
        <v>396</v>
      </c>
      <c r="D718" s="109" t="s">
        <v>452</v>
      </c>
      <c r="E718" s="112" t="s">
        <v>453</v>
      </c>
      <c r="F718" s="112">
        <v>1</v>
      </c>
      <c r="G718" s="110" t="s">
        <v>235</v>
      </c>
      <c r="H718" s="110">
        <f t="shared" si="72"/>
        <v>1</v>
      </c>
      <c r="I718" s="111">
        <f>(24*2700)+300000</f>
        <v>364800</v>
      </c>
      <c r="J718" s="111">
        <f t="shared" si="75"/>
        <v>364800</v>
      </c>
      <c r="K718" s="33"/>
    </row>
    <row r="719" spans="1:13">
      <c r="A719" s="306"/>
      <c r="B719" s="35" t="s">
        <v>389</v>
      </c>
      <c r="C719" s="37" t="s">
        <v>347</v>
      </c>
      <c r="D719" s="15" t="s">
        <v>636</v>
      </c>
      <c r="E719" s="37" t="s">
        <v>637</v>
      </c>
      <c r="F719" s="37">
        <v>1</v>
      </c>
      <c r="G719" s="38" t="s">
        <v>690</v>
      </c>
      <c r="H719" s="32">
        <f t="shared" si="72"/>
        <v>1</v>
      </c>
      <c r="I719" s="73">
        <f>14000+1500</f>
        <v>15500</v>
      </c>
      <c r="J719" s="72">
        <f t="shared" si="75"/>
        <v>15500</v>
      </c>
      <c r="K719" s="39"/>
    </row>
    <row r="720" spans="1:13" ht="17.5" thickBot="1">
      <c r="A720" s="306"/>
      <c r="B720" s="35" t="s">
        <v>389</v>
      </c>
      <c r="C720" s="37" t="s">
        <v>347</v>
      </c>
      <c r="D720" s="15" t="s">
        <v>1735</v>
      </c>
      <c r="E720" s="13" t="s">
        <v>693</v>
      </c>
      <c r="F720" s="38">
        <v>1</v>
      </c>
      <c r="G720" s="38" t="s">
        <v>1736</v>
      </c>
      <c r="H720" s="38">
        <f t="shared" ref="H720" si="77">$G$4*F720</f>
        <v>1</v>
      </c>
      <c r="I720" s="73">
        <v>6500</v>
      </c>
      <c r="J720" s="73">
        <f t="shared" si="75"/>
        <v>6500</v>
      </c>
      <c r="K720" s="39"/>
    </row>
    <row r="721" spans="1:13" ht="26" thickBot="1">
      <c r="A721" s="307"/>
      <c r="B721" s="42" t="s">
        <v>388</v>
      </c>
      <c r="C721" s="42" t="s">
        <v>396</v>
      </c>
      <c r="D721" s="9" t="s">
        <v>113</v>
      </c>
      <c r="E721" s="42" t="s">
        <v>113</v>
      </c>
      <c r="F721" s="42">
        <v>1</v>
      </c>
      <c r="G721" s="43" t="s">
        <v>240</v>
      </c>
      <c r="H721" s="32">
        <f t="shared" si="72"/>
        <v>1</v>
      </c>
      <c r="I721" s="74">
        <v>13400</v>
      </c>
      <c r="J721" s="74">
        <f t="shared" si="75"/>
        <v>13400</v>
      </c>
      <c r="K721" s="44"/>
      <c r="L721" s="254">
        <f>SUBTOTAL(9,J695:J721)</f>
        <v>754874</v>
      </c>
    </row>
    <row r="722" spans="1:13" hidden="1">
      <c r="A722" s="308">
        <v>28</v>
      </c>
      <c r="B722" s="8" t="s">
        <v>388</v>
      </c>
      <c r="C722" s="8" t="s">
        <v>348</v>
      </c>
      <c r="D722" s="8" t="s">
        <v>379</v>
      </c>
      <c r="E722" s="8" t="s">
        <v>382</v>
      </c>
      <c r="F722" s="8">
        <v>1</v>
      </c>
      <c r="G722" s="5" t="s">
        <v>250</v>
      </c>
      <c r="H722" s="5">
        <f>$K$10*F722</f>
        <v>0</v>
      </c>
      <c r="I722" s="75"/>
      <c r="J722" s="75">
        <f t="shared" si="75"/>
        <v>0</v>
      </c>
      <c r="K722" s="40" t="s">
        <v>238</v>
      </c>
      <c r="L722" s="1"/>
      <c r="M722" s="1"/>
    </row>
    <row r="723" spans="1:13" hidden="1">
      <c r="A723" s="305"/>
      <c r="B723" s="36" t="s">
        <v>388</v>
      </c>
      <c r="C723" s="36" t="s">
        <v>397</v>
      </c>
      <c r="D723" s="34" t="s">
        <v>383</v>
      </c>
      <c r="E723" s="36" t="s">
        <v>384</v>
      </c>
      <c r="F723" s="35">
        <v>8</v>
      </c>
      <c r="G723" s="32" t="s">
        <v>954</v>
      </c>
      <c r="H723" s="32">
        <f t="shared" ref="H723:H745" si="78">$K$10*F723</f>
        <v>0</v>
      </c>
      <c r="I723" s="72"/>
      <c r="J723" s="72">
        <f t="shared" si="75"/>
        <v>0</v>
      </c>
      <c r="K723" s="33"/>
      <c r="L723" s="1"/>
      <c r="M723" s="1"/>
    </row>
    <row r="724" spans="1:13" hidden="1">
      <c r="A724" s="305"/>
      <c r="B724" s="35" t="s">
        <v>388</v>
      </c>
      <c r="C724" s="35" t="s">
        <v>397</v>
      </c>
      <c r="D724" s="13" t="s">
        <v>405</v>
      </c>
      <c r="E724" s="35" t="s">
        <v>414</v>
      </c>
      <c r="F724" s="35">
        <v>1</v>
      </c>
      <c r="G724" s="32" t="s">
        <v>567</v>
      </c>
      <c r="H724" s="32">
        <f t="shared" si="78"/>
        <v>0</v>
      </c>
      <c r="I724" s="76"/>
      <c r="J724" s="76">
        <f t="shared" si="75"/>
        <v>0</v>
      </c>
      <c r="K724" s="33"/>
      <c r="L724" s="1"/>
      <c r="M724" s="1"/>
    </row>
    <row r="725" spans="1:13" hidden="1">
      <c r="A725" s="305"/>
      <c r="B725" s="35" t="s">
        <v>388</v>
      </c>
      <c r="C725" s="35" t="s">
        <v>397</v>
      </c>
      <c r="D725" s="35" t="s">
        <v>411</v>
      </c>
      <c r="E725" s="35" t="s">
        <v>417</v>
      </c>
      <c r="F725" s="35">
        <v>1</v>
      </c>
      <c r="G725" s="32" t="s">
        <v>567</v>
      </c>
      <c r="H725" s="32">
        <f t="shared" si="78"/>
        <v>0</v>
      </c>
      <c r="I725" s="76"/>
      <c r="J725" s="76">
        <f t="shared" si="75"/>
        <v>0</v>
      </c>
      <c r="K725" s="33"/>
      <c r="L725" s="1"/>
      <c r="M725" s="1"/>
    </row>
    <row r="726" spans="1:13" hidden="1">
      <c r="A726" s="305"/>
      <c r="B726" s="35" t="s">
        <v>388</v>
      </c>
      <c r="C726" s="35" t="s">
        <v>397</v>
      </c>
      <c r="D726" s="35" t="s">
        <v>408</v>
      </c>
      <c r="E726" s="35" t="s">
        <v>419</v>
      </c>
      <c r="F726" s="35">
        <v>1</v>
      </c>
      <c r="G726" s="32" t="s">
        <v>567</v>
      </c>
      <c r="H726" s="32">
        <f t="shared" si="78"/>
        <v>0</v>
      </c>
      <c r="I726" s="76"/>
      <c r="J726" s="76">
        <f t="shared" si="75"/>
        <v>0</v>
      </c>
      <c r="K726" s="33"/>
      <c r="L726" s="1"/>
      <c r="M726" s="1"/>
    </row>
    <row r="727" spans="1:13" hidden="1">
      <c r="A727" s="305"/>
      <c r="B727" s="35" t="s">
        <v>388</v>
      </c>
      <c r="C727" s="35" t="s">
        <v>397</v>
      </c>
      <c r="D727" s="13" t="s">
        <v>559</v>
      </c>
      <c r="E727" s="35" t="s">
        <v>402</v>
      </c>
      <c r="F727" s="35">
        <v>1</v>
      </c>
      <c r="G727" s="32" t="s">
        <v>569</v>
      </c>
      <c r="H727" s="32">
        <f t="shared" si="78"/>
        <v>0</v>
      </c>
      <c r="I727" s="72"/>
      <c r="J727" s="72">
        <f t="shared" si="75"/>
        <v>0</v>
      </c>
      <c r="K727" s="33"/>
      <c r="L727" s="1"/>
      <c r="M727" s="1"/>
    </row>
    <row r="728" spans="1:13" hidden="1">
      <c r="A728" s="305"/>
      <c r="B728" s="35" t="s">
        <v>388</v>
      </c>
      <c r="C728" s="35" t="s">
        <v>397</v>
      </c>
      <c r="D728" s="35" t="s">
        <v>557</v>
      </c>
      <c r="E728" s="35" t="s">
        <v>423</v>
      </c>
      <c r="F728" s="35">
        <v>2</v>
      </c>
      <c r="G728" s="32" t="s">
        <v>561</v>
      </c>
      <c r="H728" s="32">
        <f t="shared" si="78"/>
        <v>0</v>
      </c>
      <c r="I728" s="72"/>
      <c r="J728" s="72">
        <f t="shared" si="75"/>
        <v>0</v>
      </c>
      <c r="K728" s="33"/>
      <c r="L728" s="1"/>
      <c r="M728" s="1"/>
    </row>
    <row r="729" spans="1:13" hidden="1">
      <c r="A729" s="305"/>
      <c r="B729" s="35" t="s">
        <v>388</v>
      </c>
      <c r="C729" s="35" t="s">
        <v>397</v>
      </c>
      <c r="D729" s="35" t="s">
        <v>558</v>
      </c>
      <c r="E729" s="35" t="s">
        <v>421</v>
      </c>
      <c r="F729" s="35">
        <v>2</v>
      </c>
      <c r="G729" s="32" t="s">
        <v>561</v>
      </c>
      <c r="H729" s="32">
        <f t="shared" si="78"/>
        <v>0</v>
      </c>
      <c r="I729" s="72"/>
      <c r="J729" s="72">
        <f t="shared" si="75"/>
        <v>0</v>
      </c>
      <c r="K729" s="33"/>
      <c r="L729" s="1"/>
      <c r="M729" s="1"/>
    </row>
    <row r="730" spans="1:13" hidden="1">
      <c r="A730" s="305"/>
      <c r="B730" s="35" t="s">
        <v>388</v>
      </c>
      <c r="C730" s="35" t="s">
        <v>397</v>
      </c>
      <c r="D730" s="35" t="s">
        <v>545</v>
      </c>
      <c r="E730" s="35" t="s">
        <v>426</v>
      </c>
      <c r="F730" s="35">
        <v>3</v>
      </c>
      <c r="G730" s="32" t="s">
        <v>561</v>
      </c>
      <c r="H730" s="32">
        <f t="shared" si="78"/>
        <v>0</v>
      </c>
      <c r="I730" s="72"/>
      <c r="J730" s="72">
        <f t="shared" si="75"/>
        <v>0</v>
      </c>
      <c r="K730" s="33"/>
      <c r="L730" s="1"/>
      <c r="M730" s="1"/>
    </row>
    <row r="731" spans="1:13" hidden="1">
      <c r="A731" s="305"/>
      <c r="B731" s="35" t="s">
        <v>388</v>
      </c>
      <c r="C731" s="35" t="s">
        <v>397</v>
      </c>
      <c r="D731" s="35" t="s">
        <v>539</v>
      </c>
      <c r="E731" s="35" t="s">
        <v>428</v>
      </c>
      <c r="F731" s="35">
        <v>1</v>
      </c>
      <c r="G731" s="32" t="s">
        <v>562</v>
      </c>
      <c r="H731" s="32">
        <f t="shared" si="78"/>
        <v>0</v>
      </c>
      <c r="I731" s="72"/>
      <c r="J731" s="72">
        <f t="shared" si="75"/>
        <v>0</v>
      </c>
      <c r="K731" s="33"/>
      <c r="L731" s="1"/>
      <c r="M731" s="1"/>
    </row>
    <row r="732" spans="1:13" hidden="1">
      <c r="A732" s="305"/>
      <c r="B732" s="36" t="s">
        <v>388</v>
      </c>
      <c r="C732" s="36" t="s">
        <v>397</v>
      </c>
      <c r="D732" s="36" t="s">
        <v>540</v>
      </c>
      <c r="E732" s="36" t="s">
        <v>429</v>
      </c>
      <c r="F732" s="35">
        <v>1</v>
      </c>
      <c r="G732" s="32" t="s">
        <v>568</v>
      </c>
      <c r="H732" s="32">
        <f t="shared" si="78"/>
        <v>0</v>
      </c>
      <c r="I732" s="72"/>
      <c r="J732" s="72">
        <f t="shared" si="75"/>
        <v>0</v>
      </c>
      <c r="K732" s="33"/>
      <c r="L732" s="1"/>
      <c r="M732" s="1"/>
    </row>
    <row r="733" spans="1:13" hidden="1">
      <c r="A733" s="305"/>
      <c r="B733" s="35" t="s">
        <v>388</v>
      </c>
      <c r="C733" s="35" t="s">
        <v>397</v>
      </c>
      <c r="D733" s="35" t="s">
        <v>433</v>
      </c>
      <c r="E733" s="35" t="s">
        <v>431</v>
      </c>
      <c r="F733" s="35">
        <v>1</v>
      </c>
      <c r="G733" s="32" t="s">
        <v>561</v>
      </c>
      <c r="H733" s="32">
        <f t="shared" si="78"/>
        <v>0</v>
      </c>
      <c r="I733" s="76"/>
      <c r="J733" s="76">
        <f t="shared" si="75"/>
        <v>0</v>
      </c>
      <c r="K733" s="33"/>
      <c r="L733" s="1"/>
      <c r="M733" s="1"/>
    </row>
    <row r="734" spans="1:13" hidden="1">
      <c r="A734" s="305"/>
      <c r="B734" s="35" t="s">
        <v>388</v>
      </c>
      <c r="C734" s="35" t="s">
        <v>397</v>
      </c>
      <c r="D734" s="35" t="s">
        <v>438</v>
      </c>
      <c r="E734" s="35" t="s">
        <v>435</v>
      </c>
      <c r="F734" s="35">
        <v>1</v>
      </c>
      <c r="G734" s="32" t="s">
        <v>561</v>
      </c>
      <c r="H734" s="32">
        <f t="shared" si="78"/>
        <v>0</v>
      </c>
      <c r="I734" s="76"/>
      <c r="J734" s="76">
        <f t="shared" si="75"/>
        <v>0</v>
      </c>
      <c r="K734" s="33"/>
      <c r="L734" s="1"/>
      <c r="M734" s="1"/>
    </row>
    <row r="735" spans="1:13" hidden="1">
      <c r="A735" s="305"/>
      <c r="B735" s="35" t="s">
        <v>388</v>
      </c>
      <c r="C735" s="35" t="s">
        <v>397</v>
      </c>
      <c r="D735" s="35" t="s">
        <v>437</v>
      </c>
      <c r="E735" s="35" t="s">
        <v>613</v>
      </c>
      <c r="F735" s="32">
        <v>2</v>
      </c>
      <c r="G735" s="32" t="s">
        <v>561</v>
      </c>
      <c r="H735" s="32">
        <f t="shared" si="78"/>
        <v>0</v>
      </c>
      <c r="I735" s="76"/>
      <c r="J735" s="76">
        <f t="shared" si="75"/>
        <v>0</v>
      </c>
      <c r="K735" s="33"/>
      <c r="L735" s="1"/>
      <c r="M735" s="1"/>
    </row>
    <row r="736" spans="1:13" hidden="1">
      <c r="A736" s="305"/>
      <c r="B736" s="36" t="s">
        <v>388</v>
      </c>
      <c r="C736" s="36" t="s">
        <v>397</v>
      </c>
      <c r="D736" s="34" t="s">
        <v>529</v>
      </c>
      <c r="E736" s="34" t="s">
        <v>530</v>
      </c>
      <c r="F736" s="35">
        <v>1</v>
      </c>
      <c r="G736" s="32" t="s">
        <v>566</v>
      </c>
      <c r="H736" s="32">
        <f t="shared" si="78"/>
        <v>0</v>
      </c>
      <c r="I736" s="72"/>
      <c r="J736" s="72">
        <f t="shared" si="75"/>
        <v>0</v>
      </c>
      <c r="K736" s="33"/>
      <c r="L736" s="1"/>
      <c r="M736" s="1"/>
    </row>
    <row r="737" spans="1:13" hidden="1">
      <c r="A737" s="305"/>
      <c r="B737" s="36" t="s">
        <v>388</v>
      </c>
      <c r="C737" s="36" t="s">
        <v>397</v>
      </c>
      <c r="D737" s="34" t="s">
        <v>531</v>
      </c>
      <c r="E737" s="34" t="s">
        <v>532</v>
      </c>
      <c r="F737" s="35">
        <v>1</v>
      </c>
      <c r="G737" s="32" t="s">
        <v>566</v>
      </c>
      <c r="H737" s="32">
        <f t="shared" si="78"/>
        <v>0</v>
      </c>
      <c r="I737" s="72"/>
      <c r="J737" s="72">
        <f t="shared" si="75"/>
        <v>0</v>
      </c>
      <c r="K737" s="33"/>
      <c r="L737" s="1"/>
      <c r="M737" s="1"/>
    </row>
    <row r="738" spans="1:13" hidden="1">
      <c r="A738" s="305"/>
      <c r="B738" s="36" t="s">
        <v>388</v>
      </c>
      <c r="C738" s="36" t="s">
        <v>397</v>
      </c>
      <c r="D738" s="34" t="s">
        <v>443</v>
      </c>
      <c r="E738" s="36" t="s">
        <v>442</v>
      </c>
      <c r="F738" s="35">
        <v>1</v>
      </c>
      <c r="G738" s="32" t="s">
        <v>570</v>
      </c>
      <c r="H738" s="32">
        <f t="shared" si="78"/>
        <v>0</v>
      </c>
      <c r="I738" s="72"/>
      <c r="J738" s="72">
        <f t="shared" si="75"/>
        <v>0</v>
      </c>
      <c r="K738" s="33"/>
      <c r="L738" s="1"/>
      <c r="M738" s="1"/>
    </row>
    <row r="739" spans="1:13" hidden="1">
      <c r="A739" s="305"/>
      <c r="B739" s="36" t="s">
        <v>388</v>
      </c>
      <c r="C739" s="36" t="s">
        <v>397</v>
      </c>
      <c r="D739" s="34" t="s">
        <v>441</v>
      </c>
      <c r="E739" s="36" t="s">
        <v>440</v>
      </c>
      <c r="F739" s="35">
        <v>1</v>
      </c>
      <c r="G739" s="32" t="s">
        <v>570</v>
      </c>
      <c r="H739" s="32">
        <f t="shared" si="78"/>
        <v>0</v>
      </c>
      <c r="I739" s="72"/>
      <c r="J739" s="72">
        <f t="shared" si="75"/>
        <v>0</v>
      </c>
      <c r="K739" s="33"/>
      <c r="L739" s="1"/>
      <c r="M739" s="1"/>
    </row>
    <row r="740" spans="1:13" hidden="1">
      <c r="A740" s="305"/>
      <c r="B740" s="36" t="s">
        <v>388</v>
      </c>
      <c r="C740" s="36" t="s">
        <v>397</v>
      </c>
      <c r="D740" s="34" t="s">
        <v>546</v>
      </c>
      <c r="E740" s="34" t="s">
        <v>547</v>
      </c>
      <c r="F740" s="35">
        <v>1</v>
      </c>
      <c r="G740" s="32" t="s">
        <v>571</v>
      </c>
      <c r="H740" s="32">
        <f t="shared" si="78"/>
        <v>0</v>
      </c>
      <c r="I740" s="72"/>
      <c r="J740" s="72">
        <f t="shared" si="75"/>
        <v>0</v>
      </c>
      <c r="K740" s="33"/>
      <c r="L740" s="1"/>
      <c r="M740" s="1"/>
    </row>
    <row r="741" spans="1:13" hidden="1">
      <c r="A741" s="305"/>
      <c r="B741" s="36" t="s">
        <v>388</v>
      </c>
      <c r="C741" s="36" t="s">
        <v>397</v>
      </c>
      <c r="D741" s="34" t="s">
        <v>554</v>
      </c>
      <c r="E741" s="34" t="s">
        <v>533</v>
      </c>
      <c r="F741" s="35">
        <v>1</v>
      </c>
      <c r="G741" s="32" t="s">
        <v>571</v>
      </c>
      <c r="H741" s="32">
        <f t="shared" si="78"/>
        <v>0</v>
      </c>
      <c r="I741" s="72"/>
      <c r="J741" s="72">
        <f t="shared" si="75"/>
        <v>0</v>
      </c>
      <c r="K741" s="33"/>
      <c r="L741" s="1"/>
      <c r="M741" s="1"/>
    </row>
    <row r="742" spans="1:13" hidden="1">
      <c r="A742" s="305"/>
      <c r="B742" s="35" t="s">
        <v>388</v>
      </c>
      <c r="C742" s="35" t="s">
        <v>397</v>
      </c>
      <c r="D742" s="35" t="s">
        <v>552</v>
      </c>
      <c r="E742" s="13" t="s">
        <v>522</v>
      </c>
      <c r="F742" s="35">
        <v>1</v>
      </c>
      <c r="G742" s="32" t="s">
        <v>560</v>
      </c>
      <c r="H742" s="32">
        <f t="shared" si="78"/>
        <v>0</v>
      </c>
      <c r="I742" s="72">
        <v>45300</v>
      </c>
      <c r="J742" s="72">
        <f t="shared" si="75"/>
        <v>0</v>
      </c>
      <c r="K742" s="33"/>
      <c r="L742" s="1"/>
      <c r="M742" s="1"/>
    </row>
    <row r="743" spans="1:13" hidden="1">
      <c r="A743" s="305"/>
      <c r="B743" s="35" t="s">
        <v>388</v>
      </c>
      <c r="C743" s="35" t="s">
        <v>397</v>
      </c>
      <c r="D743" s="35" t="s">
        <v>550</v>
      </c>
      <c r="E743" s="35" t="s">
        <v>454</v>
      </c>
      <c r="F743" s="35">
        <v>1</v>
      </c>
      <c r="G743" s="32" t="s">
        <v>235</v>
      </c>
      <c r="H743" s="32">
        <f t="shared" si="78"/>
        <v>0</v>
      </c>
      <c r="I743" s="72"/>
      <c r="J743" s="72">
        <f t="shared" si="75"/>
        <v>0</v>
      </c>
      <c r="K743" s="33"/>
      <c r="L743" s="1"/>
      <c r="M743" s="1"/>
    </row>
    <row r="744" spans="1:13" hidden="1">
      <c r="A744" s="306"/>
      <c r="B744" s="36" t="s">
        <v>389</v>
      </c>
      <c r="C744" s="45" t="s">
        <v>348</v>
      </c>
      <c r="D744" s="46" t="s">
        <v>636</v>
      </c>
      <c r="E744" s="45" t="s">
        <v>637</v>
      </c>
      <c r="F744" s="37">
        <v>1</v>
      </c>
      <c r="G744" s="38"/>
      <c r="H744" s="38"/>
      <c r="I744" s="73"/>
      <c r="J744" s="73"/>
      <c r="K744" s="39"/>
      <c r="L744" s="1"/>
      <c r="M744" s="1"/>
    </row>
    <row r="745" spans="1:13" ht="17.5" hidden="1" thickBot="1">
      <c r="A745" s="309"/>
      <c r="B745" s="45" t="s">
        <v>388</v>
      </c>
      <c r="C745" s="45" t="s">
        <v>397</v>
      </c>
      <c r="D745" s="46" t="s">
        <v>113</v>
      </c>
      <c r="E745" s="45" t="s">
        <v>113</v>
      </c>
      <c r="F745" s="37">
        <v>1</v>
      </c>
      <c r="G745" s="38" t="s">
        <v>240</v>
      </c>
      <c r="H745" s="38">
        <f t="shared" si="78"/>
        <v>0</v>
      </c>
      <c r="I745" s="73"/>
      <c r="J745" s="73">
        <f t="shared" si="75"/>
        <v>0</v>
      </c>
      <c r="K745" s="39"/>
      <c r="L745" s="1"/>
      <c r="M745" s="1"/>
    </row>
    <row r="746" spans="1:13">
      <c r="A746" s="304">
        <v>29</v>
      </c>
      <c r="B746" s="47" t="s">
        <v>388</v>
      </c>
      <c r="C746" s="47" t="s">
        <v>349</v>
      </c>
      <c r="D746" s="47" t="s">
        <v>379</v>
      </c>
      <c r="E746" s="47" t="s">
        <v>382</v>
      </c>
      <c r="F746" s="47">
        <v>1</v>
      </c>
      <c r="G746" s="30" t="s">
        <v>250</v>
      </c>
      <c r="H746" s="30">
        <f t="shared" ref="H746:H760" si="79">$K$11*F746</f>
        <v>1</v>
      </c>
      <c r="I746" s="77">
        <f>118000+53000</f>
        <v>171000</v>
      </c>
      <c r="J746" s="77">
        <f t="shared" si="75"/>
        <v>171000</v>
      </c>
      <c r="K746" s="31" t="s">
        <v>238</v>
      </c>
      <c r="L746" s="59"/>
      <c r="M746" s="59"/>
    </row>
    <row r="747" spans="1:13">
      <c r="A747" s="305"/>
      <c r="B747" s="35" t="s">
        <v>388</v>
      </c>
      <c r="C747" s="35" t="s">
        <v>398</v>
      </c>
      <c r="D747" s="13" t="s">
        <v>383</v>
      </c>
      <c r="E747" s="35" t="s">
        <v>384</v>
      </c>
      <c r="F747" s="35">
        <v>8</v>
      </c>
      <c r="G747" s="32" t="s">
        <v>954</v>
      </c>
      <c r="H747" s="32">
        <f t="shared" si="79"/>
        <v>8</v>
      </c>
      <c r="I747" s="72">
        <v>2470</v>
      </c>
      <c r="J747" s="72">
        <f t="shared" si="75"/>
        <v>19760</v>
      </c>
      <c r="K747" s="33"/>
    </row>
    <row r="748" spans="1:13">
      <c r="A748" s="305"/>
      <c r="B748" s="35" t="s">
        <v>388</v>
      </c>
      <c r="C748" s="35" t="s">
        <v>398</v>
      </c>
      <c r="D748" s="13" t="s">
        <v>405</v>
      </c>
      <c r="E748" s="35" t="s">
        <v>978</v>
      </c>
      <c r="F748" s="35">
        <v>1</v>
      </c>
      <c r="G748" s="13" t="s">
        <v>1733</v>
      </c>
      <c r="H748" s="32">
        <f t="shared" si="79"/>
        <v>1</v>
      </c>
      <c r="I748" s="301">
        <v>30594</v>
      </c>
      <c r="J748" s="298">
        <f t="shared" si="75"/>
        <v>30594</v>
      </c>
      <c r="K748" s="33"/>
      <c r="L748" s="59"/>
      <c r="M748" s="59"/>
    </row>
    <row r="749" spans="1:13">
      <c r="A749" s="305"/>
      <c r="B749" s="35" t="s">
        <v>388</v>
      </c>
      <c r="C749" s="35" t="s">
        <v>398</v>
      </c>
      <c r="D749" s="35" t="s">
        <v>411</v>
      </c>
      <c r="E749" s="35" t="s">
        <v>981</v>
      </c>
      <c r="F749" s="35">
        <v>1</v>
      </c>
      <c r="G749" s="13" t="s">
        <v>1733</v>
      </c>
      <c r="H749" s="32">
        <f t="shared" si="79"/>
        <v>1</v>
      </c>
      <c r="I749" s="302"/>
      <c r="J749" s="299"/>
      <c r="K749" s="33"/>
      <c r="L749" s="59"/>
      <c r="M749" s="59"/>
    </row>
    <row r="750" spans="1:13">
      <c r="A750" s="305"/>
      <c r="B750" s="35" t="s">
        <v>388</v>
      </c>
      <c r="C750" s="35" t="s">
        <v>398</v>
      </c>
      <c r="D750" s="35" t="s">
        <v>408</v>
      </c>
      <c r="E750" s="35" t="s">
        <v>982</v>
      </c>
      <c r="F750" s="35">
        <v>1</v>
      </c>
      <c r="G750" s="13" t="s">
        <v>1733</v>
      </c>
      <c r="H750" s="32">
        <f t="shared" si="79"/>
        <v>1</v>
      </c>
      <c r="I750" s="303"/>
      <c r="J750" s="300"/>
      <c r="K750" s="33"/>
      <c r="L750" s="59"/>
      <c r="M750" s="59"/>
    </row>
    <row r="751" spans="1:13">
      <c r="A751" s="305"/>
      <c r="B751" s="35" t="s">
        <v>388</v>
      </c>
      <c r="C751" s="35" t="s">
        <v>398</v>
      </c>
      <c r="D751" s="35" t="s">
        <v>487</v>
      </c>
      <c r="E751" s="35" t="s">
        <v>400</v>
      </c>
      <c r="F751" s="35">
        <v>1</v>
      </c>
      <c r="G751" s="32" t="s">
        <v>569</v>
      </c>
      <c r="H751" s="32">
        <f t="shared" si="79"/>
        <v>1</v>
      </c>
      <c r="I751" s="72">
        <v>5000</v>
      </c>
      <c r="J751" s="76">
        <v>4500</v>
      </c>
      <c r="K751" s="33"/>
      <c r="L751" s="59"/>
      <c r="M751" s="59"/>
    </row>
    <row r="752" spans="1:13">
      <c r="A752" s="305"/>
      <c r="B752" s="35" t="s">
        <v>388</v>
      </c>
      <c r="C752" s="35" t="s">
        <v>398</v>
      </c>
      <c r="D752" s="13" t="s">
        <v>526</v>
      </c>
      <c r="E752" s="35" t="s">
        <v>524</v>
      </c>
      <c r="F752" s="35">
        <v>12</v>
      </c>
      <c r="G752" s="32" t="s">
        <v>731</v>
      </c>
      <c r="H752" s="32">
        <f t="shared" ref="H752" si="80">$G$8*F752</f>
        <v>12</v>
      </c>
      <c r="I752" s="72">
        <v>2600</v>
      </c>
      <c r="J752" s="72">
        <f t="shared" si="75"/>
        <v>31200</v>
      </c>
      <c r="K752" s="33"/>
    </row>
    <row r="753" spans="1:14">
      <c r="A753" s="305"/>
      <c r="B753" s="35" t="s">
        <v>388</v>
      </c>
      <c r="C753" s="35" t="s">
        <v>398</v>
      </c>
      <c r="D753" s="35" t="s">
        <v>557</v>
      </c>
      <c r="E753" s="35" t="s">
        <v>986</v>
      </c>
      <c r="F753" s="35">
        <v>2</v>
      </c>
      <c r="G753" s="32" t="s">
        <v>955</v>
      </c>
      <c r="H753" s="32">
        <f t="shared" si="79"/>
        <v>2</v>
      </c>
      <c r="I753" s="72">
        <v>400</v>
      </c>
      <c r="J753" s="72">
        <f t="shared" si="75"/>
        <v>800</v>
      </c>
      <c r="K753" s="33"/>
    </row>
    <row r="754" spans="1:14">
      <c r="A754" s="305"/>
      <c r="B754" s="35" t="s">
        <v>388</v>
      </c>
      <c r="C754" s="35" t="s">
        <v>398</v>
      </c>
      <c r="D754" s="35" t="s">
        <v>558</v>
      </c>
      <c r="E754" s="35" t="s">
        <v>987</v>
      </c>
      <c r="F754" s="35">
        <v>2</v>
      </c>
      <c r="G754" s="32" t="s">
        <v>955</v>
      </c>
      <c r="H754" s="32">
        <f t="shared" si="79"/>
        <v>2</v>
      </c>
      <c r="I754" s="72">
        <v>400</v>
      </c>
      <c r="J754" s="72">
        <f t="shared" si="75"/>
        <v>800</v>
      </c>
      <c r="K754" s="33"/>
    </row>
    <row r="755" spans="1:14">
      <c r="A755" s="305"/>
      <c r="B755" s="35" t="s">
        <v>388</v>
      </c>
      <c r="C755" s="35" t="s">
        <v>398</v>
      </c>
      <c r="D755" s="35" t="s">
        <v>545</v>
      </c>
      <c r="E755" s="35" t="s">
        <v>426</v>
      </c>
      <c r="F755" s="35">
        <v>3</v>
      </c>
      <c r="G755" s="32" t="s">
        <v>955</v>
      </c>
      <c r="H755" s="32">
        <f t="shared" si="79"/>
        <v>3</v>
      </c>
      <c r="I755" s="72">
        <v>1500</v>
      </c>
      <c r="J755" s="72">
        <f t="shared" si="75"/>
        <v>4500</v>
      </c>
      <c r="K755" s="33"/>
    </row>
    <row r="756" spans="1:14">
      <c r="A756" s="305"/>
      <c r="B756" s="35" t="s">
        <v>388</v>
      </c>
      <c r="C756" s="35" t="s">
        <v>398</v>
      </c>
      <c r="D756" s="35" t="s">
        <v>539</v>
      </c>
      <c r="E756" s="35" t="s">
        <v>428</v>
      </c>
      <c r="F756" s="35">
        <v>1</v>
      </c>
      <c r="G756" s="32" t="s">
        <v>680</v>
      </c>
      <c r="H756" s="32">
        <f t="shared" ref="H756" si="81">$G$4*F756</f>
        <v>1</v>
      </c>
      <c r="I756" s="72">
        <v>7500</v>
      </c>
      <c r="J756" s="72">
        <f t="shared" si="75"/>
        <v>7500</v>
      </c>
      <c r="K756" s="33"/>
    </row>
    <row r="757" spans="1:14">
      <c r="A757" s="305"/>
      <c r="B757" s="35" t="s">
        <v>388</v>
      </c>
      <c r="C757" s="35" t="s">
        <v>398</v>
      </c>
      <c r="D757" s="35" t="s">
        <v>964</v>
      </c>
      <c r="E757" s="35" t="s">
        <v>962</v>
      </c>
      <c r="F757" s="35">
        <v>1</v>
      </c>
      <c r="G757" s="32" t="s">
        <v>957</v>
      </c>
      <c r="H757" s="32">
        <f t="shared" si="79"/>
        <v>1</v>
      </c>
      <c r="I757" s="72">
        <v>3600</v>
      </c>
      <c r="J757" s="72">
        <f t="shared" si="75"/>
        <v>3600</v>
      </c>
      <c r="K757" s="33"/>
    </row>
    <row r="758" spans="1:14">
      <c r="A758" s="305"/>
      <c r="B758" s="35" t="s">
        <v>388</v>
      </c>
      <c r="C758" s="35" t="s">
        <v>398</v>
      </c>
      <c r="D758" s="35" t="s">
        <v>433</v>
      </c>
      <c r="E758" s="35" t="s">
        <v>431</v>
      </c>
      <c r="F758" s="35">
        <v>1</v>
      </c>
      <c r="G758" s="32" t="s">
        <v>955</v>
      </c>
      <c r="H758" s="32">
        <f t="shared" si="79"/>
        <v>1</v>
      </c>
      <c r="I758" s="76">
        <v>3750</v>
      </c>
      <c r="J758" s="76">
        <f t="shared" si="75"/>
        <v>3750</v>
      </c>
      <c r="K758" s="33"/>
      <c r="L758" s="59"/>
      <c r="M758" s="59"/>
    </row>
    <row r="759" spans="1:14">
      <c r="A759" s="305"/>
      <c r="B759" s="35" t="s">
        <v>388</v>
      </c>
      <c r="C759" s="35" t="s">
        <v>398</v>
      </c>
      <c r="D759" s="35" t="s">
        <v>438</v>
      </c>
      <c r="E759" s="35" t="s">
        <v>435</v>
      </c>
      <c r="F759" s="35">
        <v>1</v>
      </c>
      <c r="G759" s="32" t="s">
        <v>955</v>
      </c>
      <c r="H759" s="32">
        <f t="shared" si="79"/>
        <v>1</v>
      </c>
      <c r="I759" s="76">
        <v>3750</v>
      </c>
      <c r="J759" s="76">
        <f t="shared" si="75"/>
        <v>3750</v>
      </c>
      <c r="K759" s="33"/>
      <c r="L759" s="59"/>
      <c r="M759" s="59"/>
    </row>
    <row r="760" spans="1:14">
      <c r="A760" s="305"/>
      <c r="B760" s="35" t="s">
        <v>388</v>
      </c>
      <c r="C760" s="35" t="s">
        <v>398</v>
      </c>
      <c r="D760" s="35" t="s">
        <v>437</v>
      </c>
      <c r="E760" s="35" t="s">
        <v>613</v>
      </c>
      <c r="F760" s="32">
        <v>2</v>
      </c>
      <c r="G760" s="32" t="s">
        <v>955</v>
      </c>
      <c r="H760" s="32">
        <f t="shared" si="79"/>
        <v>2</v>
      </c>
      <c r="I760" s="76">
        <v>7500</v>
      </c>
      <c r="J760" s="76">
        <f t="shared" si="75"/>
        <v>15000</v>
      </c>
      <c r="K760" s="33"/>
      <c r="L760" s="59"/>
      <c r="M760" s="59"/>
    </row>
    <row r="761" spans="1:14">
      <c r="A761" s="305"/>
      <c r="B761" s="35" t="s">
        <v>388</v>
      </c>
      <c r="C761" s="35" t="s">
        <v>398</v>
      </c>
      <c r="D761" s="13" t="s">
        <v>529</v>
      </c>
      <c r="E761" s="13" t="s">
        <v>530</v>
      </c>
      <c r="F761" s="35">
        <v>1</v>
      </c>
      <c r="G761" s="32" t="s">
        <v>681</v>
      </c>
      <c r="H761" s="32">
        <f t="shared" ref="H761:H771" si="82">$G$4*F761</f>
        <v>1</v>
      </c>
      <c r="I761" s="72">
        <v>2520</v>
      </c>
      <c r="J761" s="72">
        <f t="shared" si="75"/>
        <v>2520</v>
      </c>
      <c r="K761" s="33"/>
    </row>
    <row r="762" spans="1:14">
      <c r="A762" s="305"/>
      <c r="B762" s="35" t="s">
        <v>388</v>
      </c>
      <c r="C762" s="35" t="s">
        <v>398</v>
      </c>
      <c r="D762" s="13" t="s">
        <v>531</v>
      </c>
      <c r="E762" s="13" t="s">
        <v>532</v>
      </c>
      <c r="F762" s="35">
        <v>1</v>
      </c>
      <c r="G762" s="32" t="s">
        <v>976</v>
      </c>
      <c r="H762" s="32">
        <f t="shared" si="82"/>
        <v>1</v>
      </c>
      <c r="I762" s="72">
        <v>5500</v>
      </c>
      <c r="J762" s="72">
        <f t="shared" si="75"/>
        <v>5500</v>
      </c>
      <c r="K762" s="33"/>
    </row>
    <row r="763" spans="1:14">
      <c r="A763" s="305"/>
      <c r="B763" s="35" t="s">
        <v>388</v>
      </c>
      <c r="C763" s="35" t="s">
        <v>398</v>
      </c>
      <c r="D763" s="13" t="s">
        <v>443</v>
      </c>
      <c r="E763" s="35" t="s">
        <v>442</v>
      </c>
      <c r="F763" s="35">
        <v>1</v>
      </c>
      <c r="G763" s="32" t="s">
        <v>678</v>
      </c>
      <c r="H763" s="32">
        <f t="shared" si="82"/>
        <v>1</v>
      </c>
      <c r="I763" s="72">
        <v>7000</v>
      </c>
      <c r="J763" s="72">
        <f t="shared" si="75"/>
        <v>7000</v>
      </c>
      <c r="K763" s="33"/>
    </row>
    <row r="764" spans="1:14">
      <c r="A764" s="305"/>
      <c r="B764" s="35" t="s">
        <v>388</v>
      </c>
      <c r="C764" s="35" t="s">
        <v>398</v>
      </c>
      <c r="D764" s="13" t="s">
        <v>441</v>
      </c>
      <c r="E764" s="35" t="s">
        <v>440</v>
      </c>
      <c r="F764" s="35">
        <v>1</v>
      </c>
      <c r="G764" s="32" t="s">
        <v>678</v>
      </c>
      <c r="H764" s="32">
        <f t="shared" si="82"/>
        <v>1</v>
      </c>
      <c r="I764" s="72">
        <v>7000</v>
      </c>
      <c r="J764" s="72">
        <f t="shared" si="75"/>
        <v>7000</v>
      </c>
      <c r="K764" s="33"/>
    </row>
    <row r="765" spans="1:14">
      <c r="A765" s="305"/>
      <c r="B765" s="35" t="s">
        <v>388</v>
      </c>
      <c r="C765" s="35" t="s">
        <v>398</v>
      </c>
      <c r="D765" s="13" t="s">
        <v>546</v>
      </c>
      <c r="E765" s="13" t="s">
        <v>547</v>
      </c>
      <c r="F765" s="35">
        <v>1</v>
      </c>
      <c r="G765" s="32" t="s">
        <v>571</v>
      </c>
      <c r="H765" s="32">
        <f t="shared" si="82"/>
        <v>1</v>
      </c>
      <c r="I765" s="72">
        <v>3200</v>
      </c>
      <c r="J765" s="72">
        <f t="shared" si="75"/>
        <v>3200</v>
      </c>
      <c r="K765" s="33"/>
    </row>
    <row r="766" spans="1:14">
      <c r="A766" s="305"/>
      <c r="B766" s="35" t="s">
        <v>388</v>
      </c>
      <c r="C766" s="35" t="s">
        <v>398</v>
      </c>
      <c r="D766" s="13" t="s">
        <v>554</v>
      </c>
      <c r="E766" s="13" t="s">
        <v>533</v>
      </c>
      <c r="F766" s="35">
        <v>1</v>
      </c>
      <c r="G766" s="32" t="s">
        <v>686</v>
      </c>
      <c r="H766" s="32">
        <f t="shared" si="82"/>
        <v>1</v>
      </c>
      <c r="I766" s="72">
        <v>900</v>
      </c>
      <c r="J766" s="72">
        <f t="shared" si="75"/>
        <v>900</v>
      </c>
      <c r="K766" s="33"/>
    </row>
    <row r="767" spans="1:14" ht="17.5">
      <c r="A767" s="305"/>
      <c r="B767" s="35" t="s">
        <v>388</v>
      </c>
      <c r="C767" s="35" t="s">
        <v>398</v>
      </c>
      <c r="D767" s="101" t="s">
        <v>552</v>
      </c>
      <c r="E767" s="98" t="s">
        <v>522</v>
      </c>
      <c r="F767" s="101">
        <v>1</v>
      </c>
      <c r="G767" s="99" t="s">
        <v>560</v>
      </c>
      <c r="H767" s="99">
        <f t="shared" si="82"/>
        <v>1</v>
      </c>
      <c r="I767" s="100">
        <v>63000</v>
      </c>
      <c r="J767" s="100">
        <f t="shared" si="75"/>
        <v>63000</v>
      </c>
      <c r="K767" s="33"/>
      <c r="M767" s="213" t="s">
        <v>1557</v>
      </c>
      <c r="N767" s="214">
        <f>L771*7%</f>
        <v>55025.180000000008</v>
      </c>
    </row>
    <row r="768" spans="1:14" ht="17.5">
      <c r="A768" s="305"/>
      <c r="B768" s="35" t="s">
        <v>388</v>
      </c>
      <c r="C768" s="35" t="s">
        <v>398</v>
      </c>
      <c r="D768" s="109" t="s">
        <v>452</v>
      </c>
      <c r="E768" s="112" t="s">
        <v>453</v>
      </c>
      <c r="F768" s="112">
        <v>1</v>
      </c>
      <c r="G768" s="110" t="s">
        <v>235</v>
      </c>
      <c r="H768" s="110">
        <f t="shared" si="82"/>
        <v>1</v>
      </c>
      <c r="I768" s="111">
        <f>(24*2700)+300000</f>
        <v>364800</v>
      </c>
      <c r="J768" s="111">
        <f t="shared" si="75"/>
        <v>364800</v>
      </c>
      <c r="K768" s="33"/>
      <c r="M768" s="213" t="s">
        <v>1558</v>
      </c>
      <c r="N768" s="214">
        <f>(L771+N767)*20%</f>
        <v>168219.83600000001</v>
      </c>
    </row>
    <row r="769" spans="1:15" ht="17.5">
      <c r="A769" s="306"/>
      <c r="B769" s="35" t="s">
        <v>389</v>
      </c>
      <c r="C769" s="37" t="s">
        <v>349</v>
      </c>
      <c r="D769" s="15" t="s">
        <v>636</v>
      </c>
      <c r="E769" s="37" t="s">
        <v>637</v>
      </c>
      <c r="F769" s="37">
        <v>1</v>
      </c>
      <c r="G769" s="38" t="s">
        <v>690</v>
      </c>
      <c r="H769" s="32">
        <f t="shared" si="82"/>
        <v>1</v>
      </c>
      <c r="I769" s="73">
        <f>14000+1500</f>
        <v>15500</v>
      </c>
      <c r="J769" s="72">
        <f t="shared" si="75"/>
        <v>15500</v>
      </c>
      <c r="K769" s="39"/>
      <c r="M769" s="213" t="s">
        <v>1559</v>
      </c>
      <c r="N769" s="214">
        <f>(L771+N767+N768)*25%</f>
        <v>252329.75400000002</v>
      </c>
    </row>
    <row r="770" spans="1:15" ht="18" thickBot="1">
      <c r="A770" s="306"/>
      <c r="B770" s="35" t="s">
        <v>389</v>
      </c>
      <c r="C770" s="37" t="s">
        <v>349</v>
      </c>
      <c r="D770" s="15" t="s">
        <v>1734</v>
      </c>
      <c r="E770" s="37" t="s">
        <v>831</v>
      </c>
      <c r="F770" s="37">
        <v>1</v>
      </c>
      <c r="G770" s="38" t="s">
        <v>678</v>
      </c>
      <c r="H770" s="38">
        <v>1</v>
      </c>
      <c r="I770" s="73">
        <v>6500</v>
      </c>
      <c r="J770" s="73">
        <v>6500</v>
      </c>
      <c r="K770" s="39"/>
      <c r="M770" s="213"/>
      <c r="N770" s="214"/>
    </row>
    <row r="771" spans="1:15" ht="26.5" thickBot="1">
      <c r="A771" s="307"/>
      <c r="B771" s="84" t="s">
        <v>388</v>
      </c>
      <c r="C771" s="84" t="s">
        <v>398</v>
      </c>
      <c r="D771" s="53" t="s">
        <v>113</v>
      </c>
      <c r="E771" s="84" t="s">
        <v>113</v>
      </c>
      <c r="F771" s="84">
        <v>1</v>
      </c>
      <c r="G771" s="85" t="s">
        <v>240</v>
      </c>
      <c r="H771" s="85">
        <f t="shared" si="82"/>
        <v>1</v>
      </c>
      <c r="I771" s="86">
        <v>13400</v>
      </c>
      <c r="J771" s="86">
        <f t="shared" si="75"/>
        <v>13400</v>
      </c>
      <c r="K771" s="44"/>
      <c r="L771" s="254">
        <f>SUBTOTAL(9,J745:J796)</f>
        <v>786074</v>
      </c>
      <c r="N771" s="211">
        <f>L771+N767+N768+N769</f>
        <v>1261648.77</v>
      </c>
      <c r="O771" s="212" t="s">
        <v>1563</v>
      </c>
    </row>
    <row r="772" spans="1:15" hidden="1">
      <c r="A772" s="308">
        <v>30</v>
      </c>
      <c r="B772" s="8" t="s">
        <v>388</v>
      </c>
      <c r="C772" s="8" t="s">
        <v>350</v>
      </c>
      <c r="D772" s="8" t="s">
        <v>379</v>
      </c>
      <c r="E772" s="8" t="s">
        <v>382</v>
      </c>
      <c r="F772" s="8">
        <v>1</v>
      </c>
      <c r="G772" s="5" t="s">
        <v>250</v>
      </c>
      <c r="H772" s="5">
        <f>$K$12*F772</f>
        <v>0</v>
      </c>
      <c r="I772" s="75"/>
      <c r="J772" s="75">
        <f t="shared" si="75"/>
        <v>0</v>
      </c>
      <c r="K772" s="40" t="s">
        <v>238</v>
      </c>
      <c r="L772" s="1"/>
      <c r="M772" s="1"/>
    </row>
    <row r="773" spans="1:15" hidden="1">
      <c r="A773" s="305"/>
      <c r="B773" s="36" t="s">
        <v>388</v>
      </c>
      <c r="C773" s="36" t="s">
        <v>399</v>
      </c>
      <c r="D773" s="34" t="s">
        <v>383</v>
      </c>
      <c r="E773" s="36" t="s">
        <v>384</v>
      </c>
      <c r="F773" s="35">
        <v>8</v>
      </c>
      <c r="G773" s="32" t="s">
        <v>954</v>
      </c>
      <c r="H773" s="32">
        <f t="shared" ref="H773:H796" si="83">$K$12*F773</f>
        <v>0</v>
      </c>
      <c r="I773" s="72"/>
      <c r="J773" s="72">
        <f t="shared" si="75"/>
        <v>0</v>
      </c>
      <c r="K773" s="33"/>
      <c r="L773" s="1"/>
      <c r="M773" s="1"/>
    </row>
    <row r="774" spans="1:15" hidden="1">
      <c r="A774" s="305"/>
      <c r="B774" s="35" t="s">
        <v>388</v>
      </c>
      <c r="C774" s="35" t="s">
        <v>399</v>
      </c>
      <c r="D774" s="13" t="s">
        <v>405</v>
      </c>
      <c r="E774" s="35" t="s">
        <v>414</v>
      </c>
      <c r="F774" s="35">
        <v>1</v>
      </c>
      <c r="G774" s="32" t="s">
        <v>567</v>
      </c>
      <c r="H774" s="32">
        <f t="shared" si="83"/>
        <v>0</v>
      </c>
      <c r="I774" s="76"/>
      <c r="J774" s="76">
        <f t="shared" si="75"/>
        <v>0</v>
      </c>
      <c r="K774" s="33"/>
      <c r="L774" s="1"/>
      <c r="M774" s="1"/>
    </row>
    <row r="775" spans="1:15" hidden="1">
      <c r="A775" s="305"/>
      <c r="B775" s="35" t="s">
        <v>388</v>
      </c>
      <c r="C775" s="35" t="s">
        <v>399</v>
      </c>
      <c r="D775" s="35" t="s">
        <v>411</v>
      </c>
      <c r="E775" s="35" t="s">
        <v>417</v>
      </c>
      <c r="F775" s="35">
        <v>1</v>
      </c>
      <c r="G775" s="32" t="s">
        <v>567</v>
      </c>
      <c r="H775" s="32">
        <f t="shared" si="83"/>
        <v>0</v>
      </c>
      <c r="I775" s="76"/>
      <c r="J775" s="76">
        <f t="shared" ref="J775:J796" si="84">H775*I775</f>
        <v>0</v>
      </c>
      <c r="K775" s="33"/>
      <c r="L775" s="1"/>
      <c r="M775" s="1"/>
    </row>
    <row r="776" spans="1:15" hidden="1">
      <c r="A776" s="305"/>
      <c r="B776" s="35" t="s">
        <v>388</v>
      </c>
      <c r="C776" s="35" t="s">
        <v>399</v>
      </c>
      <c r="D776" s="35" t="s">
        <v>408</v>
      </c>
      <c r="E776" s="35" t="s">
        <v>419</v>
      </c>
      <c r="F776" s="35">
        <v>1</v>
      </c>
      <c r="G776" s="32" t="s">
        <v>567</v>
      </c>
      <c r="H776" s="32">
        <f t="shared" si="83"/>
        <v>0</v>
      </c>
      <c r="I776" s="76"/>
      <c r="J776" s="76">
        <f t="shared" si="84"/>
        <v>0</v>
      </c>
      <c r="K776" s="33"/>
      <c r="L776" s="1"/>
      <c r="M776" s="1"/>
    </row>
    <row r="777" spans="1:15" hidden="1">
      <c r="A777" s="305"/>
      <c r="B777" s="35" t="s">
        <v>388</v>
      </c>
      <c r="C777" s="35" t="s">
        <v>399</v>
      </c>
      <c r="D777" s="35" t="s">
        <v>487</v>
      </c>
      <c r="E777" s="35" t="s">
        <v>400</v>
      </c>
      <c r="F777" s="35">
        <v>1</v>
      </c>
      <c r="G777" s="32" t="s">
        <v>569</v>
      </c>
      <c r="H777" s="32">
        <f t="shared" si="83"/>
        <v>0</v>
      </c>
      <c r="I777" s="76"/>
      <c r="J777" s="76">
        <f t="shared" si="84"/>
        <v>0</v>
      </c>
      <c r="K777" s="33"/>
      <c r="L777" s="1"/>
      <c r="M777" s="1"/>
    </row>
    <row r="778" spans="1:15" hidden="1">
      <c r="A778" s="305"/>
      <c r="B778" s="35" t="s">
        <v>388</v>
      </c>
      <c r="C778" s="35" t="s">
        <v>399</v>
      </c>
      <c r="D778" s="13" t="s">
        <v>526</v>
      </c>
      <c r="E778" s="35" t="s">
        <v>524</v>
      </c>
      <c r="F778" s="35">
        <v>12</v>
      </c>
      <c r="G778" s="32"/>
      <c r="H778" s="32">
        <f t="shared" si="83"/>
        <v>0</v>
      </c>
      <c r="I778" s="72"/>
      <c r="J778" s="72">
        <f t="shared" si="84"/>
        <v>0</v>
      </c>
      <c r="K778" s="33"/>
      <c r="L778" s="1"/>
      <c r="M778" s="1"/>
    </row>
    <row r="779" spans="1:15" hidden="1">
      <c r="A779" s="305"/>
      <c r="B779" s="35" t="s">
        <v>388</v>
      </c>
      <c r="C779" s="35" t="s">
        <v>399</v>
      </c>
      <c r="D779" s="35" t="s">
        <v>557</v>
      </c>
      <c r="E779" s="35" t="s">
        <v>423</v>
      </c>
      <c r="F779" s="35">
        <v>2</v>
      </c>
      <c r="G779" s="32" t="s">
        <v>561</v>
      </c>
      <c r="H779" s="32">
        <f t="shared" si="83"/>
        <v>0</v>
      </c>
      <c r="I779" s="72"/>
      <c r="J779" s="72">
        <f t="shared" si="84"/>
        <v>0</v>
      </c>
      <c r="K779" s="33"/>
      <c r="L779" s="1"/>
      <c r="M779" s="1"/>
    </row>
    <row r="780" spans="1:15" hidden="1">
      <c r="A780" s="305"/>
      <c r="B780" s="35" t="s">
        <v>388</v>
      </c>
      <c r="C780" s="35" t="s">
        <v>399</v>
      </c>
      <c r="D780" s="35" t="s">
        <v>558</v>
      </c>
      <c r="E780" s="35" t="s">
        <v>421</v>
      </c>
      <c r="F780" s="35">
        <v>2</v>
      </c>
      <c r="G780" s="32" t="s">
        <v>561</v>
      </c>
      <c r="H780" s="32">
        <f t="shared" si="83"/>
        <v>0</v>
      </c>
      <c r="I780" s="72"/>
      <c r="J780" s="72">
        <f t="shared" si="84"/>
        <v>0</v>
      </c>
      <c r="K780" s="33"/>
      <c r="L780" s="1"/>
      <c r="M780" s="1"/>
    </row>
    <row r="781" spans="1:15" hidden="1">
      <c r="A781" s="305"/>
      <c r="B781" s="35" t="s">
        <v>388</v>
      </c>
      <c r="C781" s="35" t="s">
        <v>399</v>
      </c>
      <c r="D781" s="35" t="s">
        <v>545</v>
      </c>
      <c r="E781" s="35" t="s">
        <v>426</v>
      </c>
      <c r="F781" s="35">
        <v>3</v>
      </c>
      <c r="G781" s="32" t="s">
        <v>561</v>
      </c>
      <c r="H781" s="32">
        <f t="shared" si="83"/>
        <v>0</v>
      </c>
      <c r="I781" s="72"/>
      <c r="J781" s="72">
        <f t="shared" si="84"/>
        <v>0</v>
      </c>
      <c r="K781" s="33"/>
      <c r="L781" s="1"/>
      <c r="M781" s="1"/>
    </row>
    <row r="782" spans="1:15" hidden="1">
      <c r="A782" s="305"/>
      <c r="B782" s="35" t="s">
        <v>388</v>
      </c>
      <c r="C782" s="35" t="s">
        <v>399</v>
      </c>
      <c r="D782" s="35" t="s">
        <v>539</v>
      </c>
      <c r="E782" s="35" t="s">
        <v>428</v>
      </c>
      <c r="F782" s="35">
        <v>1</v>
      </c>
      <c r="G782" s="32" t="s">
        <v>562</v>
      </c>
      <c r="H782" s="32">
        <f t="shared" si="83"/>
        <v>0</v>
      </c>
      <c r="I782" s="72"/>
      <c r="J782" s="72">
        <f t="shared" si="84"/>
        <v>0</v>
      </c>
      <c r="K782" s="33"/>
      <c r="L782" s="1"/>
      <c r="M782" s="1"/>
    </row>
    <row r="783" spans="1:15" hidden="1">
      <c r="A783" s="305"/>
      <c r="B783" s="36" t="s">
        <v>388</v>
      </c>
      <c r="C783" s="36" t="s">
        <v>399</v>
      </c>
      <c r="D783" s="36" t="s">
        <v>540</v>
      </c>
      <c r="E783" s="36" t="s">
        <v>429</v>
      </c>
      <c r="F783" s="35">
        <v>1</v>
      </c>
      <c r="G783" s="32" t="s">
        <v>568</v>
      </c>
      <c r="H783" s="32">
        <f t="shared" si="83"/>
        <v>0</v>
      </c>
      <c r="I783" s="72"/>
      <c r="J783" s="72">
        <f t="shared" si="84"/>
        <v>0</v>
      </c>
      <c r="K783" s="33"/>
      <c r="L783" s="1"/>
      <c r="M783" s="1"/>
    </row>
    <row r="784" spans="1:15" hidden="1">
      <c r="A784" s="305"/>
      <c r="B784" s="35" t="s">
        <v>388</v>
      </c>
      <c r="C784" s="35" t="s">
        <v>399</v>
      </c>
      <c r="D784" s="35" t="s">
        <v>433</v>
      </c>
      <c r="E784" s="35" t="s">
        <v>431</v>
      </c>
      <c r="F784" s="35">
        <v>1</v>
      </c>
      <c r="G784" s="32" t="s">
        <v>561</v>
      </c>
      <c r="H784" s="32">
        <f t="shared" si="83"/>
        <v>0</v>
      </c>
      <c r="I784" s="76"/>
      <c r="J784" s="76">
        <f t="shared" si="84"/>
        <v>0</v>
      </c>
      <c r="K784" s="33"/>
      <c r="L784" s="1"/>
      <c r="M784" s="1"/>
    </row>
    <row r="785" spans="1:13" hidden="1">
      <c r="A785" s="305"/>
      <c r="B785" s="35" t="s">
        <v>388</v>
      </c>
      <c r="C785" s="35" t="s">
        <v>399</v>
      </c>
      <c r="D785" s="35" t="s">
        <v>438</v>
      </c>
      <c r="E785" s="35" t="s">
        <v>435</v>
      </c>
      <c r="F785" s="35">
        <v>1</v>
      </c>
      <c r="G785" s="32" t="s">
        <v>561</v>
      </c>
      <c r="H785" s="32">
        <f t="shared" si="83"/>
        <v>0</v>
      </c>
      <c r="I785" s="76"/>
      <c r="J785" s="76">
        <f t="shared" si="84"/>
        <v>0</v>
      </c>
      <c r="K785" s="33"/>
      <c r="L785" s="1"/>
      <c r="M785" s="1"/>
    </row>
    <row r="786" spans="1:13" hidden="1">
      <c r="A786" s="305"/>
      <c r="B786" s="35" t="s">
        <v>388</v>
      </c>
      <c r="C786" s="35" t="s">
        <v>399</v>
      </c>
      <c r="D786" s="35" t="s">
        <v>437</v>
      </c>
      <c r="E786" s="35" t="s">
        <v>613</v>
      </c>
      <c r="F786" s="32">
        <v>2</v>
      </c>
      <c r="G786" s="32" t="s">
        <v>561</v>
      </c>
      <c r="H786" s="32">
        <f t="shared" si="83"/>
        <v>0</v>
      </c>
      <c r="I786" s="76"/>
      <c r="J786" s="76">
        <f t="shared" si="84"/>
        <v>0</v>
      </c>
      <c r="K786" s="33"/>
      <c r="L786" s="1"/>
      <c r="M786" s="1"/>
    </row>
    <row r="787" spans="1:13" hidden="1">
      <c r="A787" s="305"/>
      <c r="B787" s="36" t="s">
        <v>388</v>
      </c>
      <c r="C787" s="36" t="s">
        <v>399</v>
      </c>
      <c r="D787" s="34" t="s">
        <v>529</v>
      </c>
      <c r="E787" s="34" t="s">
        <v>530</v>
      </c>
      <c r="F787" s="35">
        <v>1</v>
      </c>
      <c r="G787" s="32" t="s">
        <v>566</v>
      </c>
      <c r="H787" s="32">
        <f t="shared" si="83"/>
        <v>0</v>
      </c>
      <c r="I787" s="72"/>
      <c r="J787" s="72">
        <f t="shared" si="84"/>
        <v>0</v>
      </c>
      <c r="K787" s="33"/>
      <c r="L787" s="1"/>
      <c r="M787" s="1"/>
    </row>
    <row r="788" spans="1:13" hidden="1">
      <c r="A788" s="305"/>
      <c r="B788" s="36" t="s">
        <v>388</v>
      </c>
      <c r="C788" s="36" t="s">
        <v>399</v>
      </c>
      <c r="D788" s="34" t="s">
        <v>531</v>
      </c>
      <c r="E788" s="34" t="s">
        <v>532</v>
      </c>
      <c r="F788" s="35">
        <v>1</v>
      </c>
      <c r="G788" s="32" t="s">
        <v>566</v>
      </c>
      <c r="H788" s="32">
        <f t="shared" si="83"/>
        <v>0</v>
      </c>
      <c r="I788" s="72"/>
      <c r="J788" s="72">
        <f t="shared" si="84"/>
        <v>0</v>
      </c>
      <c r="K788" s="33"/>
      <c r="L788" s="1"/>
      <c r="M788" s="1"/>
    </row>
    <row r="789" spans="1:13" hidden="1">
      <c r="A789" s="305"/>
      <c r="B789" s="36" t="s">
        <v>388</v>
      </c>
      <c r="C789" s="36" t="s">
        <v>399</v>
      </c>
      <c r="D789" s="34" t="s">
        <v>443</v>
      </c>
      <c r="E789" s="36" t="s">
        <v>442</v>
      </c>
      <c r="F789" s="35">
        <v>1</v>
      </c>
      <c r="G789" s="32" t="s">
        <v>570</v>
      </c>
      <c r="H789" s="32">
        <f t="shared" si="83"/>
        <v>0</v>
      </c>
      <c r="I789" s="72"/>
      <c r="J789" s="72">
        <f t="shared" si="84"/>
        <v>0</v>
      </c>
      <c r="K789" s="33"/>
      <c r="L789" s="1"/>
      <c r="M789" s="1"/>
    </row>
    <row r="790" spans="1:13" hidden="1">
      <c r="A790" s="305"/>
      <c r="B790" s="36" t="s">
        <v>388</v>
      </c>
      <c r="C790" s="36" t="s">
        <v>399</v>
      </c>
      <c r="D790" s="34" t="s">
        <v>441</v>
      </c>
      <c r="E790" s="36" t="s">
        <v>440</v>
      </c>
      <c r="F790" s="35">
        <v>1</v>
      </c>
      <c r="G790" s="32" t="s">
        <v>570</v>
      </c>
      <c r="H790" s="32">
        <f t="shared" si="83"/>
        <v>0</v>
      </c>
      <c r="I790" s="72"/>
      <c r="J790" s="72">
        <f t="shared" si="84"/>
        <v>0</v>
      </c>
      <c r="K790" s="33"/>
      <c r="L790" s="1"/>
      <c r="M790" s="1"/>
    </row>
    <row r="791" spans="1:13" hidden="1">
      <c r="A791" s="305"/>
      <c r="B791" s="36" t="s">
        <v>388</v>
      </c>
      <c r="C791" s="36" t="s">
        <v>399</v>
      </c>
      <c r="D791" s="34" t="s">
        <v>546</v>
      </c>
      <c r="E791" s="34" t="s">
        <v>547</v>
      </c>
      <c r="F791" s="35">
        <v>1</v>
      </c>
      <c r="G791" s="32" t="s">
        <v>571</v>
      </c>
      <c r="H791" s="32">
        <f t="shared" si="83"/>
        <v>0</v>
      </c>
      <c r="I791" s="72"/>
      <c r="J791" s="72">
        <f t="shared" si="84"/>
        <v>0</v>
      </c>
      <c r="K791" s="33"/>
      <c r="L791" s="1"/>
      <c r="M791" s="1"/>
    </row>
    <row r="792" spans="1:13" hidden="1">
      <c r="A792" s="305"/>
      <c r="B792" s="36" t="s">
        <v>388</v>
      </c>
      <c r="C792" s="36" t="s">
        <v>399</v>
      </c>
      <c r="D792" s="34" t="s">
        <v>554</v>
      </c>
      <c r="E792" s="34" t="s">
        <v>533</v>
      </c>
      <c r="F792" s="35">
        <v>1</v>
      </c>
      <c r="G792" s="32" t="s">
        <v>571</v>
      </c>
      <c r="H792" s="32">
        <f t="shared" si="83"/>
        <v>0</v>
      </c>
      <c r="I792" s="72"/>
      <c r="J792" s="72">
        <f t="shared" si="84"/>
        <v>0</v>
      </c>
      <c r="K792" s="33"/>
      <c r="L792" s="1"/>
      <c r="M792" s="1"/>
    </row>
    <row r="793" spans="1:13" hidden="1">
      <c r="A793" s="305"/>
      <c r="B793" s="35" t="s">
        <v>388</v>
      </c>
      <c r="C793" s="35" t="s">
        <v>399</v>
      </c>
      <c r="D793" s="35" t="s">
        <v>552</v>
      </c>
      <c r="E793" s="13" t="s">
        <v>522</v>
      </c>
      <c r="F793" s="35">
        <v>1</v>
      </c>
      <c r="G793" s="32" t="s">
        <v>560</v>
      </c>
      <c r="H793" s="32">
        <f t="shared" si="83"/>
        <v>0</v>
      </c>
      <c r="I793" s="72">
        <v>45300</v>
      </c>
      <c r="J793" s="72">
        <f t="shared" si="84"/>
        <v>0</v>
      </c>
      <c r="K793" s="33"/>
      <c r="L793" s="1"/>
      <c r="M793" s="1"/>
    </row>
    <row r="794" spans="1:13" hidden="1">
      <c r="A794" s="305"/>
      <c r="B794" s="35" t="s">
        <v>388</v>
      </c>
      <c r="C794" s="35" t="s">
        <v>399</v>
      </c>
      <c r="D794" s="35" t="s">
        <v>550</v>
      </c>
      <c r="E794" s="35" t="s">
        <v>454</v>
      </c>
      <c r="F794" s="35">
        <v>1</v>
      </c>
      <c r="G794" s="32" t="s">
        <v>235</v>
      </c>
      <c r="H794" s="32">
        <f t="shared" si="83"/>
        <v>0</v>
      </c>
      <c r="I794" s="72"/>
      <c r="J794" s="72">
        <f t="shared" si="84"/>
        <v>0</v>
      </c>
      <c r="K794" s="33"/>
      <c r="L794" s="1"/>
      <c r="M794" s="1"/>
    </row>
    <row r="795" spans="1:13" hidden="1">
      <c r="A795" s="306"/>
      <c r="B795" s="36" t="s">
        <v>389</v>
      </c>
      <c r="C795" s="45" t="s">
        <v>350</v>
      </c>
      <c r="D795" s="46" t="s">
        <v>636</v>
      </c>
      <c r="E795" s="45" t="s">
        <v>637</v>
      </c>
      <c r="F795" s="37">
        <v>1</v>
      </c>
      <c r="G795" s="38"/>
      <c r="H795" s="38"/>
      <c r="I795" s="73"/>
      <c r="J795" s="73"/>
      <c r="K795" s="39"/>
      <c r="L795" s="1"/>
      <c r="M795" s="1"/>
    </row>
    <row r="796" spans="1:13" ht="17.5" hidden="1" thickBot="1">
      <c r="A796" s="309"/>
      <c r="B796" s="45" t="s">
        <v>388</v>
      </c>
      <c r="C796" s="45" t="s">
        <v>399</v>
      </c>
      <c r="D796" s="46" t="s">
        <v>113</v>
      </c>
      <c r="E796" s="45" t="s">
        <v>113</v>
      </c>
      <c r="F796" s="37">
        <v>1</v>
      </c>
      <c r="G796" s="38" t="s">
        <v>240</v>
      </c>
      <c r="H796" s="38">
        <f t="shared" si="83"/>
        <v>0</v>
      </c>
      <c r="I796" s="73"/>
      <c r="J796" s="73">
        <f t="shared" si="84"/>
        <v>0</v>
      </c>
      <c r="K796" s="39"/>
      <c r="L796" s="1"/>
      <c r="M796" s="1"/>
    </row>
    <row r="797" spans="1:13">
      <c r="A797" s="304">
        <v>31</v>
      </c>
      <c r="B797" s="47" t="s">
        <v>391</v>
      </c>
      <c r="C797" s="47" t="s">
        <v>351</v>
      </c>
      <c r="D797" s="47" t="s">
        <v>379</v>
      </c>
      <c r="E797" s="47" t="s">
        <v>382</v>
      </c>
      <c r="F797" s="47">
        <v>1</v>
      </c>
      <c r="G797" s="30" t="s">
        <v>250</v>
      </c>
      <c r="H797" s="5">
        <f t="shared" ref="H797:H810" si="85">$K$13*F797</f>
        <v>1</v>
      </c>
      <c r="I797" s="77">
        <f>118000+53000</f>
        <v>171000</v>
      </c>
      <c r="J797" s="77">
        <f>H797*I797</f>
        <v>171000</v>
      </c>
      <c r="K797" s="31" t="s">
        <v>238</v>
      </c>
      <c r="L797" s="59"/>
      <c r="M797" s="59"/>
    </row>
    <row r="798" spans="1:13">
      <c r="A798" s="305"/>
      <c r="B798" s="35" t="s">
        <v>390</v>
      </c>
      <c r="C798" s="35" t="s">
        <v>392</v>
      </c>
      <c r="D798" s="13" t="s">
        <v>383</v>
      </c>
      <c r="E798" s="35" t="s">
        <v>384</v>
      </c>
      <c r="F798" s="35">
        <v>8</v>
      </c>
      <c r="G798" s="32" t="s">
        <v>954</v>
      </c>
      <c r="H798" s="5">
        <f t="shared" si="85"/>
        <v>8</v>
      </c>
      <c r="I798" s="72">
        <v>2470</v>
      </c>
      <c r="J798" s="72">
        <f t="shared" ref="J798:J861" si="86">H798*I798</f>
        <v>19760</v>
      </c>
      <c r="K798" s="33"/>
    </row>
    <row r="799" spans="1:13">
      <c r="A799" s="305"/>
      <c r="B799" s="35" t="s">
        <v>390</v>
      </c>
      <c r="C799" s="35" t="s">
        <v>392</v>
      </c>
      <c r="D799" s="13" t="s">
        <v>405</v>
      </c>
      <c r="E799" s="35" t="s">
        <v>978</v>
      </c>
      <c r="F799" s="35">
        <v>1</v>
      </c>
      <c r="G799" s="13" t="s">
        <v>1733</v>
      </c>
      <c r="H799" s="5">
        <f t="shared" si="85"/>
        <v>1</v>
      </c>
      <c r="I799" s="301">
        <v>30594</v>
      </c>
      <c r="J799" s="298">
        <f t="shared" si="86"/>
        <v>30594</v>
      </c>
      <c r="K799" s="33"/>
      <c r="L799" s="59"/>
      <c r="M799" s="59"/>
    </row>
    <row r="800" spans="1:13">
      <c r="A800" s="305"/>
      <c r="B800" s="35" t="s">
        <v>390</v>
      </c>
      <c r="C800" s="35" t="s">
        <v>392</v>
      </c>
      <c r="D800" s="35" t="s">
        <v>411</v>
      </c>
      <c r="E800" s="35" t="s">
        <v>981</v>
      </c>
      <c r="F800" s="35">
        <v>1</v>
      </c>
      <c r="G800" s="13" t="s">
        <v>1733</v>
      </c>
      <c r="H800" s="5">
        <f t="shared" si="85"/>
        <v>1</v>
      </c>
      <c r="I800" s="302"/>
      <c r="J800" s="299"/>
      <c r="K800" s="33"/>
      <c r="L800" s="59"/>
      <c r="M800" s="59"/>
    </row>
    <row r="801" spans="1:13">
      <c r="A801" s="305"/>
      <c r="B801" s="35" t="s">
        <v>390</v>
      </c>
      <c r="C801" s="35" t="s">
        <v>392</v>
      </c>
      <c r="D801" s="35" t="s">
        <v>408</v>
      </c>
      <c r="E801" s="35" t="s">
        <v>982</v>
      </c>
      <c r="F801" s="35">
        <v>1</v>
      </c>
      <c r="G801" s="13" t="s">
        <v>1733</v>
      </c>
      <c r="H801" s="5">
        <f t="shared" si="85"/>
        <v>1</v>
      </c>
      <c r="I801" s="303"/>
      <c r="J801" s="300"/>
      <c r="K801" s="33"/>
      <c r="L801" s="59"/>
      <c r="M801" s="59"/>
    </row>
    <row r="802" spans="1:13">
      <c r="A802" s="305"/>
      <c r="B802" s="35" t="s">
        <v>390</v>
      </c>
      <c r="C802" s="35" t="s">
        <v>392</v>
      </c>
      <c r="D802" s="35" t="s">
        <v>487</v>
      </c>
      <c r="E802" s="35" t="s">
        <v>400</v>
      </c>
      <c r="F802" s="35">
        <v>1</v>
      </c>
      <c r="G802" s="32" t="s">
        <v>569</v>
      </c>
      <c r="H802" s="5">
        <f t="shared" si="85"/>
        <v>1</v>
      </c>
      <c r="I802" s="72">
        <v>5000</v>
      </c>
      <c r="J802" s="76">
        <v>4500</v>
      </c>
      <c r="K802" s="33"/>
      <c r="L802" s="59"/>
      <c r="M802" s="59"/>
    </row>
    <row r="803" spans="1:13">
      <c r="A803" s="305"/>
      <c r="B803" s="35" t="s">
        <v>390</v>
      </c>
      <c r="C803" s="35" t="s">
        <v>392</v>
      </c>
      <c r="D803" s="35" t="s">
        <v>557</v>
      </c>
      <c r="E803" s="35" t="s">
        <v>986</v>
      </c>
      <c r="F803" s="35">
        <v>2</v>
      </c>
      <c r="G803" s="32" t="s">
        <v>955</v>
      </c>
      <c r="H803" s="5">
        <f t="shared" si="85"/>
        <v>2</v>
      </c>
      <c r="I803" s="72">
        <v>400</v>
      </c>
      <c r="J803" s="72">
        <f t="shared" si="86"/>
        <v>800</v>
      </c>
      <c r="K803" s="33"/>
    </row>
    <row r="804" spans="1:13">
      <c r="A804" s="305"/>
      <c r="B804" s="35" t="s">
        <v>390</v>
      </c>
      <c r="C804" s="35" t="s">
        <v>392</v>
      </c>
      <c r="D804" s="35" t="s">
        <v>558</v>
      </c>
      <c r="E804" s="35" t="s">
        <v>987</v>
      </c>
      <c r="F804" s="35">
        <v>2</v>
      </c>
      <c r="G804" s="32" t="s">
        <v>955</v>
      </c>
      <c r="H804" s="5">
        <f t="shared" si="85"/>
        <v>2</v>
      </c>
      <c r="I804" s="72">
        <v>400</v>
      </c>
      <c r="J804" s="72">
        <f t="shared" si="86"/>
        <v>800</v>
      </c>
      <c r="K804" s="33"/>
    </row>
    <row r="805" spans="1:13">
      <c r="A805" s="305"/>
      <c r="B805" s="35" t="s">
        <v>390</v>
      </c>
      <c r="C805" s="35" t="s">
        <v>392</v>
      </c>
      <c r="D805" s="35" t="s">
        <v>545</v>
      </c>
      <c r="E805" s="35" t="s">
        <v>426</v>
      </c>
      <c r="F805" s="35">
        <v>3</v>
      </c>
      <c r="G805" s="32" t="s">
        <v>955</v>
      </c>
      <c r="H805" s="5">
        <f t="shared" si="85"/>
        <v>3</v>
      </c>
      <c r="I805" s="72">
        <v>1500</v>
      </c>
      <c r="J805" s="72">
        <f t="shared" si="86"/>
        <v>4500</v>
      </c>
      <c r="K805" s="33"/>
    </row>
    <row r="806" spans="1:13">
      <c r="A806" s="305"/>
      <c r="B806" s="35" t="s">
        <v>390</v>
      </c>
      <c r="C806" s="35" t="s">
        <v>392</v>
      </c>
      <c r="D806" s="35" t="s">
        <v>539</v>
      </c>
      <c r="E806" s="35" t="s">
        <v>428</v>
      </c>
      <c r="F806" s="35">
        <v>1</v>
      </c>
      <c r="G806" s="32" t="s">
        <v>680</v>
      </c>
      <c r="H806" s="32">
        <f t="shared" ref="H806" si="87">$G$4*F806</f>
        <v>1</v>
      </c>
      <c r="I806" s="72">
        <v>7500</v>
      </c>
      <c r="J806" s="72">
        <f t="shared" si="86"/>
        <v>7500</v>
      </c>
      <c r="K806" s="33"/>
    </row>
    <row r="807" spans="1:13">
      <c r="A807" s="305"/>
      <c r="B807" s="35" t="s">
        <v>390</v>
      </c>
      <c r="C807" s="35" t="s">
        <v>392</v>
      </c>
      <c r="D807" s="35" t="s">
        <v>964</v>
      </c>
      <c r="E807" s="35" t="s">
        <v>962</v>
      </c>
      <c r="F807" s="35">
        <v>1</v>
      </c>
      <c r="G807" s="32" t="s">
        <v>957</v>
      </c>
      <c r="H807" s="5">
        <f t="shared" si="85"/>
        <v>1</v>
      </c>
      <c r="I807" s="72">
        <v>3600</v>
      </c>
      <c r="J807" s="72">
        <f t="shared" si="86"/>
        <v>3600</v>
      </c>
      <c r="K807" s="33"/>
    </row>
    <row r="808" spans="1:13">
      <c r="A808" s="305"/>
      <c r="B808" s="35" t="s">
        <v>390</v>
      </c>
      <c r="C808" s="35" t="s">
        <v>392</v>
      </c>
      <c r="D808" s="35" t="s">
        <v>433</v>
      </c>
      <c r="E808" s="35" t="s">
        <v>431</v>
      </c>
      <c r="F808" s="35">
        <v>1</v>
      </c>
      <c r="G808" s="32" t="s">
        <v>955</v>
      </c>
      <c r="H808" s="5">
        <f t="shared" si="85"/>
        <v>1</v>
      </c>
      <c r="I808" s="76">
        <v>3750</v>
      </c>
      <c r="J808" s="76">
        <f t="shared" si="86"/>
        <v>3750</v>
      </c>
      <c r="K808" s="33"/>
      <c r="L808" s="59"/>
      <c r="M808" s="59"/>
    </row>
    <row r="809" spans="1:13">
      <c r="A809" s="305"/>
      <c r="B809" s="35" t="s">
        <v>390</v>
      </c>
      <c r="C809" s="35" t="s">
        <v>392</v>
      </c>
      <c r="D809" s="35" t="s">
        <v>438</v>
      </c>
      <c r="E809" s="35" t="s">
        <v>435</v>
      </c>
      <c r="F809" s="35">
        <v>1</v>
      </c>
      <c r="G809" s="32" t="s">
        <v>955</v>
      </c>
      <c r="H809" s="5">
        <f t="shared" si="85"/>
        <v>1</v>
      </c>
      <c r="I809" s="76">
        <v>3750</v>
      </c>
      <c r="J809" s="76">
        <f t="shared" si="86"/>
        <v>3750</v>
      </c>
      <c r="K809" s="33"/>
      <c r="L809" s="59"/>
      <c r="M809" s="59"/>
    </row>
    <row r="810" spans="1:13">
      <c r="A810" s="305"/>
      <c r="B810" s="35" t="s">
        <v>390</v>
      </c>
      <c r="C810" s="35" t="s">
        <v>392</v>
      </c>
      <c r="D810" s="35" t="s">
        <v>437</v>
      </c>
      <c r="E810" s="35" t="s">
        <v>613</v>
      </c>
      <c r="F810" s="32">
        <v>2</v>
      </c>
      <c r="G810" s="32" t="s">
        <v>955</v>
      </c>
      <c r="H810" s="5">
        <f t="shared" si="85"/>
        <v>2</v>
      </c>
      <c r="I810" s="76">
        <v>7500</v>
      </c>
      <c r="J810" s="76">
        <f t="shared" si="86"/>
        <v>15000</v>
      </c>
      <c r="K810" s="33"/>
      <c r="L810" s="59"/>
      <c r="M810" s="59"/>
    </row>
    <row r="811" spans="1:13">
      <c r="A811" s="305"/>
      <c r="B811" s="35" t="s">
        <v>390</v>
      </c>
      <c r="C811" s="35" t="s">
        <v>392</v>
      </c>
      <c r="D811" s="13" t="s">
        <v>529</v>
      </c>
      <c r="E811" s="13" t="s">
        <v>530</v>
      </c>
      <c r="F811" s="35">
        <v>1</v>
      </c>
      <c r="G811" s="32" t="s">
        <v>681</v>
      </c>
      <c r="H811" s="32">
        <f t="shared" ref="H811:H821" si="88">$G$4*F811</f>
        <v>1</v>
      </c>
      <c r="I811" s="72">
        <v>2520</v>
      </c>
      <c r="J811" s="72">
        <f t="shared" si="86"/>
        <v>2520</v>
      </c>
      <c r="K811" s="33"/>
    </row>
    <row r="812" spans="1:13">
      <c r="A812" s="305"/>
      <c r="B812" s="35" t="s">
        <v>390</v>
      </c>
      <c r="C812" s="35" t="s">
        <v>392</v>
      </c>
      <c r="D812" s="13" t="s">
        <v>531</v>
      </c>
      <c r="E812" s="13" t="s">
        <v>532</v>
      </c>
      <c r="F812" s="35">
        <v>1</v>
      </c>
      <c r="G812" s="32" t="s">
        <v>976</v>
      </c>
      <c r="H812" s="32">
        <f t="shared" si="88"/>
        <v>1</v>
      </c>
      <c r="I812" s="72">
        <v>5500</v>
      </c>
      <c r="J812" s="72">
        <f t="shared" si="86"/>
        <v>5500</v>
      </c>
      <c r="K812" s="33"/>
    </row>
    <row r="813" spans="1:13">
      <c r="A813" s="305"/>
      <c r="B813" s="35" t="s">
        <v>390</v>
      </c>
      <c r="C813" s="35" t="s">
        <v>392</v>
      </c>
      <c r="D813" s="13" t="s">
        <v>443</v>
      </c>
      <c r="E813" s="35" t="s">
        <v>442</v>
      </c>
      <c r="F813" s="35">
        <v>1</v>
      </c>
      <c r="G813" s="32" t="s">
        <v>678</v>
      </c>
      <c r="H813" s="32">
        <f t="shared" si="88"/>
        <v>1</v>
      </c>
      <c r="I813" s="72">
        <v>7000</v>
      </c>
      <c r="J813" s="72">
        <f t="shared" si="86"/>
        <v>7000</v>
      </c>
      <c r="K813" s="33"/>
    </row>
    <row r="814" spans="1:13">
      <c r="A814" s="305"/>
      <c r="B814" s="35" t="s">
        <v>390</v>
      </c>
      <c r="C814" s="35" t="s">
        <v>392</v>
      </c>
      <c r="D814" s="13" t="s">
        <v>441</v>
      </c>
      <c r="E814" s="35" t="s">
        <v>440</v>
      </c>
      <c r="F814" s="35">
        <v>1</v>
      </c>
      <c r="G814" s="32" t="s">
        <v>678</v>
      </c>
      <c r="H814" s="32">
        <f t="shared" si="88"/>
        <v>1</v>
      </c>
      <c r="I814" s="72">
        <v>7000</v>
      </c>
      <c r="J814" s="72">
        <f t="shared" si="86"/>
        <v>7000</v>
      </c>
      <c r="K814" s="33"/>
    </row>
    <row r="815" spans="1:13">
      <c r="A815" s="305"/>
      <c r="B815" s="35" t="s">
        <v>390</v>
      </c>
      <c r="C815" s="35" t="s">
        <v>392</v>
      </c>
      <c r="D815" s="13" t="s">
        <v>546</v>
      </c>
      <c r="E815" s="13" t="s">
        <v>547</v>
      </c>
      <c r="F815" s="35">
        <v>1</v>
      </c>
      <c r="G815" s="32" t="s">
        <v>571</v>
      </c>
      <c r="H815" s="32">
        <f t="shared" si="88"/>
        <v>1</v>
      </c>
      <c r="I815" s="72">
        <v>3200</v>
      </c>
      <c r="J815" s="72">
        <f t="shared" si="86"/>
        <v>3200</v>
      </c>
      <c r="K815" s="33"/>
    </row>
    <row r="816" spans="1:13">
      <c r="A816" s="305"/>
      <c r="B816" s="35" t="s">
        <v>390</v>
      </c>
      <c r="C816" s="35" t="s">
        <v>392</v>
      </c>
      <c r="D816" s="13" t="s">
        <v>554</v>
      </c>
      <c r="E816" s="13" t="s">
        <v>533</v>
      </c>
      <c r="F816" s="35">
        <v>1</v>
      </c>
      <c r="G816" s="32" t="s">
        <v>686</v>
      </c>
      <c r="H816" s="32">
        <f t="shared" si="88"/>
        <v>1</v>
      </c>
      <c r="I816" s="72">
        <v>900</v>
      </c>
      <c r="J816" s="72">
        <f t="shared" si="86"/>
        <v>900</v>
      </c>
      <c r="K816" s="33"/>
    </row>
    <row r="817" spans="1:13">
      <c r="A817" s="305"/>
      <c r="B817" s="35" t="s">
        <v>390</v>
      </c>
      <c r="C817" s="35" t="s">
        <v>392</v>
      </c>
      <c r="D817" s="101" t="s">
        <v>564</v>
      </c>
      <c r="E817" s="98" t="s">
        <v>522</v>
      </c>
      <c r="F817" s="101">
        <v>1</v>
      </c>
      <c r="G817" s="99" t="s">
        <v>560</v>
      </c>
      <c r="H817" s="99">
        <f t="shared" si="88"/>
        <v>1</v>
      </c>
      <c r="I817" s="100">
        <v>88000</v>
      </c>
      <c r="J817" s="100">
        <f t="shared" si="86"/>
        <v>88000</v>
      </c>
      <c r="K817" s="33"/>
    </row>
    <row r="818" spans="1:13">
      <c r="A818" s="305"/>
      <c r="B818" s="35" t="s">
        <v>390</v>
      </c>
      <c r="C818" s="35" t="s">
        <v>392</v>
      </c>
      <c r="D818" s="109" t="s">
        <v>464</v>
      </c>
      <c r="E818" s="112" t="s">
        <v>465</v>
      </c>
      <c r="F818" s="112">
        <v>1</v>
      </c>
      <c r="G818" s="110" t="s">
        <v>235</v>
      </c>
      <c r="H818" s="110">
        <f t="shared" si="88"/>
        <v>1</v>
      </c>
      <c r="I818" s="111">
        <f>(36*2700)+300000</f>
        <v>397200</v>
      </c>
      <c r="J818" s="111">
        <f t="shared" si="86"/>
        <v>397200</v>
      </c>
      <c r="K818" s="33"/>
    </row>
    <row r="819" spans="1:13">
      <c r="A819" s="306"/>
      <c r="B819" s="35" t="s">
        <v>391</v>
      </c>
      <c r="C819" s="37" t="s">
        <v>351</v>
      </c>
      <c r="D819" s="15" t="s">
        <v>636</v>
      </c>
      <c r="E819" s="37" t="s">
        <v>637</v>
      </c>
      <c r="F819" s="37">
        <v>1</v>
      </c>
      <c r="G819" s="38" t="s">
        <v>690</v>
      </c>
      <c r="H819" s="32">
        <f t="shared" si="88"/>
        <v>1</v>
      </c>
      <c r="I819" s="73">
        <f>14000+1500</f>
        <v>15500</v>
      </c>
      <c r="J819" s="72">
        <f t="shared" si="86"/>
        <v>15500</v>
      </c>
      <c r="K819" s="39"/>
    </row>
    <row r="820" spans="1:13" ht="17.5" thickBot="1">
      <c r="A820" s="306"/>
      <c r="B820" s="35" t="s">
        <v>391</v>
      </c>
      <c r="C820" s="37" t="s">
        <v>351</v>
      </c>
      <c r="D820" s="15" t="s">
        <v>1734</v>
      </c>
      <c r="E820" s="37" t="s">
        <v>831</v>
      </c>
      <c r="F820" s="37">
        <v>1</v>
      </c>
      <c r="G820" s="38" t="s">
        <v>678</v>
      </c>
      <c r="H820" s="38">
        <v>1</v>
      </c>
      <c r="I820" s="73">
        <v>6500</v>
      </c>
      <c r="J820" s="73">
        <v>6500</v>
      </c>
      <c r="K820" s="39"/>
    </row>
    <row r="821" spans="1:13" ht="26" thickBot="1">
      <c r="A821" s="307"/>
      <c r="B821" s="42" t="s">
        <v>390</v>
      </c>
      <c r="C821" s="42" t="s">
        <v>392</v>
      </c>
      <c r="D821" s="9" t="s">
        <v>113</v>
      </c>
      <c r="E821" s="42" t="s">
        <v>113</v>
      </c>
      <c r="F821" s="42">
        <v>1</v>
      </c>
      <c r="G821" s="43" t="s">
        <v>240</v>
      </c>
      <c r="H821" s="32">
        <f t="shared" si="88"/>
        <v>1</v>
      </c>
      <c r="I821" s="74">
        <v>13400</v>
      </c>
      <c r="J821" s="74">
        <f t="shared" si="86"/>
        <v>13400</v>
      </c>
      <c r="K821" s="44"/>
      <c r="L821" s="254">
        <f>SUBTOTAL(9,J795:J845)</f>
        <v>812274</v>
      </c>
    </row>
    <row r="822" spans="1:13" hidden="1">
      <c r="A822" s="308">
        <v>32</v>
      </c>
      <c r="B822" s="8" t="s">
        <v>390</v>
      </c>
      <c r="C822" s="8" t="s">
        <v>352</v>
      </c>
      <c r="D822" s="8" t="s">
        <v>379</v>
      </c>
      <c r="E822" s="8" t="s">
        <v>382</v>
      </c>
      <c r="F822" s="8">
        <v>1</v>
      </c>
      <c r="G822" s="5" t="s">
        <v>250</v>
      </c>
      <c r="H822" s="5">
        <f>$K$14*F822</f>
        <v>0</v>
      </c>
      <c r="I822" s="75"/>
      <c r="J822" s="75">
        <f t="shared" si="86"/>
        <v>0</v>
      </c>
      <c r="K822" s="40" t="s">
        <v>238</v>
      </c>
      <c r="L822" s="1"/>
      <c r="M822" s="1"/>
    </row>
    <row r="823" spans="1:13" hidden="1">
      <c r="A823" s="305"/>
      <c r="B823" s="36" t="s">
        <v>390</v>
      </c>
      <c r="C823" s="36" t="s">
        <v>393</v>
      </c>
      <c r="D823" s="34" t="s">
        <v>383</v>
      </c>
      <c r="E823" s="36" t="s">
        <v>384</v>
      </c>
      <c r="F823" s="35">
        <v>8</v>
      </c>
      <c r="G823" s="32" t="s">
        <v>954</v>
      </c>
      <c r="H823" s="32">
        <f t="shared" ref="H823:H845" si="89">$K$14*F823</f>
        <v>0</v>
      </c>
      <c r="I823" s="72"/>
      <c r="J823" s="72">
        <f t="shared" si="86"/>
        <v>0</v>
      </c>
      <c r="K823" s="33"/>
      <c r="L823" s="1"/>
      <c r="M823" s="1"/>
    </row>
    <row r="824" spans="1:13" hidden="1">
      <c r="A824" s="305"/>
      <c r="B824" s="35" t="s">
        <v>390</v>
      </c>
      <c r="C824" s="35" t="s">
        <v>393</v>
      </c>
      <c r="D824" s="13" t="s">
        <v>405</v>
      </c>
      <c r="E824" s="35" t="s">
        <v>414</v>
      </c>
      <c r="F824" s="35">
        <v>1</v>
      </c>
      <c r="G824" s="32" t="s">
        <v>567</v>
      </c>
      <c r="H824" s="32">
        <f t="shared" si="89"/>
        <v>0</v>
      </c>
      <c r="I824" s="76"/>
      <c r="J824" s="76">
        <f t="shared" si="86"/>
        <v>0</v>
      </c>
      <c r="K824" s="33"/>
      <c r="L824" s="1"/>
      <c r="M824" s="1"/>
    </row>
    <row r="825" spans="1:13" hidden="1">
      <c r="A825" s="305"/>
      <c r="B825" s="35" t="s">
        <v>390</v>
      </c>
      <c r="C825" s="35" t="s">
        <v>393</v>
      </c>
      <c r="D825" s="35" t="s">
        <v>411</v>
      </c>
      <c r="E825" s="35" t="s">
        <v>417</v>
      </c>
      <c r="F825" s="35">
        <v>1</v>
      </c>
      <c r="G825" s="32" t="s">
        <v>567</v>
      </c>
      <c r="H825" s="32">
        <f t="shared" si="89"/>
        <v>0</v>
      </c>
      <c r="I825" s="76"/>
      <c r="J825" s="76">
        <f t="shared" si="86"/>
        <v>0</v>
      </c>
      <c r="K825" s="33"/>
      <c r="L825" s="1"/>
      <c r="M825" s="1"/>
    </row>
    <row r="826" spans="1:13" hidden="1">
      <c r="A826" s="305"/>
      <c r="B826" s="35" t="s">
        <v>390</v>
      </c>
      <c r="C826" s="35" t="s">
        <v>393</v>
      </c>
      <c r="D826" s="35" t="s">
        <v>408</v>
      </c>
      <c r="E826" s="35" t="s">
        <v>419</v>
      </c>
      <c r="F826" s="35">
        <v>1</v>
      </c>
      <c r="G826" s="32" t="s">
        <v>567</v>
      </c>
      <c r="H826" s="32">
        <f t="shared" si="89"/>
        <v>0</v>
      </c>
      <c r="I826" s="76"/>
      <c r="J826" s="76">
        <f t="shared" si="86"/>
        <v>0</v>
      </c>
      <c r="K826" s="33"/>
      <c r="L826" s="1"/>
      <c r="M826" s="1"/>
    </row>
    <row r="827" spans="1:13" hidden="1">
      <c r="A827" s="305"/>
      <c r="B827" s="35" t="s">
        <v>390</v>
      </c>
      <c r="C827" s="35" t="s">
        <v>393</v>
      </c>
      <c r="D827" s="35" t="s">
        <v>487</v>
      </c>
      <c r="E827" s="35" t="s">
        <v>400</v>
      </c>
      <c r="F827" s="35">
        <v>1</v>
      </c>
      <c r="G827" s="32" t="s">
        <v>569</v>
      </c>
      <c r="H827" s="32">
        <f t="shared" si="89"/>
        <v>0</v>
      </c>
      <c r="I827" s="76"/>
      <c r="J827" s="76">
        <f t="shared" si="86"/>
        <v>0</v>
      </c>
      <c r="K827" s="33"/>
      <c r="L827" s="1"/>
      <c r="M827" s="1"/>
    </row>
    <row r="828" spans="1:13" hidden="1">
      <c r="A828" s="305"/>
      <c r="B828" s="35" t="s">
        <v>390</v>
      </c>
      <c r="C828" s="35" t="s">
        <v>393</v>
      </c>
      <c r="D828" s="35" t="s">
        <v>557</v>
      </c>
      <c r="E828" s="35" t="s">
        <v>423</v>
      </c>
      <c r="F828" s="35">
        <v>2</v>
      </c>
      <c r="G828" s="32" t="s">
        <v>561</v>
      </c>
      <c r="H828" s="32">
        <f t="shared" si="89"/>
        <v>0</v>
      </c>
      <c r="I828" s="72"/>
      <c r="J828" s="72">
        <f t="shared" si="86"/>
        <v>0</v>
      </c>
      <c r="K828" s="33"/>
      <c r="L828" s="1"/>
      <c r="M828" s="1"/>
    </row>
    <row r="829" spans="1:13" hidden="1">
      <c r="A829" s="305"/>
      <c r="B829" s="35" t="s">
        <v>390</v>
      </c>
      <c r="C829" s="35" t="s">
        <v>393</v>
      </c>
      <c r="D829" s="35" t="s">
        <v>558</v>
      </c>
      <c r="E829" s="35" t="s">
        <v>421</v>
      </c>
      <c r="F829" s="35">
        <v>2</v>
      </c>
      <c r="G829" s="32" t="s">
        <v>561</v>
      </c>
      <c r="H829" s="32">
        <f t="shared" si="89"/>
        <v>0</v>
      </c>
      <c r="I829" s="72"/>
      <c r="J829" s="72">
        <f t="shared" si="86"/>
        <v>0</v>
      </c>
      <c r="K829" s="33"/>
      <c r="L829" s="1"/>
      <c r="M829" s="1"/>
    </row>
    <row r="830" spans="1:13" hidden="1">
      <c r="A830" s="305"/>
      <c r="B830" s="35" t="s">
        <v>390</v>
      </c>
      <c r="C830" s="35" t="s">
        <v>393</v>
      </c>
      <c r="D830" s="35" t="s">
        <v>545</v>
      </c>
      <c r="E830" s="35" t="s">
        <v>426</v>
      </c>
      <c r="F830" s="35">
        <v>3</v>
      </c>
      <c r="G830" s="32" t="s">
        <v>561</v>
      </c>
      <c r="H830" s="32">
        <f t="shared" si="89"/>
        <v>0</v>
      </c>
      <c r="I830" s="72"/>
      <c r="J830" s="72">
        <f t="shared" si="86"/>
        <v>0</v>
      </c>
      <c r="K830" s="33"/>
      <c r="L830" s="1"/>
      <c r="M830" s="1"/>
    </row>
    <row r="831" spans="1:13" hidden="1">
      <c r="A831" s="305"/>
      <c r="B831" s="35" t="s">
        <v>390</v>
      </c>
      <c r="C831" s="35" t="s">
        <v>393</v>
      </c>
      <c r="D831" s="35" t="s">
        <v>539</v>
      </c>
      <c r="E831" s="35" t="s">
        <v>428</v>
      </c>
      <c r="F831" s="35">
        <v>1</v>
      </c>
      <c r="G831" s="32" t="s">
        <v>562</v>
      </c>
      <c r="H831" s="32">
        <f t="shared" si="89"/>
        <v>0</v>
      </c>
      <c r="I831" s="72"/>
      <c r="J831" s="72">
        <f t="shared" si="86"/>
        <v>0</v>
      </c>
      <c r="K831" s="33"/>
      <c r="L831" s="1"/>
      <c r="M831" s="1"/>
    </row>
    <row r="832" spans="1:13" hidden="1">
      <c r="A832" s="305"/>
      <c r="B832" s="36" t="s">
        <v>390</v>
      </c>
      <c r="C832" s="36" t="s">
        <v>393</v>
      </c>
      <c r="D832" s="36" t="s">
        <v>540</v>
      </c>
      <c r="E832" s="36" t="s">
        <v>429</v>
      </c>
      <c r="F832" s="35">
        <v>1</v>
      </c>
      <c r="G832" s="32" t="s">
        <v>568</v>
      </c>
      <c r="H832" s="32">
        <f t="shared" si="89"/>
        <v>0</v>
      </c>
      <c r="I832" s="72"/>
      <c r="J832" s="72">
        <f t="shared" si="86"/>
        <v>0</v>
      </c>
      <c r="K832" s="33"/>
      <c r="L832" s="1"/>
      <c r="M832" s="1"/>
    </row>
    <row r="833" spans="1:13" hidden="1">
      <c r="A833" s="305"/>
      <c r="B833" s="35" t="s">
        <v>390</v>
      </c>
      <c r="C833" s="35" t="s">
        <v>393</v>
      </c>
      <c r="D833" s="35" t="s">
        <v>433</v>
      </c>
      <c r="E833" s="35" t="s">
        <v>431</v>
      </c>
      <c r="F833" s="35">
        <v>1</v>
      </c>
      <c r="G833" s="32" t="s">
        <v>561</v>
      </c>
      <c r="H833" s="32">
        <f t="shared" si="89"/>
        <v>0</v>
      </c>
      <c r="I833" s="76"/>
      <c r="J833" s="76">
        <f t="shared" si="86"/>
        <v>0</v>
      </c>
      <c r="K833" s="33"/>
      <c r="L833" s="1"/>
      <c r="M833" s="1"/>
    </row>
    <row r="834" spans="1:13" hidden="1">
      <c r="A834" s="305"/>
      <c r="B834" s="35" t="s">
        <v>390</v>
      </c>
      <c r="C834" s="35" t="s">
        <v>393</v>
      </c>
      <c r="D834" s="35" t="s">
        <v>438</v>
      </c>
      <c r="E834" s="35" t="s">
        <v>435</v>
      </c>
      <c r="F834" s="35">
        <v>1</v>
      </c>
      <c r="G834" s="32" t="s">
        <v>561</v>
      </c>
      <c r="H834" s="32">
        <f t="shared" si="89"/>
        <v>0</v>
      </c>
      <c r="I834" s="76"/>
      <c r="J834" s="76">
        <f t="shared" si="86"/>
        <v>0</v>
      </c>
      <c r="K834" s="33"/>
      <c r="L834" s="1"/>
      <c r="M834" s="1"/>
    </row>
    <row r="835" spans="1:13" hidden="1">
      <c r="A835" s="305"/>
      <c r="B835" s="35" t="s">
        <v>390</v>
      </c>
      <c r="C835" s="35" t="s">
        <v>393</v>
      </c>
      <c r="D835" s="35" t="s">
        <v>437</v>
      </c>
      <c r="E835" s="35" t="s">
        <v>613</v>
      </c>
      <c r="F835" s="32">
        <v>2</v>
      </c>
      <c r="G835" s="32" t="s">
        <v>561</v>
      </c>
      <c r="H835" s="32">
        <f t="shared" si="89"/>
        <v>0</v>
      </c>
      <c r="I835" s="76"/>
      <c r="J835" s="76">
        <f t="shared" si="86"/>
        <v>0</v>
      </c>
      <c r="K835" s="33"/>
      <c r="L835" s="1"/>
      <c r="M835" s="1"/>
    </row>
    <row r="836" spans="1:13" hidden="1">
      <c r="A836" s="305"/>
      <c r="B836" s="36" t="s">
        <v>390</v>
      </c>
      <c r="C836" s="36" t="s">
        <v>393</v>
      </c>
      <c r="D836" s="34" t="s">
        <v>529</v>
      </c>
      <c r="E836" s="34" t="s">
        <v>530</v>
      </c>
      <c r="F836" s="35">
        <v>1</v>
      </c>
      <c r="G836" s="32" t="s">
        <v>566</v>
      </c>
      <c r="H836" s="32">
        <f t="shared" si="89"/>
        <v>0</v>
      </c>
      <c r="I836" s="72"/>
      <c r="J836" s="72">
        <f t="shared" si="86"/>
        <v>0</v>
      </c>
      <c r="K836" s="33"/>
      <c r="L836" s="1"/>
      <c r="M836" s="1"/>
    </row>
    <row r="837" spans="1:13" hidden="1">
      <c r="A837" s="305"/>
      <c r="B837" s="36" t="s">
        <v>390</v>
      </c>
      <c r="C837" s="36" t="s">
        <v>393</v>
      </c>
      <c r="D837" s="34" t="s">
        <v>531</v>
      </c>
      <c r="E837" s="34" t="s">
        <v>532</v>
      </c>
      <c r="F837" s="35">
        <v>1</v>
      </c>
      <c r="G837" s="32" t="s">
        <v>566</v>
      </c>
      <c r="H837" s="32">
        <f t="shared" si="89"/>
        <v>0</v>
      </c>
      <c r="I837" s="72"/>
      <c r="J837" s="72">
        <f t="shared" si="86"/>
        <v>0</v>
      </c>
      <c r="K837" s="33"/>
      <c r="L837" s="1"/>
      <c r="M837" s="1"/>
    </row>
    <row r="838" spans="1:13" hidden="1">
      <c r="A838" s="305"/>
      <c r="B838" s="36" t="s">
        <v>390</v>
      </c>
      <c r="C838" s="36" t="s">
        <v>393</v>
      </c>
      <c r="D838" s="34" t="s">
        <v>443</v>
      </c>
      <c r="E838" s="36" t="s">
        <v>442</v>
      </c>
      <c r="F838" s="35">
        <v>1</v>
      </c>
      <c r="G838" s="32" t="s">
        <v>570</v>
      </c>
      <c r="H838" s="32">
        <f t="shared" si="89"/>
        <v>0</v>
      </c>
      <c r="I838" s="72"/>
      <c r="J838" s="72">
        <f t="shared" si="86"/>
        <v>0</v>
      </c>
      <c r="K838" s="33"/>
      <c r="L838" s="1"/>
      <c r="M838" s="1"/>
    </row>
    <row r="839" spans="1:13" hidden="1">
      <c r="A839" s="305"/>
      <c r="B839" s="36" t="s">
        <v>390</v>
      </c>
      <c r="C839" s="36" t="s">
        <v>393</v>
      </c>
      <c r="D839" s="34" t="s">
        <v>441</v>
      </c>
      <c r="E839" s="36" t="s">
        <v>440</v>
      </c>
      <c r="F839" s="35">
        <v>1</v>
      </c>
      <c r="G839" s="32" t="s">
        <v>570</v>
      </c>
      <c r="H839" s="32">
        <f t="shared" si="89"/>
        <v>0</v>
      </c>
      <c r="I839" s="72"/>
      <c r="J839" s="72">
        <f t="shared" si="86"/>
        <v>0</v>
      </c>
      <c r="K839" s="33"/>
      <c r="L839" s="1"/>
      <c r="M839" s="1"/>
    </row>
    <row r="840" spans="1:13" hidden="1">
      <c r="A840" s="305"/>
      <c r="B840" s="36" t="s">
        <v>390</v>
      </c>
      <c r="C840" s="36" t="s">
        <v>393</v>
      </c>
      <c r="D840" s="34" t="s">
        <v>546</v>
      </c>
      <c r="E840" s="34" t="s">
        <v>547</v>
      </c>
      <c r="F840" s="35">
        <v>1</v>
      </c>
      <c r="G840" s="32" t="s">
        <v>571</v>
      </c>
      <c r="H840" s="32">
        <f t="shared" si="89"/>
        <v>0</v>
      </c>
      <c r="I840" s="72"/>
      <c r="J840" s="72">
        <f t="shared" si="86"/>
        <v>0</v>
      </c>
      <c r="K840" s="33"/>
      <c r="L840" s="1"/>
      <c r="M840" s="1"/>
    </row>
    <row r="841" spans="1:13" hidden="1">
      <c r="A841" s="305"/>
      <c r="B841" s="36" t="s">
        <v>390</v>
      </c>
      <c r="C841" s="36" t="s">
        <v>393</v>
      </c>
      <c r="D841" s="34" t="s">
        <v>554</v>
      </c>
      <c r="E841" s="34" t="s">
        <v>533</v>
      </c>
      <c r="F841" s="35">
        <v>1</v>
      </c>
      <c r="G841" s="32" t="s">
        <v>571</v>
      </c>
      <c r="H841" s="32">
        <f t="shared" si="89"/>
        <v>0</v>
      </c>
      <c r="I841" s="72"/>
      <c r="J841" s="72">
        <f t="shared" si="86"/>
        <v>0</v>
      </c>
      <c r="K841" s="33"/>
      <c r="L841" s="1"/>
      <c r="M841" s="1"/>
    </row>
    <row r="842" spans="1:13" hidden="1">
      <c r="A842" s="305"/>
      <c r="B842" s="35" t="s">
        <v>390</v>
      </c>
      <c r="C842" s="35" t="s">
        <v>393</v>
      </c>
      <c r="D842" s="35" t="s">
        <v>564</v>
      </c>
      <c r="E842" s="13" t="s">
        <v>522</v>
      </c>
      <c r="F842" s="35">
        <v>1</v>
      </c>
      <c r="G842" s="32" t="s">
        <v>560</v>
      </c>
      <c r="H842" s="32">
        <f t="shared" si="89"/>
        <v>0</v>
      </c>
      <c r="I842" s="72">
        <v>76100</v>
      </c>
      <c r="J842" s="72">
        <f t="shared" si="86"/>
        <v>0</v>
      </c>
      <c r="K842" s="33"/>
      <c r="L842" s="1"/>
      <c r="M842" s="1"/>
    </row>
    <row r="843" spans="1:13" hidden="1">
      <c r="A843" s="305"/>
      <c r="B843" s="35" t="s">
        <v>390</v>
      </c>
      <c r="C843" s="35" t="s">
        <v>393</v>
      </c>
      <c r="D843" s="35" t="s">
        <v>466</v>
      </c>
      <c r="E843" s="35" t="s">
        <v>467</v>
      </c>
      <c r="F843" s="35">
        <v>1</v>
      </c>
      <c r="G843" s="32" t="s">
        <v>235</v>
      </c>
      <c r="H843" s="32">
        <f t="shared" si="89"/>
        <v>0</v>
      </c>
      <c r="I843" s="72"/>
      <c r="J843" s="72">
        <f t="shared" si="86"/>
        <v>0</v>
      </c>
      <c r="K843" s="33"/>
      <c r="L843" s="1"/>
      <c r="M843" s="1"/>
    </row>
    <row r="844" spans="1:13" hidden="1">
      <c r="A844" s="306"/>
      <c r="B844" s="36" t="s">
        <v>391</v>
      </c>
      <c r="C844" s="45" t="s">
        <v>352</v>
      </c>
      <c r="D844" s="46" t="s">
        <v>636</v>
      </c>
      <c r="E844" s="45" t="s">
        <v>637</v>
      </c>
      <c r="F844" s="37">
        <v>1</v>
      </c>
      <c r="G844" s="38"/>
      <c r="H844" s="38"/>
      <c r="I844" s="73"/>
      <c r="J844" s="73"/>
      <c r="K844" s="39"/>
      <c r="L844" s="1"/>
      <c r="M844" s="1"/>
    </row>
    <row r="845" spans="1:13" ht="17.5" hidden="1" thickBot="1">
      <c r="A845" s="309"/>
      <c r="B845" s="45" t="s">
        <v>390</v>
      </c>
      <c r="C845" s="45" t="s">
        <v>393</v>
      </c>
      <c r="D845" s="46" t="s">
        <v>113</v>
      </c>
      <c r="E845" s="45" t="s">
        <v>113</v>
      </c>
      <c r="F845" s="37">
        <v>1</v>
      </c>
      <c r="G845" s="38" t="s">
        <v>240</v>
      </c>
      <c r="H845" s="38">
        <f t="shared" si="89"/>
        <v>0</v>
      </c>
      <c r="I845" s="73"/>
      <c r="J845" s="73">
        <f t="shared" si="86"/>
        <v>0</v>
      </c>
      <c r="K845" s="39"/>
      <c r="L845" s="1"/>
      <c r="M845" s="1"/>
    </row>
    <row r="846" spans="1:13">
      <c r="A846" s="304">
        <v>33</v>
      </c>
      <c r="B846" s="47" t="s">
        <v>390</v>
      </c>
      <c r="C846" s="47" t="s">
        <v>353</v>
      </c>
      <c r="D846" s="47" t="s">
        <v>379</v>
      </c>
      <c r="E846" s="47" t="s">
        <v>382</v>
      </c>
      <c r="F846" s="47">
        <v>1</v>
      </c>
      <c r="G846" s="30" t="s">
        <v>250</v>
      </c>
      <c r="H846" s="30">
        <f t="shared" ref="H846:H859" si="90">$K$15*F846</f>
        <v>1</v>
      </c>
      <c r="I846" s="77">
        <f>118000+53000</f>
        <v>171000</v>
      </c>
      <c r="J846" s="77">
        <f t="shared" si="86"/>
        <v>171000</v>
      </c>
      <c r="K846" s="31" t="s">
        <v>238</v>
      </c>
      <c r="L846" s="59"/>
      <c r="M846" s="59"/>
    </row>
    <row r="847" spans="1:13">
      <c r="A847" s="305"/>
      <c r="B847" s="35" t="s">
        <v>390</v>
      </c>
      <c r="C847" s="35" t="s">
        <v>455</v>
      </c>
      <c r="D847" s="13" t="s">
        <v>383</v>
      </c>
      <c r="E847" s="35" t="s">
        <v>384</v>
      </c>
      <c r="F847" s="35">
        <v>8</v>
      </c>
      <c r="G847" s="32" t="s">
        <v>954</v>
      </c>
      <c r="H847" s="32">
        <f t="shared" si="90"/>
        <v>8</v>
      </c>
      <c r="I847" s="72">
        <v>2470</v>
      </c>
      <c r="J847" s="72">
        <f t="shared" si="86"/>
        <v>19760</v>
      </c>
      <c r="K847" s="33"/>
    </row>
    <row r="848" spans="1:13">
      <c r="A848" s="305"/>
      <c r="B848" s="35" t="s">
        <v>390</v>
      </c>
      <c r="C848" s="35" t="s">
        <v>455</v>
      </c>
      <c r="D848" s="13" t="s">
        <v>405</v>
      </c>
      <c r="E848" s="35" t="s">
        <v>978</v>
      </c>
      <c r="F848" s="35">
        <v>1</v>
      </c>
      <c r="G848" s="13" t="s">
        <v>1733</v>
      </c>
      <c r="H848" s="32">
        <f t="shared" si="90"/>
        <v>1</v>
      </c>
      <c r="I848" s="301">
        <v>30594</v>
      </c>
      <c r="J848" s="298">
        <f t="shared" si="86"/>
        <v>30594</v>
      </c>
      <c r="K848" s="33"/>
      <c r="L848" s="59"/>
      <c r="M848" s="59"/>
    </row>
    <row r="849" spans="1:13">
      <c r="A849" s="305"/>
      <c r="B849" s="35" t="s">
        <v>390</v>
      </c>
      <c r="C849" s="35" t="s">
        <v>455</v>
      </c>
      <c r="D849" s="35" t="s">
        <v>411</v>
      </c>
      <c r="E849" s="35" t="s">
        <v>981</v>
      </c>
      <c r="F849" s="35">
        <v>1</v>
      </c>
      <c r="G849" s="13" t="s">
        <v>1733</v>
      </c>
      <c r="H849" s="32">
        <f t="shared" si="90"/>
        <v>1</v>
      </c>
      <c r="I849" s="302"/>
      <c r="J849" s="299"/>
      <c r="K849" s="33"/>
      <c r="L849" s="59"/>
      <c r="M849" s="59"/>
    </row>
    <row r="850" spans="1:13">
      <c r="A850" s="305"/>
      <c r="B850" s="35" t="s">
        <v>390</v>
      </c>
      <c r="C850" s="35" t="s">
        <v>455</v>
      </c>
      <c r="D850" s="35" t="s">
        <v>408</v>
      </c>
      <c r="E850" s="35" t="s">
        <v>982</v>
      </c>
      <c r="F850" s="35">
        <v>1</v>
      </c>
      <c r="G850" s="13" t="s">
        <v>1733</v>
      </c>
      <c r="H850" s="32">
        <f t="shared" si="90"/>
        <v>1</v>
      </c>
      <c r="I850" s="303"/>
      <c r="J850" s="300"/>
      <c r="K850" s="33"/>
      <c r="L850" s="59"/>
      <c r="M850" s="59"/>
    </row>
    <row r="851" spans="1:13">
      <c r="A851" s="305"/>
      <c r="B851" s="35" t="s">
        <v>390</v>
      </c>
      <c r="C851" s="35" t="s">
        <v>455</v>
      </c>
      <c r="D851" s="13" t="s">
        <v>559</v>
      </c>
      <c r="E851" s="35" t="s">
        <v>402</v>
      </c>
      <c r="F851" s="35">
        <v>1</v>
      </c>
      <c r="G851" s="32" t="s">
        <v>569</v>
      </c>
      <c r="H851" s="32">
        <f t="shared" si="90"/>
        <v>1</v>
      </c>
      <c r="I851" s="72">
        <v>5300</v>
      </c>
      <c r="J851" s="72">
        <v>4500</v>
      </c>
      <c r="K851" s="33"/>
    </row>
    <row r="852" spans="1:13">
      <c r="A852" s="305"/>
      <c r="B852" s="35" t="s">
        <v>390</v>
      </c>
      <c r="C852" s="35" t="s">
        <v>455</v>
      </c>
      <c r="D852" s="35" t="s">
        <v>557</v>
      </c>
      <c r="E852" s="35" t="s">
        <v>986</v>
      </c>
      <c r="F852" s="35">
        <v>2</v>
      </c>
      <c r="G852" s="32" t="s">
        <v>955</v>
      </c>
      <c r="H852" s="32">
        <f t="shared" si="90"/>
        <v>2</v>
      </c>
      <c r="I852" s="72">
        <v>400</v>
      </c>
      <c r="J852" s="72">
        <f t="shared" si="86"/>
        <v>800</v>
      </c>
      <c r="K852" s="33"/>
    </row>
    <row r="853" spans="1:13">
      <c r="A853" s="305"/>
      <c r="B853" s="35" t="s">
        <v>390</v>
      </c>
      <c r="C853" s="35" t="s">
        <v>455</v>
      </c>
      <c r="D853" s="35" t="s">
        <v>558</v>
      </c>
      <c r="E853" s="35" t="s">
        <v>987</v>
      </c>
      <c r="F853" s="35">
        <v>2</v>
      </c>
      <c r="G853" s="32" t="s">
        <v>955</v>
      </c>
      <c r="H853" s="32">
        <f t="shared" si="90"/>
        <v>2</v>
      </c>
      <c r="I853" s="72">
        <v>400</v>
      </c>
      <c r="J853" s="72">
        <f t="shared" si="86"/>
        <v>800</v>
      </c>
      <c r="K853" s="33"/>
    </row>
    <row r="854" spans="1:13">
      <c r="A854" s="305"/>
      <c r="B854" s="35" t="s">
        <v>390</v>
      </c>
      <c r="C854" s="35" t="s">
        <v>455</v>
      </c>
      <c r="D854" s="35" t="s">
        <v>545</v>
      </c>
      <c r="E854" s="35" t="s">
        <v>426</v>
      </c>
      <c r="F854" s="35">
        <v>3</v>
      </c>
      <c r="G854" s="32" t="s">
        <v>955</v>
      </c>
      <c r="H854" s="32">
        <f t="shared" si="90"/>
        <v>3</v>
      </c>
      <c r="I854" s="72">
        <v>1500</v>
      </c>
      <c r="J854" s="72">
        <f t="shared" si="86"/>
        <v>4500</v>
      </c>
      <c r="K854" s="33"/>
    </row>
    <row r="855" spans="1:13">
      <c r="A855" s="305"/>
      <c r="B855" s="35" t="s">
        <v>390</v>
      </c>
      <c r="C855" s="35" t="s">
        <v>455</v>
      </c>
      <c r="D855" s="35" t="s">
        <v>539</v>
      </c>
      <c r="E855" s="35" t="s">
        <v>428</v>
      </c>
      <c r="F855" s="35">
        <v>1</v>
      </c>
      <c r="G855" s="32" t="s">
        <v>680</v>
      </c>
      <c r="H855" s="32">
        <f t="shared" ref="H855" si="91">$G$4*F855</f>
        <v>1</v>
      </c>
      <c r="I855" s="72">
        <v>7500</v>
      </c>
      <c r="J855" s="72">
        <f t="shared" si="86"/>
        <v>7500</v>
      </c>
      <c r="K855" s="33"/>
    </row>
    <row r="856" spans="1:13">
      <c r="A856" s="305"/>
      <c r="B856" s="35" t="s">
        <v>390</v>
      </c>
      <c r="C856" s="35" t="s">
        <v>455</v>
      </c>
      <c r="D856" s="35" t="s">
        <v>964</v>
      </c>
      <c r="E856" s="35" t="s">
        <v>962</v>
      </c>
      <c r="F856" s="35">
        <v>1</v>
      </c>
      <c r="G856" s="32" t="s">
        <v>957</v>
      </c>
      <c r="H856" s="32">
        <f t="shared" si="90"/>
        <v>1</v>
      </c>
      <c r="I856" s="72">
        <v>3600</v>
      </c>
      <c r="J856" s="72">
        <f t="shared" si="86"/>
        <v>3600</v>
      </c>
      <c r="K856" s="33"/>
    </row>
    <row r="857" spans="1:13">
      <c r="A857" s="305"/>
      <c r="B857" s="35" t="s">
        <v>390</v>
      </c>
      <c r="C857" s="35" t="s">
        <v>455</v>
      </c>
      <c r="D857" s="35" t="s">
        <v>433</v>
      </c>
      <c r="E857" s="35" t="s">
        <v>431</v>
      </c>
      <c r="F857" s="35">
        <v>1</v>
      </c>
      <c r="G857" s="32" t="s">
        <v>955</v>
      </c>
      <c r="H857" s="32">
        <f t="shared" si="90"/>
        <v>1</v>
      </c>
      <c r="I857" s="76">
        <v>3750</v>
      </c>
      <c r="J857" s="76">
        <f t="shared" si="86"/>
        <v>3750</v>
      </c>
      <c r="K857" s="33"/>
      <c r="L857" s="59"/>
      <c r="M857" s="59"/>
    </row>
    <row r="858" spans="1:13">
      <c r="A858" s="305"/>
      <c r="B858" s="35" t="s">
        <v>390</v>
      </c>
      <c r="C858" s="35" t="s">
        <v>455</v>
      </c>
      <c r="D858" s="35" t="s">
        <v>438</v>
      </c>
      <c r="E858" s="35" t="s">
        <v>435</v>
      </c>
      <c r="F858" s="35">
        <v>1</v>
      </c>
      <c r="G858" s="32" t="s">
        <v>955</v>
      </c>
      <c r="H858" s="32">
        <f t="shared" si="90"/>
        <v>1</v>
      </c>
      <c r="I858" s="76">
        <v>3750</v>
      </c>
      <c r="J858" s="76">
        <f t="shared" si="86"/>
        <v>3750</v>
      </c>
      <c r="K858" s="33"/>
      <c r="L858" s="59"/>
      <c r="M858" s="59"/>
    </row>
    <row r="859" spans="1:13">
      <c r="A859" s="305"/>
      <c r="B859" s="35" t="s">
        <v>390</v>
      </c>
      <c r="C859" s="35" t="s">
        <v>455</v>
      </c>
      <c r="D859" s="35" t="s">
        <v>437</v>
      </c>
      <c r="E859" s="35" t="s">
        <v>613</v>
      </c>
      <c r="F859" s="32">
        <v>2</v>
      </c>
      <c r="G859" s="32" t="s">
        <v>955</v>
      </c>
      <c r="H859" s="32">
        <f t="shared" si="90"/>
        <v>2</v>
      </c>
      <c r="I859" s="76">
        <v>7500</v>
      </c>
      <c r="J859" s="76">
        <f t="shared" si="86"/>
        <v>15000</v>
      </c>
      <c r="K859" s="33"/>
      <c r="L859" s="59"/>
      <c r="M859" s="59"/>
    </row>
    <row r="860" spans="1:13">
      <c r="A860" s="305"/>
      <c r="B860" s="35" t="s">
        <v>390</v>
      </c>
      <c r="C860" s="35" t="s">
        <v>455</v>
      </c>
      <c r="D860" s="13" t="s">
        <v>529</v>
      </c>
      <c r="E860" s="13" t="s">
        <v>530</v>
      </c>
      <c r="F860" s="35">
        <v>1</v>
      </c>
      <c r="G860" s="32" t="s">
        <v>681</v>
      </c>
      <c r="H860" s="32">
        <f t="shared" ref="H860:H870" si="92">$G$4*F860</f>
        <v>1</v>
      </c>
      <c r="I860" s="72">
        <v>2520</v>
      </c>
      <c r="J860" s="72">
        <f t="shared" si="86"/>
        <v>2520</v>
      </c>
      <c r="K860" s="33"/>
    </row>
    <row r="861" spans="1:13">
      <c r="A861" s="305"/>
      <c r="B861" s="35" t="s">
        <v>390</v>
      </c>
      <c r="C861" s="35" t="s">
        <v>455</v>
      </c>
      <c r="D861" s="13" t="s">
        <v>531</v>
      </c>
      <c r="E861" s="13" t="s">
        <v>532</v>
      </c>
      <c r="F861" s="35">
        <v>1</v>
      </c>
      <c r="G861" s="32" t="s">
        <v>976</v>
      </c>
      <c r="H861" s="32">
        <f t="shared" si="92"/>
        <v>1</v>
      </c>
      <c r="I861" s="72">
        <v>5500</v>
      </c>
      <c r="J861" s="72">
        <f t="shared" si="86"/>
        <v>5500</v>
      </c>
      <c r="K861" s="33"/>
    </row>
    <row r="862" spans="1:13">
      <c r="A862" s="305"/>
      <c r="B862" s="35" t="s">
        <v>390</v>
      </c>
      <c r="C862" s="35" t="s">
        <v>455</v>
      </c>
      <c r="D862" s="13" t="s">
        <v>443</v>
      </c>
      <c r="E862" s="35" t="s">
        <v>442</v>
      </c>
      <c r="F862" s="35">
        <v>1</v>
      </c>
      <c r="G862" s="32" t="s">
        <v>678</v>
      </c>
      <c r="H862" s="32">
        <f t="shared" si="92"/>
        <v>1</v>
      </c>
      <c r="I862" s="72">
        <v>7000</v>
      </c>
      <c r="J862" s="72">
        <f t="shared" ref="J862:J928" si="93">H862*I862</f>
        <v>7000</v>
      </c>
      <c r="K862" s="33"/>
    </row>
    <row r="863" spans="1:13">
      <c r="A863" s="305"/>
      <c r="B863" s="35" t="s">
        <v>390</v>
      </c>
      <c r="C863" s="35" t="s">
        <v>455</v>
      </c>
      <c r="D863" s="13" t="s">
        <v>441</v>
      </c>
      <c r="E863" s="35" t="s">
        <v>440</v>
      </c>
      <c r="F863" s="35">
        <v>1</v>
      </c>
      <c r="G863" s="32" t="s">
        <v>678</v>
      </c>
      <c r="H863" s="32">
        <f t="shared" si="92"/>
        <v>1</v>
      </c>
      <c r="I863" s="72">
        <v>7000</v>
      </c>
      <c r="J863" s="72">
        <f t="shared" si="93"/>
        <v>7000</v>
      </c>
      <c r="K863" s="33"/>
    </row>
    <row r="864" spans="1:13">
      <c r="A864" s="305"/>
      <c r="B864" s="35" t="s">
        <v>390</v>
      </c>
      <c r="C864" s="35" t="s">
        <v>455</v>
      </c>
      <c r="D864" s="13" t="s">
        <v>546</v>
      </c>
      <c r="E864" s="13" t="s">
        <v>547</v>
      </c>
      <c r="F864" s="35">
        <v>1</v>
      </c>
      <c r="G864" s="32" t="s">
        <v>571</v>
      </c>
      <c r="H864" s="32">
        <f t="shared" si="92"/>
        <v>1</v>
      </c>
      <c r="I864" s="72">
        <v>3200</v>
      </c>
      <c r="J864" s="72">
        <f t="shared" si="93"/>
        <v>3200</v>
      </c>
      <c r="K864" s="33"/>
    </row>
    <row r="865" spans="1:13">
      <c r="A865" s="305"/>
      <c r="B865" s="35" t="s">
        <v>390</v>
      </c>
      <c r="C865" s="35" t="s">
        <v>455</v>
      </c>
      <c r="D865" s="13" t="s">
        <v>554</v>
      </c>
      <c r="E865" s="13" t="s">
        <v>533</v>
      </c>
      <c r="F865" s="35">
        <v>1</v>
      </c>
      <c r="G865" s="32" t="s">
        <v>686</v>
      </c>
      <c r="H865" s="32">
        <f t="shared" si="92"/>
        <v>1</v>
      </c>
      <c r="I865" s="72">
        <v>900</v>
      </c>
      <c r="J865" s="72">
        <f t="shared" si="93"/>
        <v>900</v>
      </c>
      <c r="K865" s="33"/>
    </row>
    <row r="866" spans="1:13">
      <c r="A866" s="305"/>
      <c r="B866" s="35" t="s">
        <v>390</v>
      </c>
      <c r="C866" s="35" t="s">
        <v>455</v>
      </c>
      <c r="D866" s="101" t="s">
        <v>564</v>
      </c>
      <c r="E866" s="98" t="s">
        <v>522</v>
      </c>
      <c r="F866" s="101">
        <v>1</v>
      </c>
      <c r="G866" s="99" t="s">
        <v>560</v>
      </c>
      <c r="H866" s="99">
        <f t="shared" si="92"/>
        <v>1</v>
      </c>
      <c r="I866" s="100">
        <v>88000</v>
      </c>
      <c r="J866" s="100">
        <f t="shared" si="93"/>
        <v>88000</v>
      </c>
      <c r="K866" s="33"/>
    </row>
    <row r="867" spans="1:13">
      <c r="A867" s="305"/>
      <c r="B867" s="35" t="s">
        <v>390</v>
      </c>
      <c r="C867" s="35" t="s">
        <v>455</v>
      </c>
      <c r="D867" s="109" t="s">
        <v>464</v>
      </c>
      <c r="E867" s="112" t="s">
        <v>465</v>
      </c>
      <c r="F867" s="112">
        <v>1</v>
      </c>
      <c r="G867" s="110" t="s">
        <v>235</v>
      </c>
      <c r="H867" s="110">
        <f t="shared" si="92"/>
        <v>1</v>
      </c>
      <c r="I867" s="111">
        <f>(36*2700)+300000</f>
        <v>397200</v>
      </c>
      <c r="J867" s="111">
        <f t="shared" si="93"/>
        <v>397200</v>
      </c>
      <c r="K867" s="33"/>
    </row>
    <row r="868" spans="1:13">
      <c r="A868" s="306"/>
      <c r="B868" s="35" t="s">
        <v>391</v>
      </c>
      <c r="C868" s="37" t="s">
        <v>353</v>
      </c>
      <c r="D868" s="15" t="s">
        <v>636</v>
      </c>
      <c r="E868" s="37" t="s">
        <v>637</v>
      </c>
      <c r="F868" s="37">
        <v>1</v>
      </c>
      <c r="G868" s="38" t="s">
        <v>690</v>
      </c>
      <c r="H868" s="32">
        <f t="shared" si="92"/>
        <v>1</v>
      </c>
      <c r="I868" s="73">
        <f>14000+1500</f>
        <v>15500</v>
      </c>
      <c r="J868" s="72">
        <f t="shared" si="93"/>
        <v>15500</v>
      </c>
      <c r="K868" s="39"/>
    </row>
    <row r="869" spans="1:13" ht="17.5" thickBot="1">
      <c r="A869" s="306"/>
      <c r="B869" s="35" t="s">
        <v>391</v>
      </c>
      <c r="C869" s="37" t="s">
        <v>353</v>
      </c>
      <c r="D869" s="15" t="s">
        <v>1734</v>
      </c>
      <c r="E869" s="37" t="s">
        <v>831</v>
      </c>
      <c r="F869" s="37">
        <v>1</v>
      </c>
      <c r="G869" s="38" t="s">
        <v>678</v>
      </c>
      <c r="H869" s="38">
        <v>1</v>
      </c>
      <c r="I869" s="73">
        <v>6500</v>
      </c>
      <c r="J869" s="73">
        <v>6500</v>
      </c>
      <c r="K869" s="39"/>
    </row>
    <row r="870" spans="1:13" ht="26" thickBot="1">
      <c r="A870" s="307"/>
      <c r="B870" s="84" t="s">
        <v>390</v>
      </c>
      <c r="C870" s="84" t="s">
        <v>455</v>
      </c>
      <c r="D870" s="53" t="s">
        <v>113</v>
      </c>
      <c r="E870" s="84" t="s">
        <v>113</v>
      </c>
      <c r="F870" s="84">
        <v>1</v>
      </c>
      <c r="G870" s="85" t="s">
        <v>240</v>
      </c>
      <c r="H870" s="85">
        <f t="shared" si="92"/>
        <v>1</v>
      </c>
      <c r="I870" s="86">
        <v>13400</v>
      </c>
      <c r="J870" s="86">
        <f t="shared" si="93"/>
        <v>13400</v>
      </c>
      <c r="K870" s="44"/>
      <c r="L870" s="254">
        <f>SUBTOTAL(9,J844:J870)</f>
        <v>812274</v>
      </c>
    </row>
    <row r="871" spans="1:13" hidden="1">
      <c r="A871" s="308">
        <v>34</v>
      </c>
      <c r="B871" s="8" t="s">
        <v>390</v>
      </c>
      <c r="C871" s="8" t="s">
        <v>354</v>
      </c>
      <c r="D871" s="8" t="s">
        <v>379</v>
      </c>
      <c r="E871" s="8" t="s">
        <v>382</v>
      </c>
      <c r="F871" s="8">
        <v>1</v>
      </c>
      <c r="G871" s="5" t="s">
        <v>250</v>
      </c>
      <c r="H871" s="5">
        <f>$K$16*F871</f>
        <v>0</v>
      </c>
      <c r="I871" s="75"/>
      <c r="J871" s="75">
        <f t="shared" si="93"/>
        <v>0</v>
      </c>
      <c r="K871" s="40" t="s">
        <v>238</v>
      </c>
      <c r="L871" s="1"/>
      <c r="M871" s="1"/>
    </row>
    <row r="872" spans="1:13" hidden="1">
      <c r="A872" s="305"/>
      <c r="B872" s="36" t="s">
        <v>390</v>
      </c>
      <c r="C872" s="36" t="s">
        <v>456</v>
      </c>
      <c r="D872" s="34" t="s">
        <v>383</v>
      </c>
      <c r="E872" s="36" t="s">
        <v>384</v>
      </c>
      <c r="F872" s="35">
        <v>8</v>
      </c>
      <c r="G872" s="32" t="s">
        <v>954</v>
      </c>
      <c r="H872" s="32">
        <f t="shared" ref="H872:H894" si="94">$K$16*F872</f>
        <v>0</v>
      </c>
      <c r="I872" s="72"/>
      <c r="J872" s="72">
        <f t="shared" si="93"/>
        <v>0</v>
      </c>
      <c r="K872" s="33"/>
      <c r="L872" s="1"/>
      <c r="M872" s="1"/>
    </row>
    <row r="873" spans="1:13" hidden="1">
      <c r="A873" s="305"/>
      <c r="B873" s="35" t="s">
        <v>390</v>
      </c>
      <c r="C873" s="35" t="s">
        <v>456</v>
      </c>
      <c r="D873" s="13" t="s">
        <v>405</v>
      </c>
      <c r="E873" s="35" t="s">
        <v>414</v>
      </c>
      <c r="F873" s="35">
        <v>1</v>
      </c>
      <c r="G873" s="32" t="s">
        <v>567</v>
      </c>
      <c r="H873" s="32">
        <f t="shared" si="94"/>
        <v>0</v>
      </c>
      <c r="I873" s="76"/>
      <c r="J873" s="76">
        <f t="shared" si="93"/>
        <v>0</v>
      </c>
      <c r="K873" s="33"/>
      <c r="L873" s="1"/>
      <c r="M873" s="1"/>
    </row>
    <row r="874" spans="1:13" hidden="1">
      <c r="A874" s="305"/>
      <c r="B874" s="35" t="s">
        <v>390</v>
      </c>
      <c r="C874" s="35" t="s">
        <v>456</v>
      </c>
      <c r="D874" s="35" t="s">
        <v>411</v>
      </c>
      <c r="E874" s="35" t="s">
        <v>417</v>
      </c>
      <c r="F874" s="35">
        <v>1</v>
      </c>
      <c r="G874" s="32" t="s">
        <v>567</v>
      </c>
      <c r="H874" s="32">
        <f t="shared" si="94"/>
        <v>0</v>
      </c>
      <c r="I874" s="76"/>
      <c r="J874" s="76">
        <f t="shared" si="93"/>
        <v>0</v>
      </c>
      <c r="K874" s="33"/>
      <c r="L874" s="1"/>
      <c r="M874" s="1"/>
    </row>
    <row r="875" spans="1:13" hidden="1">
      <c r="A875" s="305"/>
      <c r="B875" s="35" t="s">
        <v>390</v>
      </c>
      <c r="C875" s="35" t="s">
        <v>456</v>
      </c>
      <c r="D875" s="35" t="s">
        <v>408</v>
      </c>
      <c r="E875" s="35" t="s">
        <v>419</v>
      </c>
      <c r="F875" s="35">
        <v>1</v>
      </c>
      <c r="G875" s="32" t="s">
        <v>567</v>
      </c>
      <c r="H875" s="32">
        <f t="shared" si="94"/>
        <v>0</v>
      </c>
      <c r="I875" s="76"/>
      <c r="J875" s="76">
        <f t="shared" si="93"/>
        <v>0</v>
      </c>
      <c r="K875" s="33"/>
      <c r="L875" s="1"/>
      <c r="M875" s="1"/>
    </row>
    <row r="876" spans="1:13" hidden="1">
      <c r="A876" s="305"/>
      <c r="B876" s="35" t="s">
        <v>390</v>
      </c>
      <c r="C876" s="35" t="s">
        <v>456</v>
      </c>
      <c r="D876" s="13" t="s">
        <v>559</v>
      </c>
      <c r="E876" s="35" t="s">
        <v>402</v>
      </c>
      <c r="F876" s="35">
        <v>1</v>
      </c>
      <c r="G876" s="32" t="s">
        <v>569</v>
      </c>
      <c r="H876" s="32">
        <f t="shared" si="94"/>
        <v>0</v>
      </c>
      <c r="I876" s="72"/>
      <c r="J876" s="72">
        <f t="shared" si="93"/>
        <v>0</v>
      </c>
      <c r="K876" s="33"/>
      <c r="L876" s="1"/>
      <c r="M876" s="1"/>
    </row>
    <row r="877" spans="1:13" hidden="1">
      <c r="A877" s="305"/>
      <c r="B877" s="35" t="s">
        <v>390</v>
      </c>
      <c r="C877" s="35" t="s">
        <v>456</v>
      </c>
      <c r="D877" s="35" t="s">
        <v>557</v>
      </c>
      <c r="E877" s="35" t="s">
        <v>423</v>
      </c>
      <c r="F877" s="35">
        <v>2</v>
      </c>
      <c r="G877" s="32" t="s">
        <v>561</v>
      </c>
      <c r="H877" s="32">
        <f t="shared" si="94"/>
        <v>0</v>
      </c>
      <c r="I877" s="72"/>
      <c r="J877" s="72">
        <f t="shared" si="93"/>
        <v>0</v>
      </c>
      <c r="K877" s="33"/>
      <c r="L877" s="1"/>
      <c r="M877" s="1"/>
    </row>
    <row r="878" spans="1:13" hidden="1">
      <c r="A878" s="305"/>
      <c r="B878" s="35" t="s">
        <v>390</v>
      </c>
      <c r="C878" s="35" t="s">
        <v>456</v>
      </c>
      <c r="D878" s="35" t="s">
        <v>558</v>
      </c>
      <c r="E878" s="35" t="s">
        <v>421</v>
      </c>
      <c r="F878" s="35">
        <v>2</v>
      </c>
      <c r="G878" s="32" t="s">
        <v>561</v>
      </c>
      <c r="H878" s="32">
        <f t="shared" si="94"/>
        <v>0</v>
      </c>
      <c r="I878" s="72"/>
      <c r="J878" s="72">
        <f t="shared" si="93"/>
        <v>0</v>
      </c>
      <c r="K878" s="33"/>
      <c r="L878" s="1"/>
      <c r="M878" s="1"/>
    </row>
    <row r="879" spans="1:13" hidden="1">
      <c r="A879" s="305"/>
      <c r="B879" s="35" t="s">
        <v>390</v>
      </c>
      <c r="C879" s="35" t="s">
        <v>456</v>
      </c>
      <c r="D879" s="35" t="s">
        <v>545</v>
      </c>
      <c r="E879" s="35" t="s">
        <v>426</v>
      </c>
      <c r="F879" s="35">
        <v>3</v>
      </c>
      <c r="G879" s="32" t="s">
        <v>561</v>
      </c>
      <c r="H879" s="32">
        <f t="shared" si="94"/>
        <v>0</v>
      </c>
      <c r="I879" s="72"/>
      <c r="J879" s="72">
        <f t="shared" si="93"/>
        <v>0</v>
      </c>
      <c r="K879" s="33"/>
      <c r="L879" s="1"/>
      <c r="M879" s="1"/>
    </row>
    <row r="880" spans="1:13" hidden="1">
      <c r="A880" s="305"/>
      <c r="B880" s="35" t="s">
        <v>390</v>
      </c>
      <c r="C880" s="35" t="s">
        <v>456</v>
      </c>
      <c r="D880" s="35" t="s">
        <v>539</v>
      </c>
      <c r="E880" s="35" t="s">
        <v>428</v>
      </c>
      <c r="F880" s="35">
        <v>1</v>
      </c>
      <c r="G880" s="32" t="s">
        <v>562</v>
      </c>
      <c r="H880" s="32">
        <f t="shared" si="94"/>
        <v>0</v>
      </c>
      <c r="I880" s="72"/>
      <c r="J880" s="72">
        <f t="shared" si="93"/>
        <v>0</v>
      </c>
      <c r="K880" s="33"/>
      <c r="L880" s="1"/>
      <c r="M880" s="1"/>
    </row>
    <row r="881" spans="1:13" hidden="1">
      <c r="A881" s="305"/>
      <c r="B881" s="36" t="s">
        <v>390</v>
      </c>
      <c r="C881" s="36" t="s">
        <v>456</v>
      </c>
      <c r="D881" s="36" t="s">
        <v>540</v>
      </c>
      <c r="E881" s="36" t="s">
        <v>429</v>
      </c>
      <c r="F881" s="35">
        <v>1</v>
      </c>
      <c r="G881" s="32" t="s">
        <v>568</v>
      </c>
      <c r="H881" s="32">
        <f t="shared" si="94"/>
        <v>0</v>
      </c>
      <c r="I881" s="72"/>
      <c r="J881" s="72">
        <f t="shared" si="93"/>
        <v>0</v>
      </c>
      <c r="K881" s="33"/>
      <c r="L881" s="1"/>
      <c r="M881" s="1"/>
    </row>
    <row r="882" spans="1:13" hidden="1">
      <c r="A882" s="305"/>
      <c r="B882" s="35" t="s">
        <v>390</v>
      </c>
      <c r="C882" s="35" t="s">
        <v>456</v>
      </c>
      <c r="D882" s="35" t="s">
        <v>433</v>
      </c>
      <c r="E882" s="35" t="s">
        <v>431</v>
      </c>
      <c r="F882" s="35">
        <v>1</v>
      </c>
      <c r="G882" s="32" t="s">
        <v>561</v>
      </c>
      <c r="H882" s="32">
        <f t="shared" si="94"/>
        <v>0</v>
      </c>
      <c r="I882" s="76"/>
      <c r="J882" s="76">
        <f t="shared" si="93"/>
        <v>0</v>
      </c>
      <c r="K882" s="33"/>
      <c r="L882" s="1"/>
      <c r="M882" s="1"/>
    </row>
    <row r="883" spans="1:13" hidden="1">
      <c r="A883" s="305"/>
      <c r="B883" s="35" t="s">
        <v>390</v>
      </c>
      <c r="C883" s="35" t="s">
        <v>456</v>
      </c>
      <c r="D883" s="35" t="s">
        <v>438</v>
      </c>
      <c r="E883" s="35" t="s">
        <v>435</v>
      </c>
      <c r="F883" s="35">
        <v>1</v>
      </c>
      <c r="G883" s="32" t="s">
        <v>561</v>
      </c>
      <c r="H883" s="32">
        <f t="shared" si="94"/>
        <v>0</v>
      </c>
      <c r="I883" s="76"/>
      <c r="J883" s="76">
        <f t="shared" si="93"/>
        <v>0</v>
      </c>
      <c r="K883" s="33"/>
      <c r="L883" s="1"/>
      <c r="M883" s="1"/>
    </row>
    <row r="884" spans="1:13" hidden="1">
      <c r="A884" s="305"/>
      <c r="B884" s="35" t="s">
        <v>390</v>
      </c>
      <c r="C884" s="35" t="s">
        <v>456</v>
      </c>
      <c r="D884" s="35" t="s">
        <v>437</v>
      </c>
      <c r="E884" s="35" t="s">
        <v>613</v>
      </c>
      <c r="F884" s="32">
        <v>2</v>
      </c>
      <c r="G884" s="32" t="s">
        <v>561</v>
      </c>
      <c r="H884" s="32">
        <f t="shared" si="94"/>
        <v>0</v>
      </c>
      <c r="I884" s="76"/>
      <c r="J884" s="76">
        <f t="shared" si="93"/>
        <v>0</v>
      </c>
      <c r="K884" s="33"/>
      <c r="L884" s="1"/>
      <c r="M884" s="1"/>
    </row>
    <row r="885" spans="1:13" hidden="1">
      <c r="A885" s="305"/>
      <c r="B885" s="36" t="s">
        <v>390</v>
      </c>
      <c r="C885" s="36" t="s">
        <v>456</v>
      </c>
      <c r="D885" s="34" t="s">
        <v>529</v>
      </c>
      <c r="E885" s="34" t="s">
        <v>530</v>
      </c>
      <c r="F885" s="35">
        <v>1</v>
      </c>
      <c r="G885" s="32" t="s">
        <v>566</v>
      </c>
      <c r="H885" s="32">
        <f t="shared" si="94"/>
        <v>0</v>
      </c>
      <c r="I885" s="72"/>
      <c r="J885" s="72">
        <f t="shared" si="93"/>
        <v>0</v>
      </c>
      <c r="K885" s="33"/>
      <c r="L885" s="1"/>
      <c r="M885" s="1"/>
    </row>
    <row r="886" spans="1:13" hidden="1">
      <c r="A886" s="305"/>
      <c r="B886" s="36" t="s">
        <v>390</v>
      </c>
      <c r="C886" s="36" t="s">
        <v>456</v>
      </c>
      <c r="D886" s="34" t="s">
        <v>531</v>
      </c>
      <c r="E886" s="34" t="s">
        <v>532</v>
      </c>
      <c r="F886" s="35">
        <v>1</v>
      </c>
      <c r="G886" s="32" t="s">
        <v>566</v>
      </c>
      <c r="H886" s="32">
        <f t="shared" si="94"/>
        <v>0</v>
      </c>
      <c r="I886" s="72"/>
      <c r="J886" s="72">
        <f t="shared" si="93"/>
        <v>0</v>
      </c>
      <c r="K886" s="33"/>
      <c r="L886" s="1"/>
      <c r="M886" s="1"/>
    </row>
    <row r="887" spans="1:13" hidden="1">
      <c r="A887" s="305"/>
      <c r="B887" s="36" t="s">
        <v>390</v>
      </c>
      <c r="C887" s="36" t="s">
        <v>456</v>
      </c>
      <c r="D887" s="34" t="s">
        <v>443</v>
      </c>
      <c r="E887" s="36" t="s">
        <v>442</v>
      </c>
      <c r="F887" s="35">
        <v>1</v>
      </c>
      <c r="G887" s="32" t="s">
        <v>570</v>
      </c>
      <c r="H887" s="32">
        <f t="shared" si="94"/>
        <v>0</v>
      </c>
      <c r="I887" s="72"/>
      <c r="J887" s="72">
        <f t="shared" si="93"/>
        <v>0</v>
      </c>
      <c r="K887" s="33"/>
      <c r="L887" s="1"/>
      <c r="M887" s="1"/>
    </row>
    <row r="888" spans="1:13" hidden="1">
      <c r="A888" s="305"/>
      <c r="B888" s="36" t="s">
        <v>390</v>
      </c>
      <c r="C888" s="36" t="s">
        <v>456</v>
      </c>
      <c r="D888" s="34" t="s">
        <v>441</v>
      </c>
      <c r="E888" s="36" t="s">
        <v>440</v>
      </c>
      <c r="F888" s="35">
        <v>1</v>
      </c>
      <c r="G888" s="32" t="s">
        <v>570</v>
      </c>
      <c r="H888" s="32">
        <f t="shared" si="94"/>
        <v>0</v>
      </c>
      <c r="I888" s="72"/>
      <c r="J888" s="72">
        <f t="shared" si="93"/>
        <v>0</v>
      </c>
      <c r="K888" s="33"/>
      <c r="L888" s="1"/>
      <c r="M888" s="1"/>
    </row>
    <row r="889" spans="1:13" hidden="1">
      <c r="A889" s="305"/>
      <c r="B889" s="36" t="s">
        <v>390</v>
      </c>
      <c r="C889" s="36" t="s">
        <v>456</v>
      </c>
      <c r="D889" s="34" t="s">
        <v>546</v>
      </c>
      <c r="E889" s="34" t="s">
        <v>547</v>
      </c>
      <c r="F889" s="35">
        <v>1</v>
      </c>
      <c r="G889" s="32" t="s">
        <v>571</v>
      </c>
      <c r="H889" s="32">
        <f t="shared" si="94"/>
        <v>0</v>
      </c>
      <c r="I889" s="72"/>
      <c r="J889" s="72">
        <f t="shared" si="93"/>
        <v>0</v>
      </c>
      <c r="K889" s="33"/>
      <c r="L889" s="1"/>
      <c r="M889" s="1"/>
    </row>
    <row r="890" spans="1:13" hidden="1">
      <c r="A890" s="305"/>
      <c r="B890" s="36" t="s">
        <v>390</v>
      </c>
      <c r="C890" s="36" t="s">
        <v>456</v>
      </c>
      <c r="D890" s="34" t="s">
        <v>554</v>
      </c>
      <c r="E890" s="34" t="s">
        <v>533</v>
      </c>
      <c r="F890" s="35">
        <v>1</v>
      </c>
      <c r="G890" s="32" t="s">
        <v>571</v>
      </c>
      <c r="H890" s="32">
        <f t="shared" si="94"/>
        <v>0</v>
      </c>
      <c r="I890" s="72"/>
      <c r="J890" s="72">
        <f t="shared" si="93"/>
        <v>0</v>
      </c>
      <c r="K890" s="33"/>
      <c r="L890" s="1"/>
      <c r="M890" s="1"/>
    </row>
    <row r="891" spans="1:13" hidden="1">
      <c r="A891" s="305"/>
      <c r="B891" s="35" t="s">
        <v>390</v>
      </c>
      <c r="C891" s="35" t="s">
        <v>456</v>
      </c>
      <c r="D891" s="35" t="s">
        <v>564</v>
      </c>
      <c r="E891" s="13" t="s">
        <v>522</v>
      </c>
      <c r="F891" s="35">
        <v>1</v>
      </c>
      <c r="G891" s="32" t="s">
        <v>560</v>
      </c>
      <c r="H891" s="32">
        <f t="shared" si="94"/>
        <v>0</v>
      </c>
      <c r="I891" s="72">
        <v>76100</v>
      </c>
      <c r="J891" s="72">
        <f t="shared" si="93"/>
        <v>0</v>
      </c>
      <c r="K891" s="33"/>
      <c r="L891" s="1"/>
      <c r="M891" s="1"/>
    </row>
    <row r="892" spans="1:13" hidden="1">
      <c r="A892" s="305"/>
      <c r="B892" s="35" t="s">
        <v>390</v>
      </c>
      <c r="C892" s="35" t="s">
        <v>456</v>
      </c>
      <c r="D892" s="35" t="s">
        <v>466</v>
      </c>
      <c r="E892" s="35" t="s">
        <v>467</v>
      </c>
      <c r="F892" s="35">
        <v>1</v>
      </c>
      <c r="G892" s="32" t="s">
        <v>235</v>
      </c>
      <c r="H892" s="32">
        <f t="shared" si="94"/>
        <v>0</v>
      </c>
      <c r="I892" s="72"/>
      <c r="J892" s="72">
        <f t="shared" si="93"/>
        <v>0</v>
      </c>
      <c r="K892" s="33"/>
      <c r="L892" s="1"/>
      <c r="M892" s="1"/>
    </row>
    <row r="893" spans="1:13" hidden="1">
      <c r="A893" s="306"/>
      <c r="B893" s="36" t="s">
        <v>391</v>
      </c>
      <c r="C893" s="45" t="s">
        <v>354</v>
      </c>
      <c r="D893" s="46" t="s">
        <v>636</v>
      </c>
      <c r="E893" s="45" t="s">
        <v>637</v>
      </c>
      <c r="F893" s="37">
        <v>1</v>
      </c>
      <c r="G893" s="38"/>
      <c r="H893" s="38"/>
      <c r="I893" s="73"/>
      <c r="J893" s="73"/>
      <c r="K893" s="39"/>
      <c r="L893" s="1"/>
      <c r="M893" s="1"/>
    </row>
    <row r="894" spans="1:13" ht="17.5" hidden="1" thickBot="1">
      <c r="A894" s="309"/>
      <c r="B894" s="45" t="s">
        <v>390</v>
      </c>
      <c r="C894" s="45" t="s">
        <v>456</v>
      </c>
      <c r="D894" s="46" t="s">
        <v>113</v>
      </c>
      <c r="E894" s="45" t="s">
        <v>113</v>
      </c>
      <c r="F894" s="37">
        <v>1</v>
      </c>
      <c r="G894" s="38" t="s">
        <v>240</v>
      </c>
      <c r="H894" s="38">
        <f t="shared" si="94"/>
        <v>0</v>
      </c>
      <c r="I894" s="73"/>
      <c r="J894" s="73">
        <f t="shared" si="93"/>
        <v>0</v>
      </c>
      <c r="K894" s="39"/>
      <c r="L894" s="1"/>
      <c r="M894" s="1"/>
    </row>
    <row r="895" spans="1:13">
      <c r="A895" s="304">
        <v>35</v>
      </c>
      <c r="B895" s="47" t="s">
        <v>390</v>
      </c>
      <c r="C895" s="47" t="s">
        <v>355</v>
      </c>
      <c r="D895" s="47" t="s">
        <v>379</v>
      </c>
      <c r="E895" s="47" t="s">
        <v>382</v>
      </c>
      <c r="F895" s="47">
        <v>1</v>
      </c>
      <c r="G895" s="30" t="s">
        <v>250</v>
      </c>
      <c r="H895" s="32">
        <f t="shared" ref="H895:H909" si="95">$K$17*F895</f>
        <v>1</v>
      </c>
      <c r="I895" s="77">
        <f>118000+53000</f>
        <v>171000</v>
      </c>
      <c r="J895" s="77">
        <f t="shared" si="93"/>
        <v>171000</v>
      </c>
      <c r="K895" s="31" t="s">
        <v>238</v>
      </c>
      <c r="L895" s="59"/>
      <c r="M895" s="59"/>
    </row>
    <row r="896" spans="1:13">
      <c r="A896" s="305"/>
      <c r="B896" s="35" t="s">
        <v>390</v>
      </c>
      <c r="C896" s="35" t="s">
        <v>457</v>
      </c>
      <c r="D896" s="13" t="s">
        <v>383</v>
      </c>
      <c r="E896" s="35" t="s">
        <v>384</v>
      </c>
      <c r="F896" s="35">
        <v>8</v>
      </c>
      <c r="G896" s="32" t="s">
        <v>954</v>
      </c>
      <c r="H896" s="32">
        <f t="shared" si="95"/>
        <v>8</v>
      </c>
      <c r="I896" s="72">
        <v>2470</v>
      </c>
      <c r="J896" s="72">
        <f t="shared" si="93"/>
        <v>19760</v>
      </c>
      <c r="K896" s="33"/>
    </row>
    <row r="897" spans="1:13">
      <c r="A897" s="305"/>
      <c r="B897" s="35" t="s">
        <v>390</v>
      </c>
      <c r="C897" s="35" t="s">
        <v>457</v>
      </c>
      <c r="D897" s="13" t="s">
        <v>405</v>
      </c>
      <c r="E897" s="35" t="s">
        <v>978</v>
      </c>
      <c r="F897" s="35">
        <v>1</v>
      </c>
      <c r="G897" s="13" t="s">
        <v>1733</v>
      </c>
      <c r="H897" s="32">
        <f t="shared" si="95"/>
        <v>1</v>
      </c>
      <c r="I897" s="301">
        <v>30594</v>
      </c>
      <c r="J897" s="298">
        <f t="shared" si="93"/>
        <v>30594</v>
      </c>
      <c r="K897" s="33"/>
      <c r="L897" s="59"/>
      <c r="M897" s="59"/>
    </row>
    <row r="898" spans="1:13">
      <c r="A898" s="305"/>
      <c r="B898" s="35" t="s">
        <v>390</v>
      </c>
      <c r="C898" s="35" t="s">
        <v>457</v>
      </c>
      <c r="D898" s="35" t="s">
        <v>411</v>
      </c>
      <c r="E898" s="35" t="s">
        <v>981</v>
      </c>
      <c r="F898" s="35">
        <v>1</v>
      </c>
      <c r="G898" s="13" t="s">
        <v>1733</v>
      </c>
      <c r="H898" s="32">
        <f t="shared" si="95"/>
        <v>1</v>
      </c>
      <c r="I898" s="302"/>
      <c r="J898" s="299"/>
      <c r="K898" s="33"/>
      <c r="L898" s="59"/>
      <c r="M898" s="59"/>
    </row>
    <row r="899" spans="1:13">
      <c r="A899" s="305"/>
      <c r="B899" s="35" t="s">
        <v>390</v>
      </c>
      <c r="C899" s="35" t="s">
        <v>457</v>
      </c>
      <c r="D899" s="35" t="s">
        <v>408</v>
      </c>
      <c r="E899" s="35" t="s">
        <v>982</v>
      </c>
      <c r="F899" s="35">
        <v>1</v>
      </c>
      <c r="G899" s="13" t="s">
        <v>1733</v>
      </c>
      <c r="H899" s="32">
        <f t="shared" si="95"/>
        <v>1</v>
      </c>
      <c r="I899" s="303"/>
      <c r="J899" s="300"/>
      <c r="K899" s="33"/>
      <c r="L899" s="59"/>
      <c r="M899" s="59"/>
    </row>
    <row r="900" spans="1:13">
      <c r="A900" s="305"/>
      <c r="B900" s="35" t="s">
        <v>390</v>
      </c>
      <c r="C900" s="35" t="s">
        <v>457</v>
      </c>
      <c r="D900" s="35" t="s">
        <v>487</v>
      </c>
      <c r="E900" s="35" t="s">
        <v>400</v>
      </c>
      <c r="F900" s="35">
        <v>1</v>
      </c>
      <c r="G900" s="32" t="s">
        <v>569</v>
      </c>
      <c r="H900" s="32">
        <f t="shared" si="95"/>
        <v>1</v>
      </c>
      <c r="I900" s="72">
        <v>5000</v>
      </c>
      <c r="J900" s="76">
        <v>4500</v>
      </c>
      <c r="K900" s="33"/>
      <c r="L900" s="59"/>
      <c r="M900" s="59"/>
    </row>
    <row r="901" spans="1:13">
      <c r="A901" s="305"/>
      <c r="B901" s="35" t="s">
        <v>390</v>
      </c>
      <c r="C901" s="35" t="s">
        <v>457</v>
      </c>
      <c r="D901" s="13" t="s">
        <v>526</v>
      </c>
      <c r="E901" s="35" t="s">
        <v>524</v>
      </c>
      <c r="F901" s="35">
        <v>12</v>
      </c>
      <c r="G901" s="32" t="s">
        <v>731</v>
      </c>
      <c r="H901" s="32">
        <f t="shared" ref="H901" si="96">$G$8*F901</f>
        <v>12</v>
      </c>
      <c r="I901" s="72">
        <v>2600</v>
      </c>
      <c r="J901" s="72">
        <f t="shared" si="93"/>
        <v>31200</v>
      </c>
      <c r="K901" s="33"/>
    </row>
    <row r="902" spans="1:13">
      <c r="A902" s="305"/>
      <c r="B902" s="35" t="s">
        <v>390</v>
      </c>
      <c r="C902" s="35" t="s">
        <v>457</v>
      </c>
      <c r="D902" s="35" t="s">
        <v>557</v>
      </c>
      <c r="E902" s="35" t="s">
        <v>986</v>
      </c>
      <c r="F902" s="35">
        <v>2</v>
      </c>
      <c r="G902" s="32" t="s">
        <v>955</v>
      </c>
      <c r="H902" s="32">
        <f t="shared" si="95"/>
        <v>2</v>
      </c>
      <c r="I902" s="72">
        <v>400</v>
      </c>
      <c r="J902" s="72">
        <f t="shared" si="93"/>
        <v>800</v>
      </c>
      <c r="K902" s="33"/>
    </row>
    <row r="903" spans="1:13">
      <c r="A903" s="305"/>
      <c r="B903" s="35" t="s">
        <v>390</v>
      </c>
      <c r="C903" s="35" t="s">
        <v>457</v>
      </c>
      <c r="D903" s="35" t="s">
        <v>558</v>
      </c>
      <c r="E903" s="35" t="s">
        <v>987</v>
      </c>
      <c r="F903" s="35">
        <v>2</v>
      </c>
      <c r="G903" s="32" t="s">
        <v>955</v>
      </c>
      <c r="H903" s="32">
        <f t="shared" si="95"/>
        <v>2</v>
      </c>
      <c r="I903" s="72">
        <v>400</v>
      </c>
      <c r="J903" s="72">
        <f t="shared" si="93"/>
        <v>800</v>
      </c>
      <c r="K903" s="33"/>
    </row>
    <row r="904" spans="1:13">
      <c r="A904" s="305"/>
      <c r="B904" s="35" t="s">
        <v>390</v>
      </c>
      <c r="C904" s="35" t="s">
        <v>457</v>
      </c>
      <c r="D904" s="35" t="s">
        <v>545</v>
      </c>
      <c r="E904" s="35" t="s">
        <v>426</v>
      </c>
      <c r="F904" s="35">
        <v>3</v>
      </c>
      <c r="G904" s="32" t="s">
        <v>955</v>
      </c>
      <c r="H904" s="32">
        <f t="shared" si="95"/>
        <v>3</v>
      </c>
      <c r="I904" s="72">
        <v>1500</v>
      </c>
      <c r="J904" s="72">
        <f t="shared" si="93"/>
        <v>4500</v>
      </c>
      <c r="K904" s="33"/>
    </row>
    <row r="905" spans="1:13">
      <c r="A905" s="305"/>
      <c r="B905" s="35" t="s">
        <v>390</v>
      </c>
      <c r="C905" s="35" t="s">
        <v>457</v>
      </c>
      <c r="D905" s="35" t="s">
        <v>539</v>
      </c>
      <c r="E905" s="35" t="s">
        <v>428</v>
      </c>
      <c r="F905" s="35">
        <v>1</v>
      </c>
      <c r="G905" s="32" t="s">
        <v>680</v>
      </c>
      <c r="H905" s="32">
        <f t="shared" ref="H905" si="97">$G$4*F905</f>
        <v>1</v>
      </c>
      <c r="I905" s="72">
        <v>7500</v>
      </c>
      <c r="J905" s="72">
        <f t="shared" si="93"/>
        <v>7500</v>
      </c>
      <c r="K905" s="33"/>
    </row>
    <row r="906" spans="1:13">
      <c r="A906" s="305"/>
      <c r="B906" s="35" t="s">
        <v>390</v>
      </c>
      <c r="C906" s="35" t="s">
        <v>457</v>
      </c>
      <c r="D906" s="35" t="s">
        <v>964</v>
      </c>
      <c r="E906" s="35" t="s">
        <v>962</v>
      </c>
      <c r="F906" s="35">
        <v>1</v>
      </c>
      <c r="G906" s="32" t="s">
        <v>957</v>
      </c>
      <c r="H906" s="32">
        <f t="shared" si="95"/>
        <v>1</v>
      </c>
      <c r="I906" s="72">
        <v>3600</v>
      </c>
      <c r="J906" s="72">
        <f t="shared" si="93"/>
        <v>3600</v>
      </c>
      <c r="K906" s="33"/>
    </row>
    <row r="907" spans="1:13">
      <c r="A907" s="305"/>
      <c r="B907" s="35" t="s">
        <v>390</v>
      </c>
      <c r="C907" s="35" t="s">
        <v>457</v>
      </c>
      <c r="D907" s="35" t="s">
        <v>433</v>
      </c>
      <c r="E907" s="35" t="s">
        <v>431</v>
      </c>
      <c r="F907" s="35">
        <v>1</v>
      </c>
      <c r="G907" s="32" t="s">
        <v>955</v>
      </c>
      <c r="H907" s="32">
        <f t="shared" si="95"/>
        <v>1</v>
      </c>
      <c r="I907" s="76">
        <v>3750</v>
      </c>
      <c r="J907" s="76">
        <f t="shared" si="93"/>
        <v>3750</v>
      </c>
      <c r="K907" s="33"/>
      <c r="L907" s="59"/>
      <c r="M907" s="59"/>
    </row>
    <row r="908" spans="1:13">
      <c r="A908" s="305"/>
      <c r="B908" s="35" t="s">
        <v>390</v>
      </c>
      <c r="C908" s="35" t="s">
        <v>457</v>
      </c>
      <c r="D908" s="35" t="s">
        <v>438</v>
      </c>
      <c r="E908" s="35" t="s">
        <v>435</v>
      </c>
      <c r="F908" s="35">
        <v>1</v>
      </c>
      <c r="G908" s="32" t="s">
        <v>955</v>
      </c>
      <c r="H908" s="32">
        <f t="shared" si="95"/>
        <v>1</v>
      </c>
      <c r="I908" s="76">
        <v>3750</v>
      </c>
      <c r="J908" s="76">
        <f t="shared" si="93"/>
        <v>3750</v>
      </c>
      <c r="K908" s="33"/>
      <c r="L908" s="59"/>
      <c r="M908" s="59"/>
    </row>
    <row r="909" spans="1:13">
      <c r="A909" s="305"/>
      <c r="B909" s="35" t="s">
        <v>390</v>
      </c>
      <c r="C909" s="35" t="s">
        <v>457</v>
      </c>
      <c r="D909" s="35" t="s">
        <v>437</v>
      </c>
      <c r="E909" s="35" t="s">
        <v>613</v>
      </c>
      <c r="F909" s="32">
        <v>2</v>
      </c>
      <c r="G909" s="32" t="s">
        <v>955</v>
      </c>
      <c r="H909" s="32">
        <f t="shared" si="95"/>
        <v>2</v>
      </c>
      <c r="I909" s="76">
        <v>7500</v>
      </c>
      <c r="J909" s="76">
        <f t="shared" si="93"/>
        <v>15000</v>
      </c>
      <c r="K909" s="33"/>
      <c r="L909" s="59"/>
      <c r="M909" s="59"/>
    </row>
    <row r="910" spans="1:13">
      <c r="A910" s="305"/>
      <c r="B910" s="35" t="s">
        <v>390</v>
      </c>
      <c r="C910" s="35" t="s">
        <v>457</v>
      </c>
      <c r="D910" s="13" t="s">
        <v>529</v>
      </c>
      <c r="E910" s="13" t="s">
        <v>530</v>
      </c>
      <c r="F910" s="35">
        <v>1</v>
      </c>
      <c r="G910" s="32" t="s">
        <v>681</v>
      </c>
      <c r="H910" s="32">
        <f t="shared" ref="H910:H920" si="98">$G$4*F910</f>
        <v>1</v>
      </c>
      <c r="I910" s="72">
        <v>2520</v>
      </c>
      <c r="J910" s="72">
        <f t="shared" si="93"/>
        <v>2520</v>
      </c>
      <c r="K910" s="33"/>
    </row>
    <row r="911" spans="1:13">
      <c r="A911" s="305"/>
      <c r="B911" s="35" t="s">
        <v>390</v>
      </c>
      <c r="C911" s="35" t="s">
        <v>457</v>
      </c>
      <c r="D911" s="13" t="s">
        <v>531</v>
      </c>
      <c r="E911" s="13" t="s">
        <v>532</v>
      </c>
      <c r="F911" s="35">
        <v>1</v>
      </c>
      <c r="G911" s="32" t="s">
        <v>976</v>
      </c>
      <c r="H911" s="32">
        <f t="shared" si="98"/>
        <v>1</v>
      </c>
      <c r="I911" s="72">
        <v>5500</v>
      </c>
      <c r="J911" s="72">
        <f t="shared" si="93"/>
        <v>5500</v>
      </c>
      <c r="K911" s="33"/>
    </row>
    <row r="912" spans="1:13">
      <c r="A912" s="305"/>
      <c r="B912" s="35" t="s">
        <v>390</v>
      </c>
      <c r="C912" s="35" t="s">
        <v>457</v>
      </c>
      <c r="D912" s="13" t="s">
        <v>443</v>
      </c>
      <c r="E912" s="35" t="s">
        <v>442</v>
      </c>
      <c r="F912" s="35">
        <v>1</v>
      </c>
      <c r="G912" s="32" t="s">
        <v>678</v>
      </c>
      <c r="H912" s="32">
        <f t="shared" si="98"/>
        <v>1</v>
      </c>
      <c r="I912" s="72">
        <v>7000</v>
      </c>
      <c r="J912" s="72">
        <f t="shared" si="93"/>
        <v>7000</v>
      </c>
      <c r="K912" s="33"/>
    </row>
    <row r="913" spans="1:15">
      <c r="A913" s="305"/>
      <c r="B913" s="35" t="s">
        <v>390</v>
      </c>
      <c r="C913" s="35" t="s">
        <v>457</v>
      </c>
      <c r="D913" s="13" t="s">
        <v>441</v>
      </c>
      <c r="E913" s="35" t="s">
        <v>440</v>
      </c>
      <c r="F913" s="35">
        <v>1</v>
      </c>
      <c r="G913" s="32" t="s">
        <v>678</v>
      </c>
      <c r="H913" s="32">
        <f t="shared" si="98"/>
        <v>1</v>
      </c>
      <c r="I913" s="72">
        <v>7000</v>
      </c>
      <c r="J913" s="72">
        <f t="shared" si="93"/>
        <v>7000</v>
      </c>
      <c r="K913" s="33"/>
    </row>
    <row r="914" spans="1:15">
      <c r="A914" s="305"/>
      <c r="B914" s="35" t="s">
        <v>390</v>
      </c>
      <c r="C914" s="35" t="s">
        <v>457</v>
      </c>
      <c r="D914" s="13" t="s">
        <v>546</v>
      </c>
      <c r="E914" s="13" t="s">
        <v>547</v>
      </c>
      <c r="F914" s="35">
        <v>1</v>
      </c>
      <c r="G914" s="32" t="s">
        <v>571</v>
      </c>
      <c r="H914" s="32">
        <f t="shared" si="98"/>
        <v>1</v>
      </c>
      <c r="I914" s="72">
        <v>3200</v>
      </c>
      <c r="J914" s="72">
        <f t="shared" si="93"/>
        <v>3200</v>
      </c>
      <c r="K914" s="33"/>
    </row>
    <row r="915" spans="1:15">
      <c r="A915" s="305"/>
      <c r="B915" s="35" t="s">
        <v>390</v>
      </c>
      <c r="C915" s="35" t="s">
        <v>457</v>
      </c>
      <c r="D915" s="13" t="s">
        <v>554</v>
      </c>
      <c r="E915" s="13" t="s">
        <v>533</v>
      </c>
      <c r="F915" s="35">
        <v>1</v>
      </c>
      <c r="G915" s="32" t="s">
        <v>686</v>
      </c>
      <c r="H915" s="32">
        <f t="shared" si="98"/>
        <v>1</v>
      </c>
      <c r="I915" s="72">
        <v>900</v>
      </c>
      <c r="J915" s="72">
        <f t="shared" si="93"/>
        <v>900</v>
      </c>
      <c r="K915" s="33"/>
    </row>
    <row r="916" spans="1:15" ht="17.5">
      <c r="A916" s="305"/>
      <c r="B916" s="35" t="s">
        <v>390</v>
      </c>
      <c r="C916" s="35" t="s">
        <v>457</v>
      </c>
      <c r="D916" s="101" t="s">
        <v>564</v>
      </c>
      <c r="E916" s="98" t="s">
        <v>522</v>
      </c>
      <c r="F916" s="101">
        <v>1</v>
      </c>
      <c r="G916" s="99" t="s">
        <v>560</v>
      </c>
      <c r="H916" s="99">
        <f t="shared" si="98"/>
        <v>1</v>
      </c>
      <c r="I916" s="100">
        <v>88000</v>
      </c>
      <c r="J916" s="100">
        <f t="shared" si="93"/>
        <v>88000</v>
      </c>
      <c r="K916" s="33"/>
      <c r="M916" s="213" t="s">
        <v>1557</v>
      </c>
      <c r="N916" s="214">
        <f>L920*7%</f>
        <v>59043.180000000008</v>
      </c>
    </row>
    <row r="917" spans="1:15" ht="17.5">
      <c r="A917" s="305"/>
      <c r="B917" s="35" t="s">
        <v>390</v>
      </c>
      <c r="C917" s="35" t="s">
        <v>457</v>
      </c>
      <c r="D917" s="109" t="s">
        <v>464</v>
      </c>
      <c r="E917" s="112" t="s">
        <v>465</v>
      </c>
      <c r="F917" s="112">
        <v>1</v>
      </c>
      <c r="G917" s="110" t="s">
        <v>235</v>
      </c>
      <c r="H917" s="110">
        <f t="shared" si="98"/>
        <v>1</v>
      </c>
      <c r="I917" s="111">
        <f>(36*2700)+300000</f>
        <v>397200</v>
      </c>
      <c r="J917" s="111">
        <f t="shared" si="93"/>
        <v>397200</v>
      </c>
      <c r="K917" s="33"/>
      <c r="M917" s="213" t="s">
        <v>1558</v>
      </c>
      <c r="N917" s="214">
        <f>(L920+N916)*20%</f>
        <v>180503.43600000002</v>
      </c>
    </row>
    <row r="918" spans="1:15" ht="17.5">
      <c r="A918" s="306"/>
      <c r="B918" s="35" t="s">
        <v>391</v>
      </c>
      <c r="C918" s="37" t="s">
        <v>355</v>
      </c>
      <c r="D918" s="15" t="s">
        <v>636</v>
      </c>
      <c r="E918" s="37" t="s">
        <v>637</v>
      </c>
      <c r="F918" s="37">
        <v>1</v>
      </c>
      <c r="G918" s="38" t="s">
        <v>690</v>
      </c>
      <c r="H918" s="32">
        <f t="shared" si="98"/>
        <v>1</v>
      </c>
      <c r="I918" s="73">
        <f>14000+1500</f>
        <v>15500</v>
      </c>
      <c r="J918" s="72">
        <f t="shared" si="93"/>
        <v>15500</v>
      </c>
      <c r="K918" s="39"/>
      <c r="M918" s="213" t="s">
        <v>1559</v>
      </c>
      <c r="N918" s="214">
        <f>(L920+N916+N917)*25%</f>
        <v>270755.15400000004</v>
      </c>
    </row>
    <row r="919" spans="1:15" ht="18" thickBot="1">
      <c r="A919" s="306"/>
      <c r="B919" s="35" t="s">
        <v>391</v>
      </c>
      <c r="C919" s="37" t="s">
        <v>355</v>
      </c>
      <c r="D919" s="15" t="s">
        <v>1734</v>
      </c>
      <c r="E919" s="37" t="s">
        <v>831</v>
      </c>
      <c r="F919" s="37">
        <v>1</v>
      </c>
      <c r="G919" s="38" t="s">
        <v>678</v>
      </c>
      <c r="H919" s="38">
        <v>1</v>
      </c>
      <c r="I919" s="73">
        <v>6500</v>
      </c>
      <c r="J919" s="73">
        <v>6500</v>
      </c>
      <c r="K919" s="39"/>
      <c r="M919" s="213"/>
      <c r="N919" s="214"/>
    </row>
    <row r="920" spans="1:15" ht="26.5" thickBot="1">
      <c r="A920" s="307"/>
      <c r="B920" s="42" t="s">
        <v>390</v>
      </c>
      <c r="C920" s="42" t="s">
        <v>457</v>
      </c>
      <c r="D920" s="9" t="s">
        <v>113</v>
      </c>
      <c r="E920" s="42" t="s">
        <v>113</v>
      </c>
      <c r="F920" s="42">
        <v>1</v>
      </c>
      <c r="G920" s="43" t="s">
        <v>240</v>
      </c>
      <c r="H920" s="32">
        <f t="shared" si="98"/>
        <v>1</v>
      </c>
      <c r="I920" s="74">
        <v>13400</v>
      </c>
      <c r="J920" s="74">
        <f t="shared" si="93"/>
        <v>13400</v>
      </c>
      <c r="K920" s="44"/>
      <c r="L920" s="254">
        <f>SUBTOTAL(9,J894:J945)</f>
        <v>843474</v>
      </c>
      <c r="N920" s="211">
        <f>L920+N916+N917+N918</f>
        <v>1353775.7700000003</v>
      </c>
      <c r="O920" s="212" t="s">
        <v>1563</v>
      </c>
    </row>
    <row r="921" spans="1:15" hidden="1">
      <c r="A921" s="308">
        <v>36</v>
      </c>
      <c r="B921" s="8" t="s">
        <v>390</v>
      </c>
      <c r="C921" s="8" t="s">
        <v>356</v>
      </c>
      <c r="D921" s="8" t="s">
        <v>379</v>
      </c>
      <c r="E921" s="8" t="s">
        <v>382</v>
      </c>
      <c r="F921" s="8">
        <v>1</v>
      </c>
      <c r="G921" s="5" t="s">
        <v>250</v>
      </c>
      <c r="H921" s="5">
        <f>$K$18*F921</f>
        <v>0</v>
      </c>
      <c r="I921" s="75"/>
      <c r="J921" s="75">
        <f t="shared" si="93"/>
        <v>0</v>
      </c>
      <c r="K921" s="40" t="s">
        <v>238</v>
      </c>
      <c r="L921" s="1"/>
      <c r="M921" s="1"/>
    </row>
    <row r="922" spans="1:15" hidden="1">
      <c r="A922" s="305"/>
      <c r="B922" s="36" t="s">
        <v>390</v>
      </c>
      <c r="C922" s="36" t="s">
        <v>458</v>
      </c>
      <c r="D922" s="34" t="s">
        <v>383</v>
      </c>
      <c r="E922" s="36" t="s">
        <v>384</v>
      </c>
      <c r="F922" s="35">
        <v>8</v>
      </c>
      <c r="G922" s="32" t="s">
        <v>954</v>
      </c>
      <c r="H922" s="32">
        <f t="shared" ref="H922:H945" si="99">$K$18*F922</f>
        <v>0</v>
      </c>
      <c r="I922" s="72"/>
      <c r="J922" s="72">
        <f t="shared" si="93"/>
        <v>0</v>
      </c>
      <c r="K922" s="33"/>
      <c r="L922" s="1"/>
      <c r="M922" s="1"/>
    </row>
    <row r="923" spans="1:15" hidden="1">
      <c r="A923" s="305"/>
      <c r="B923" s="35" t="s">
        <v>390</v>
      </c>
      <c r="C923" s="35" t="s">
        <v>458</v>
      </c>
      <c r="D923" s="13" t="s">
        <v>405</v>
      </c>
      <c r="E923" s="35" t="s">
        <v>414</v>
      </c>
      <c r="F923" s="35">
        <v>1</v>
      </c>
      <c r="G923" s="32" t="s">
        <v>567</v>
      </c>
      <c r="H923" s="32">
        <f t="shared" si="99"/>
        <v>0</v>
      </c>
      <c r="I923" s="76"/>
      <c r="J923" s="76">
        <f t="shared" si="93"/>
        <v>0</v>
      </c>
      <c r="K923" s="33"/>
      <c r="L923" s="1"/>
      <c r="M923" s="1"/>
    </row>
    <row r="924" spans="1:15" hidden="1">
      <c r="A924" s="305"/>
      <c r="B924" s="35" t="s">
        <v>390</v>
      </c>
      <c r="C924" s="35" t="s">
        <v>458</v>
      </c>
      <c r="D924" s="35" t="s">
        <v>411</v>
      </c>
      <c r="E924" s="35" t="s">
        <v>417</v>
      </c>
      <c r="F924" s="35">
        <v>1</v>
      </c>
      <c r="G924" s="32" t="s">
        <v>567</v>
      </c>
      <c r="H924" s="32">
        <f t="shared" si="99"/>
        <v>0</v>
      </c>
      <c r="I924" s="76"/>
      <c r="J924" s="76">
        <f t="shared" si="93"/>
        <v>0</v>
      </c>
      <c r="K924" s="33"/>
      <c r="L924" s="1"/>
      <c r="M924" s="1"/>
    </row>
    <row r="925" spans="1:15" hidden="1">
      <c r="A925" s="305"/>
      <c r="B925" s="35" t="s">
        <v>390</v>
      </c>
      <c r="C925" s="35" t="s">
        <v>458</v>
      </c>
      <c r="D925" s="35" t="s">
        <v>408</v>
      </c>
      <c r="E925" s="35" t="s">
        <v>419</v>
      </c>
      <c r="F925" s="35">
        <v>1</v>
      </c>
      <c r="G925" s="32" t="s">
        <v>567</v>
      </c>
      <c r="H925" s="32">
        <f t="shared" si="99"/>
        <v>0</v>
      </c>
      <c r="I925" s="76"/>
      <c r="J925" s="76">
        <f t="shared" si="93"/>
        <v>0</v>
      </c>
      <c r="K925" s="33"/>
      <c r="L925" s="1"/>
      <c r="M925" s="1"/>
    </row>
    <row r="926" spans="1:15" hidden="1">
      <c r="A926" s="305"/>
      <c r="B926" s="35" t="s">
        <v>390</v>
      </c>
      <c r="C926" s="35" t="s">
        <v>458</v>
      </c>
      <c r="D926" s="35" t="s">
        <v>487</v>
      </c>
      <c r="E926" s="35" t="s">
        <v>400</v>
      </c>
      <c r="F926" s="35">
        <v>1</v>
      </c>
      <c r="G926" s="32" t="s">
        <v>569</v>
      </c>
      <c r="H926" s="32">
        <f t="shared" si="99"/>
        <v>0</v>
      </c>
      <c r="I926" s="76"/>
      <c r="J926" s="76">
        <f t="shared" si="93"/>
        <v>0</v>
      </c>
      <c r="K926" s="33"/>
      <c r="L926" s="1"/>
      <c r="M926" s="1"/>
    </row>
    <row r="927" spans="1:15" hidden="1">
      <c r="A927" s="305"/>
      <c r="B927" s="35" t="s">
        <v>390</v>
      </c>
      <c r="C927" s="35" t="s">
        <v>458</v>
      </c>
      <c r="D927" s="13" t="s">
        <v>526</v>
      </c>
      <c r="E927" s="35" t="s">
        <v>524</v>
      </c>
      <c r="F927" s="35">
        <v>12</v>
      </c>
      <c r="G927" s="32"/>
      <c r="H927" s="32">
        <f t="shared" si="99"/>
        <v>0</v>
      </c>
      <c r="I927" s="72"/>
      <c r="J927" s="72">
        <f t="shared" si="93"/>
        <v>0</v>
      </c>
      <c r="K927" s="33"/>
      <c r="L927" s="1"/>
      <c r="M927" s="1"/>
    </row>
    <row r="928" spans="1:15" hidden="1">
      <c r="A928" s="305"/>
      <c r="B928" s="35" t="s">
        <v>390</v>
      </c>
      <c r="C928" s="35" t="s">
        <v>458</v>
      </c>
      <c r="D928" s="35" t="s">
        <v>557</v>
      </c>
      <c r="E928" s="35" t="s">
        <v>423</v>
      </c>
      <c r="F928" s="35">
        <v>2</v>
      </c>
      <c r="G928" s="32" t="s">
        <v>561</v>
      </c>
      <c r="H928" s="32">
        <f t="shared" si="99"/>
        <v>0</v>
      </c>
      <c r="I928" s="72"/>
      <c r="J928" s="72">
        <f t="shared" si="93"/>
        <v>0</v>
      </c>
      <c r="K928" s="33"/>
      <c r="L928" s="1"/>
      <c r="M928" s="1"/>
    </row>
    <row r="929" spans="1:13" hidden="1">
      <c r="A929" s="305"/>
      <c r="B929" s="35" t="s">
        <v>390</v>
      </c>
      <c r="C929" s="35" t="s">
        <v>458</v>
      </c>
      <c r="D929" s="35" t="s">
        <v>558</v>
      </c>
      <c r="E929" s="35" t="s">
        <v>421</v>
      </c>
      <c r="F929" s="35">
        <v>2</v>
      </c>
      <c r="G929" s="32" t="s">
        <v>561</v>
      </c>
      <c r="H929" s="32">
        <f t="shared" si="99"/>
        <v>0</v>
      </c>
      <c r="I929" s="72"/>
      <c r="J929" s="72">
        <f t="shared" ref="J929:J945" si="100">H929*I929</f>
        <v>0</v>
      </c>
      <c r="K929" s="33"/>
      <c r="L929" s="1"/>
      <c r="M929" s="1"/>
    </row>
    <row r="930" spans="1:13" hidden="1">
      <c r="A930" s="305"/>
      <c r="B930" s="35" t="s">
        <v>390</v>
      </c>
      <c r="C930" s="35" t="s">
        <v>458</v>
      </c>
      <c r="D930" s="35" t="s">
        <v>545</v>
      </c>
      <c r="E930" s="35" t="s">
        <v>426</v>
      </c>
      <c r="F930" s="35">
        <v>3</v>
      </c>
      <c r="G930" s="32" t="s">
        <v>561</v>
      </c>
      <c r="H930" s="32">
        <f t="shared" si="99"/>
        <v>0</v>
      </c>
      <c r="I930" s="72"/>
      <c r="J930" s="72">
        <f t="shared" si="100"/>
        <v>0</v>
      </c>
      <c r="K930" s="33"/>
      <c r="L930" s="1"/>
      <c r="M930" s="1"/>
    </row>
    <row r="931" spans="1:13" hidden="1">
      <c r="A931" s="305"/>
      <c r="B931" s="35" t="s">
        <v>390</v>
      </c>
      <c r="C931" s="35" t="s">
        <v>458</v>
      </c>
      <c r="D931" s="35" t="s">
        <v>539</v>
      </c>
      <c r="E931" s="35" t="s">
        <v>428</v>
      </c>
      <c r="F931" s="35">
        <v>1</v>
      </c>
      <c r="G931" s="32" t="s">
        <v>562</v>
      </c>
      <c r="H931" s="32">
        <f t="shared" si="99"/>
        <v>0</v>
      </c>
      <c r="I931" s="72"/>
      <c r="J931" s="72">
        <f t="shared" si="100"/>
        <v>0</v>
      </c>
      <c r="K931" s="33"/>
      <c r="L931" s="1"/>
      <c r="M931" s="1"/>
    </row>
    <row r="932" spans="1:13" hidden="1">
      <c r="A932" s="305"/>
      <c r="B932" s="36" t="s">
        <v>390</v>
      </c>
      <c r="C932" s="36" t="s">
        <v>458</v>
      </c>
      <c r="D932" s="36" t="s">
        <v>540</v>
      </c>
      <c r="E932" s="36" t="s">
        <v>429</v>
      </c>
      <c r="F932" s="35">
        <v>1</v>
      </c>
      <c r="G932" s="32" t="s">
        <v>568</v>
      </c>
      <c r="H932" s="32">
        <f t="shared" si="99"/>
        <v>0</v>
      </c>
      <c r="I932" s="72"/>
      <c r="J932" s="72">
        <f t="shared" si="100"/>
        <v>0</v>
      </c>
      <c r="K932" s="33"/>
      <c r="L932" s="1"/>
      <c r="M932" s="1"/>
    </row>
    <row r="933" spans="1:13" hidden="1">
      <c r="A933" s="305"/>
      <c r="B933" s="35" t="s">
        <v>390</v>
      </c>
      <c r="C933" s="35" t="s">
        <v>458</v>
      </c>
      <c r="D933" s="35" t="s">
        <v>433</v>
      </c>
      <c r="E933" s="35" t="s">
        <v>431</v>
      </c>
      <c r="F933" s="35">
        <v>1</v>
      </c>
      <c r="G933" s="32" t="s">
        <v>561</v>
      </c>
      <c r="H933" s="32">
        <f t="shared" si="99"/>
        <v>0</v>
      </c>
      <c r="I933" s="76"/>
      <c r="J933" s="76">
        <f t="shared" si="100"/>
        <v>0</v>
      </c>
      <c r="K933" s="33"/>
      <c r="L933" s="1"/>
      <c r="M933" s="1"/>
    </row>
    <row r="934" spans="1:13" hidden="1">
      <c r="A934" s="305"/>
      <c r="B934" s="35" t="s">
        <v>390</v>
      </c>
      <c r="C934" s="35" t="s">
        <v>458</v>
      </c>
      <c r="D934" s="35" t="s">
        <v>438</v>
      </c>
      <c r="E934" s="35" t="s">
        <v>435</v>
      </c>
      <c r="F934" s="35">
        <v>1</v>
      </c>
      <c r="G934" s="32" t="s">
        <v>561</v>
      </c>
      <c r="H934" s="32">
        <f t="shared" si="99"/>
        <v>0</v>
      </c>
      <c r="I934" s="76"/>
      <c r="J934" s="76">
        <f t="shared" si="100"/>
        <v>0</v>
      </c>
      <c r="K934" s="33"/>
      <c r="L934" s="1"/>
      <c r="M934" s="1"/>
    </row>
    <row r="935" spans="1:13" hidden="1">
      <c r="A935" s="305"/>
      <c r="B935" s="35" t="s">
        <v>390</v>
      </c>
      <c r="C935" s="35" t="s">
        <v>458</v>
      </c>
      <c r="D935" s="35" t="s">
        <v>437</v>
      </c>
      <c r="E935" s="35" t="s">
        <v>613</v>
      </c>
      <c r="F935" s="32">
        <v>2</v>
      </c>
      <c r="G935" s="32" t="s">
        <v>561</v>
      </c>
      <c r="H935" s="32">
        <f t="shared" si="99"/>
        <v>0</v>
      </c>
      <c r="I935" s="76"/>
      <c r="J935" s="76">
        <f t="shared" si="100"/>
        <v>0</v>
      </c>
      <c r="K935" s="33"/>
      <c r="L935" s="1"/>
      <c r="M935" s="1"/>
    </row>
    <row r="936" spans="1:13" hidden="1">
      <c r="A936" s="305"/>
      <c r="B936" s="36" t="s">
        <v>390</v>
      </c>
      <c r="C936" s="36" t="s">
        <v>458</v>
      </c>
      <c r="D936" s="34" t="s">
        <v>529</v>
      </c>
      <c r="E936" s="34" t="s">
        <v>530</v>
      </c>
      <c r="F936" s="35">
        <v>1</v>
      </c>
      <c r="G936" s="32" t="s">
        <v>566</v>
      </c>
      <c r="H936" s="32">
        <f t="shared" si="99"/>
        <v>0</v>
      </c>
      <c r="I936" s="72"/>
      <c r="J936" s="72">
        <f t="shared" si="100"/>
        <v>0</v>
      </c>
      <c r="K936" s="33"/>
      <c r="L936" s="1"/>
      <c r="M936" s="1"/>
    </row>
    <row r="937" spans="1:13" hidden="1">
      <c r="A937" s="305"/>
      <c r="B937" s="36" t="s">
        <v>390</v>
      </c>
      <c r="C937" s="36" t="s">
        <v>458</v>
      </c>
      <c r="D937" s="34" t="s">
        <v>531</v>
      </c>
      <c r="E937" s="34" t="s">
        <v>532</v>
      </c>
      <c r="F937" s="35">
        <v>1</v>
      </c>
      <c r="G937" s="32" t="s">
        <v>566</v>
      </c>
      <c r="H937" s="32">
        <f t="shared" si="99"/>
        <v>0</v>
      </c>
      <c r="I937" s="72"/>
      <c r="J937" s="72">
        <f t="shared" si="100"/>
        <v>0</v>
      </c>
      <c r="K937" s="33"/>
      <c r="L937" s="1"/>
      <c r="M937" s="1"/>
    </row>
    <row r="938" spans="1:13" hidden="1">
      <c r="A938" s="305"/>
      <c r="B938" s="36" t="s">
        <v>390</v>
      </c>
      <c r="C938" s="36" t="s">
        <v>458</v>
      </c>
      <c r="D938" s="34" t="s">
        <v>443</v>
      </c>
      <c r="E938" s="36" t="s">
        <v>442</v>
      </c>
      <c r="F938" s="35">
        <v>1</v>
      </c>
      <c r="G938" s="32" t="s">
        <v>570</v>
      </c>
      <c r="H938" s="32">
        <f t="shared" si="99"/>
        <v>0</v>
      </c>
      <c r="I938" s="72"/>
      <c r="J938" s="72">
        <f t="shared" si="100"/>
        <v>0</v>
      </c>
      <c r="K938" s="33"/>
      <c r="L938" s="1"/>
      <c r="M938" s="1"/>
    </row>
    <row r="939" spans="1:13" hidden="1">
      <c r="A939" s="305"/>
      <c r="B939" s="36" t="s">
        <v>390</v>
      </c>
      <c r="C939" s="36" t="s">
        <v>458</v>
      </c>
      <c r="D939" s="34" t="s">
        <v>441</v>
      </c>
      <c r="E939" s="36" t="s">
        <v>440</v>
      </c>
      <c r="F939" s="35">
        <v>1</v>
      </c>
      <c r="G939" s="32" t="s">
        <v>570</v>
      </c>
      <c r="H939" s="32">
        <f t="shared" si="99"/>
        <v>0</v>
      </c>
      <c r="I939" s="72"/>
      <c r="J939" s="72">
        <f t="shared" si="100"/>
        <v>0</v>
      </c>
      <c r="K939" s="33"/>
      <c r="L939" s="1"/>
      <c r="M939" s="1"/>
    </row>
    <row r="940" spans="1:13" hidden="1">
      <c r="A940" s="305"/>
      <c r="B940" s="36" t="s">
        <v>390</v>
      </c>
      <c r="C940" s="36" t="s">
        <v>458</v>
      </c>
      <c r="D940" s="34" t="s">
        <v>546</v>
      </c>
      <c r="E940" s="34" t="s">
        <v>547</v>
      </c>
      <c r="F940" s="35">
        <v>1</v>
      </c>
      <c r="G940" s="32" t="s">
        <v>571</v>
      </c>
      <c r="H940" s="32">
        <f t="shared" si="99"/>
        <v>0</v>
      </c>
      <c r="I940" s="72"/>
      <c r="J940" s="72">
        <f t="shared" si="100"/>
        <v>0</v>
      </c>
      <c r="K940" s="33"/>
      <c r="L940" s="1"/>
      <c r="M940" s="1"/>
    </row>
    <row r="941" spans="1:13" hidden="1">
      <c r="A941" s="305"/>
      <c r="B941" s="36" t="s">
        <v>390</v>
      </c>
      <c r="C941" s="36" t="s">
        <v>458</v>
      </c>
      <c r="D941" s="34" t="s">
        <v>554</v>
      </c>
      <c r="E941" s="34" t="s">
        <v>533</v>
      </c>
      <c r="F941" s="35">
        <v>1</v>
      </c>
      <c r="G941" s="32" t="s">
        <v>571</v>
      </c>
      <c r="H941" s="32">
        <f t="shared" si="99"/>
        <v>0</v>
      </c>
      <c r="I941" s="72"/>
      <c r="J941" s="72">
        <f t="shared" si="100"/>
        <v>0</v>
      </c>
      <c r="K941" s="33"/>
      <c r="L941" s="1"/>
      <c r="M941" s="1"/>
    </row>
    <row r="942" spans="1:13" hidden="1">
      <c r="A942" s="305"/>
      <c r="B942" s="35" t="s">
        <v>390</v>
      </c>
      <c r="C942" s="35" t="s">
        <v>458</v>
      </c>
      <c r="D942" s="35" t="s">
        <v>564</v>
      </c>
      <c r="E942" s="13" t="s">
        <v>522</v>
      </c>
      <c r="F942" s="35">
        <v>1</v>
      </c>
      <c r="G942" s="32" t="s">
        <v>560</v>
      </c>
      <c r="H942" s="32">
        <f t="shared" si="99"/>
        <v>0</v>
      </c>
      <c r="I942" s="72">
        <v>76100</v>
      </c>
      <c r="J942" s="72">
        <f t="shared" si="100"/>
        <v>0</v>
      </c>
      <c r="K942" s="33"/>
      <c r="L942" s="1"/>
      <c r="M942" s="1"/>
    </row>
    <row r="943" spans="1:13" hidden="1">
      <c r="A943" s="305"/>
      <c r="B943" s="35" t="s">
        <v>390</v>
      </c>
      <c r="C943" s="35" t="s">
        <v>458</v>
      </c>
      <c r="D943" s="35" t="s">
        <v>466</v>
      </c>
      <c r="E943" s="35" t="s">
        <v>467</v>
      </c>
      <c r="F943" s="35">
        <v>1</v>
      </c>
      <c r="G943" s="32" t="s">
        <v>235</v>
      </c>
      <c r="H943" s="32">
        <f t="shared" si="99"/>
        <v>0</v>
      </c>
      <c r="I943" s="72"/>
      <c r="J943" s="72">
        <f t="shared" si="100"/>
        <v>0</v>
      </c>
      <c r="K943" s="33"/>
      <c r="L943" s="1"/>
      <c r="M943" s="1"/>
    </row>
    <row r="944" spans="1:13" hidden="1">
      <c r="A944" s="306"/>
      <c r="B944" s="36" t="s">
        <v>391</v>
      </c>
      <c r="C944" s="45" t="s">
        <v>356</v>
      </c>
      <c r="D944" s="46" t="s">
        <v>636</v>
      </c>
      <c r="E944" s="45" t="s">
        <v>637</v>
      </c>
      <c r="F944" s="37">
        <v>1</v>
      </c>
      <c r="G944" s="38"/>
      <c r="H944" s="38"/>
      <c r="I944" s="73"/>
      <c r="J944" s="73"/>
      <c r="K944" s="39"/>
      <c r="L944" s="1"/>
      <c r="M944" s="1"/>
    </row>
    <row r="945" spans="1:13" ht="17.5" hidden="1" thickBot="1">
      <c r="A945" s="309"/>
      <c r="B945" s="45" t="s">
        <v>390</v>
      </c>
      <c r="C945" s="45" t="s">
        <v>458</v>
      </c>
      <c r="D945" s="46" t="s">
        <v>113</v>
      </c>
      <c r="E945" s="45" t="s">
        <v>113</v>
      </c>
      <c r="F945" s="37">
        <v>1</v>
      </c>
      <c r="G945" s="38" t="s">
        <v>240</v>
      </c>
      <c r="H945" s="38">
        <f t="shared" si="99"/>
        <v>0</v>
      </c>
      <c r="I945" s="73"/>
      <c r="J945" s="73">
        <f t="shared" si="100"/>
        <v>0</v>
      </c>
      <c r="K945" s="39"/>
      <c r="L945" s="1"/>
      <c r="M945" s="1"/>
    </row>
    <row r="946" spans="1:13">
      <c r="A946" s="304">
        <v>37</v>
      </c>
      <c r="B946" s="47" t="s">
        <v>395</v>
      </c>
      <c r="C946" s="47" t="s">
        <v>357</v>
      </c>
      <c r="D946" s="47" t="s">
        <v>379</v>
      </c>
      <c r="E946" s="47" t="s">
        <v>382</v>
      </c>
      <c r="F946" s="47">
        <v>1</v>
      </c>
      <c r="G946" s="30" t="s">
        <v>250</v>
      </c>
      <c r="H946" s="30">
        <f t="shared" ref="H946:H959" si="101">$K$19*F946</f>
        <v>1</v>
      </c>
      <c r="I946" s="77">
        <f>118000+53000</f>
        <v>171000</v>
      </c>
      <c r="J946" s="77">
        <f>H946*I946</f>
        <v>171000</v>
      </c>
      <c r="K946" s="31" t="s">
        <v>238</v>
      </c>
      <c r="L946" s="59"/>
      <c r="M946" s="59"/>
    </row>
    <row r="947" spans="1:13">
      <c r="A947" s="305"/>
      <c r="B947" s="35" t="s">
        <v>394</v>
      </c>
      <c r="C947" s="35" t="s">
        <v>378</v>
      </c>
      <c r="D947" s="13" t="s">
        <v>383</v>
      </c>
      <c r="E947" s="35" t="s">
        <v>384</v>
      </c>
      <c r="F947" s="35">
        <v>8</v>
      </c>
      <c r="G947" s="32" t="s">
        <v>954</v>
      </c>
      <c r="H947" s="5">
        <f t="shared" si="101"/>
        <v>8</v>
      </c>
      <c r="I947" s="72">
        <v>2470</v>
      </c>
      <c r="J947" s="72">
        <f t="shared" ref="J947:J1010" si="102">H947*I947</f>
        <v>19760</v>
      </c>
      <c r="K947" s="33"/>
    </row>
    <row r="948" spans="1:13">
      <c r="A948" s="305"/>
      <c r="B948" s="35" t="s">
        <v>394</v>
      </c>
      <c r="C948" s="35" t="s">
        <v>378</v>
      </c>
      <c r="D948" s="13" t="s">
        <v>405</v>
      </c>
      <c r="E948" s="35" t="s">
        <v>978</v>
      </c>
      <c r="F948" s="35">
        <v>1</v>
      </c>
      <c r="G948" s="13" t="s">
        <v>1733</v>
      </c>
      <c r="H948" s="5">
        <f t="shared" si="101"/>
        <v>1</v>
      </c>
      <c r="I948" s="301">
        <v>30594</v>
      </c>
      <c r="J948" s="298">
        <f t="shared" si="102"/>
        <v>30594</v>
      </c>
      <c r="K948" s="33"/>
      <c r="L948" s="59"/>
      <c r="M948" s="59"/>
    </row>
    <row r="949" spans="1:13">
      <c r="A949" s="305"/>
      <c r="B949" s="35" t="s">
        <v>394</v>
      </c>
      <c r="C949" s="35" t="s">
        <v>378</v>
      </c>
      <c r="D949" s="35" t="s">
        <v>411</v>
      </c>
      <c r="E949" s="35" t="s">
        <v>981</v>
      </c>
      <c r="F949" s="35">
        <v>1</v>
      </c>
      <c r="G949" s="13" t="s">
        <v>1733</v>
      </c>
      <c r="H949" s="5">
        <f t="shared" si="101"/>
        <v>1</v>
      </c>
      <c r="I949" s="302"/>
      <c r="J949" s="299"/>
      <c r="K949" s="33"/>
      <c r="L949" s="59"/>
      <c r="M949" s="59"/>
    </row>
    <row r="950" spans="1:13">
      <c r="A950" s="305"/>
      <c r="B950" s="35" t="s">
        <v>394</v>
      </c>
      <c r="C950" s="35" t="s">
        <v>378</v>
      </c>
      <c r="D950" s="35" t="s">
        <v>408</v>
      </c>
      <c r="E950" s="35" t="s">
        <v>982</v>
      </c>
      <c r="F950" s="35">
        <v>1</v>
      </c>
      <c r="G950" s="13" t="s">
        <v>1733</v>
      </c>
      <c r="H950" s="5">
        <f t="shared" si="101"/>
        <v>1</v>
      </c>
      <c r="I950" s="303"/>
      <c r="J950" s="300"/>
      <c r="K950" s="33"/>
      <c r="L950" s="59"/>
      <c r="M950" s="59"/>
    </row>
    <row r="951" spans="1:13">
      <c r="A951" s="305"/>
      <c r="B951" s="35" t="s">
        <v>394</v>
      </c>
      <c r="C951" s="35" t="s">
        <v>378</v>
      </c>
      <c r="D951" s="35" t="s">
        <v>487</v>
      </c>
      <c r="E951" s="35" t="s">
        <v>400</v>
      </c>
      <c r="F951" s="35">
        <v>1</v>
      </c>
      <c r="G951" s="32" t="s">
        <v>569</v>
      </c>
      <c r="H951" s="5">
        <f t="shared" si="101"/>
        <v>1</v>
      </c>
      <c r="I951" s="72">
        <v>5000</v>
      </c>
      <c r="J951" s="76">
        <v>4500</v>
      </c>
      <c r="K951" s="33"/>
      <c r="L951" s="59"/>
      <c r="M951" s="59"/>
    </row>
    <row r="952" spans="1:13">
      <c r="A952" s="305"/>
      <c r="B952" s="35" t="s">
        <v>394</v>
      </c>
      <c r="C952" s="35" t="s">
        <v>378</v>
      </c>
      <c r="D952" s="35" t="s">
        <v>557</v>
      </c>
      <c r="E952" s="35" t="s">
        <v>986</v>
      </c>
      <c r="F952" s="35">
        <v>2</v>
      </c>
      <c r="G952" s="32" t="s">
        <v>955</v>
      </c>
      <c r="H952" s="5">
        <f t="shared" si="101"/>
        <v>2</v>
      </c>
      <c r="I952" s="72">
        <v>400</v>
      </c>
      <c r="J952" s="72">
        <f t="shared" si="102"/>
        <v>800</v>
      </c>
      <c r="K952" s="33"/>
    </row>
    <row r="953" spans="1:13">
      <c r="A953" s="305"/>
      <c r="B953" s="35" t="s">
        <v>394</v>
      </c>
      <c r="C953" s="35" t="s">
        <v>378</v>
      </c>
      <c r="D953" s="35" t="s">
        <v>558</v>
      </c>
      <c r="E953" s="35" t="s">
        <v>987</v>
      </c>
      <c r="F953" s="35">
        <v>2</v>
      </c>
      <c r="G953" s="32" t="s">
        <v>955</v>
      </c>
      <c r="H953" s="5">
        <f t="shared" si="101"/>
        <v>2</v>
      </c>
      <c r="I953" s="72">
        <v>400</v>
      </c>
      <c r="J953" s="72">
        <f t="shared" si="102"/>
        <v>800</v>
      </c>
      <c r="K953" s="33"/>
    </row>
    <row r="954" spans="1:13">
      <c r="A954" s="305"/>
      <c r="B954" s="35" t="s">
        <v>394</v>
      </c>
      <c r="C954" s="35" t="s">
        <v>378</v>
      </c>
      <c r="D954" s="35" t="s">
        <v>545</v>
      </c>
      <c r="E954" s="35" t="s">
        <v>426</v>
      </c>
      <c r="F954" s="35">
        <v>3</v>
      </c>
      <c r="G954" s="32" t="s">
        <v>955</v>
      </c>
      <c r="H954" s="5">
        <f t="shared" si="101"/>
        <v>3</v>
      </c>
      <c r="I954" s="72">
        <v>1500</v>
      </c>
      <c r="J954" s="72">
        <f t="shared" si="102"/>
        <v>4500</v>
      </c>
      <c r="K954" s="33"/>
    </row>
    <row r="955" spans="1:13">
      <c r="A955" s="305"/>
      <c r="B955" s="35" t="s">
        <v>394</v>
      </c>
      <c r="C955" s="35" t="s">
        <v>378</v>
      </c>
      <c r="D955" s="35" t="s">
        <v>539</v>
      </c>
      <c r="E955" s="35" t="s">
        <v>428</v>
      </c>
      <c r="F955" s="35">
        <v>1</v>
      </c>
      <c r="G955" s="32" t="s">
        <v>680</v>
      </c>
      <c r="H955" s="32">
        <f t="shared" ref="H955" si="103">$G$4*F955</f>
        <v>1</v>
      </c>
      <c r="I955" s="72">
        <v>7500</v>
      </c>
      <c r="J955" s="72">
        <f t="shared" si="102"/>
        <v>7500</v>
      </c>
      <c r="K955" s="33"/>
    </row>
    <row r="956" spans="1:13">
      <c r="A956" s="305"/>
      <c r="B956" s="35" t="s">
        <v>394</v>
      </c>
      <c r="C956" s="35" t="s">
        <v>378</v>
      </c>
      <c r="D956" s="35" t="s">
        <v>964</v>
      </c>
      <c r="E956" s="35" t="s">
        <v>962</v>
      </c>
      <c r="F956" s="35">
        <v>1</v>
      </c>
      <c r="G956" s="32" t="s">
        <v>957</v>
      </c>
      <c r="H956" s="5">
        <f t="shared" si="101"/>
        <v>1</v>
      </c>
      <c r="I956" s="72">
        <v>3600</v>
      </c>
      <c r="J956" s="72">
        <f t="shared" si="102"/>
        <v>3600</v>
      </c>
      <c r="K956" s="33"/>
    </row>
    <row r="957" spans="1:13">
      <c r="A957" s="305"/>
      <c r="B957" s="35" t="s">
        <v>394</v>
      </c>
      <c r="C957" s="35" t="s">
        <v>378</v>
      </c>
      <c r="D957" s="35" t="s">
        <v>433</v>
      </c>
      <c r="E957" s="35" t="s">
        <v>431</v>
      </c>
      <c r="F957" s="35">
        <v>1</v>
      </c>
      <c r="G957" s="32" t="s">
        <v>955</v>
      </c>
      <c r="H957" s="5">
        <f t="shared" si="101"/>
        <v>1</v>
      </c>
      <c r="I957" s="76">
        <v>3750</v>
      </c>
      <c r="J957" s="76">
        <f t="shared" si="102"/>
        <v>3750</v>
      </c>
      <c r="K957" s="33"/>
      <c r="L957" s="59"/>
      <c r="M957" s="59"/>
    </row>
    <row r="958" spans="1:13">
      <c r="A958" s="305"/>
      <c r="B958" s="35" t="s">
        <v>394</v>
      </c>
      <c r="C958" s="35" t="s">
        <v>378</v>
      </c>
      <c r="D958" s="35" t="s">
        <v>438</v>
      </c>
      <c r="E958" s="35" t="s">
        <v>435</v>
      </c>
      <c r="F958" s="35">
        <v>1</v>
      </c>
      <c r="G958" s="32" t="s">
        <v>955</v>
      </c>
      <c r="H958" s="5">
        <f t="shared" si="101"/>
        <v>1</v>
      </c>
      <c r="I958" s="76">
        <v>3750</v>
      </c>
      <c r="J958" s="76">
        <f t="shared" si="102"/>
        <v>3750</v>
      </c>
      <c r="K958" s="33"/>
      <c r="L958" s="59"/>
      <c r="M958" s="59"/>
    </row>
    <row r="959" spans="1:13">
      <c r="A959" s="305"/>
      <c r="B959" s="35" t="s">
        <v>394</v>
      </c>
      <c r="C959" s="35" t="s">
        <v>378</v>
      </c>
      <c r="D959" s="35" t="s">
        <v>437</v>
      </c>
      <c r="E959" s="35" t="s">
        <v>613</v>
      </c>
      <c r="F959" s="32">
        <v>2</v>
      </c>
      <c r="G959" s="32" t="s">
        <v>955</v>
      </c>
      <c r="H959" s="5">
        <f t="shared" si="101"/>
        <v>2</v>
      </c>
      <c r="I959" s="76">
        <v>7500</v>
      </c>
      <c r="J959" s="76">
        <f t="shared" si="102"/>
        <v>15000</v>
      </c>
      <c r="K959" s="33"/>
      <c r="L959" s="59"/>
      <c r="M959" s="59"/>
    </row>
    <row r="960" spans="1:13">
      <c r="A960" s="305"/>
      <c r="B960" s="35" t="s">
        <v>394</v>
      </c>
      <c r="C960" s="35" t="s">
        <v>378</v>
      </c>
      <c r="D960" s="13" t="s">
        <v>529</v>
      </c>
      <c r="E960" s="13" t="s">
        <v>530</v>
      </c>
      <c r="F960" s="35">
        <v>1</v>
      </c>
      <c r="G960" s="32" t="s">
        <v>681</v>
      </c>
      <c r="H960" s="32">
        <f t="shared" ref="H960:H970" si="104">$G$4*F960</f>
        <v>1</v>
      </c>
      <c r="I960" s="72">
        <v>2520</v>
      </c>
      <c r="J960" s="72">
        <f t="shared" si="102"/>
        <v>2520</v>
      </c>
      <c r="K960" s="33"/>
    </row>
    <row r="961" spans="1:13">
      <c r="A961" s="305"/>
      <c r="B961" s="35" t="s">
        <v>394</v>
      </c>
      <c r="C961" s="35" t="s">
        <v>378</v>
      </c>
      <c r="D961" s="13" t="s">
        <v>531</v>
      </c>
      <c r="E961" s="13" t="s">
        <v>532</v>
      </c>
      <c r="F961" s="35">
        <v>1</v>
      </c>
      <c r="G961" s="32" t="s">
        <v>976</v>
      </c>
      <c r="H961" s="32">
        <f t="shared" si="104"/>
        <v>1</v>
      </c>
      <c r="I961" s="72">
        <v>5500</v>
      </c>
      <c r="J961" s="72">
        <f t="shared" si="102"/>
        <v>5500</v>
      </c>
      <c r="K961" s="33"/>
    </row>
    <row r="962" spans="1:13">
      <c r="A962" s="305"/>
      <c r="B962" s="35" t="s">
        <v>394</v>
      </c>
      <c r="C962" s="35" t="s">
        <v>378</v>
      </c>
      <c r="D962" s="13" t="s">
        <v>443</v>
      </c>
      <c r="E962" s="35" t="s">
        <v>442</v>
      </c>
      <c r="F962" s="35">
        <v>1</v>
      </c>
      <c r="G962" s="32" t="s">
        <v>678</v>
      </c>
      <c r="H962" s="32">
        <f t="shared" si="104"/>
        <v>1</v>
      </c>
      <c r="I962" s="72">
        <v>7000</v>
      </c>
      <c r="J962" s="72">
        <f t="shared" si="102"/>
        <v>7000</v>
      </c>
      <c r="K962" s="33"/>
    </row>
    <row r="963" spans="1:13">
      <c r="A963" s="305"/>
      <c r="B963" s="35" t="s">
        <v>394</v>
      </c>
      <c r="C963" s="35" t="s">
        <v>378</v>
      </c>
      <c r="D963" s="13" t="s">
        <v>441</v>
      </c>
      <c r="E963" s="35" t="s">
        <v>440</v>
      </c>
      <c r="F963" s="35">
        <v>1</v>
      </c>
      <c r="G963" s="32" t="s">
        <v>678</v>
      </c>
      <c r="H963" s="32">
        <f t="shared" si="104"/>
        <v>1</v>
      </c>
      <c r="I963" s="72">
        <v>7000</v>
      </c>
      <c r="J963" s="72">
        <f t="shared" si="102"/>
        <v>7000</v>
      </c>
      <c r="K963" s="33"/>
    </row>
    <row r="964" spans="1:13">
      <c r="A964" s="305"/>
      <c r="B964" s="35" t="s">
        <v>394</v>
      </c>
      <c r="C964" s="35" t="s">
        <v>378</v>
      </c>
      <c r="D964" s="13" t="s">
        <v>546</v>
      </c>
      <c r="E964" s="13" t="s">
        <v>547</v>
      </c>
      <c r="F964" s="35">
        <v>1</v>
      </c>
      <c r="G964" s="32" t="s">
        <v>571</v>
      </c>
      <c r="H964" s="32">
        <f t="shared" si="104"/>
        <v>1</v>
      </c>
      <c r="I964" s="72">
        <v>3200</v>
      </c>
      <c r="J964" s="72">
        <f t="shared" si="102"/>
        <v>3200</v>
      </c>
      <c r="K964" s="33"/>
    </row>
    <row r="965" spans="1:13">
      <c r="A965" s="305"/>
      <c r="B965" s="35" t="s">
        <v>394</v>
      </c>
      <c r="C965" s="35" t="s">
        <v>378</v>
      </c>
      <c r="D965" s="13" t="s">
        <v>554</v>
      </c>
      <c r="E965" s="13" t="s">
        <v>533</v>
      </c>
      <c r="F965" s="35">
        <v>1</v>
      </c>
      <c r="G965" s="32" t="s">
        <v>686</v>
      </c>
      <c r="H965" s="32">
        <f t="shared" si="104"/>
        <v>1</v>
      </c>
      <c r="I965" s="72">
        <v>900</v>
      </c>
      <c r="J965" s="72">
        <f t="shared" si="102"/>
        <v>900</v>
      </c>
      <c r="K965" s="33"/>
    </row>
    <row r="966" spans="1:13">
      <c r="A966" s="305"/>
      <c r="B966" s="35" t="s">
        <v>394</v>
      </c>
      <c r="C966" s="35" t="s">
        <v>378</v>
      </c>
      <c r="D966" s="101" t="s">
        <v>565</v>
      </c>
      <c r="E966" s="98" t="s">
        <v>522</v>
      </c>
      <c r="F966" s="101">
        <v>1</v>
      </c>
      <c r="G966" s="99" t="s">
        <v>560</v>
      </c>
      <c r="H966" s="99">
        <f t="shared" si="104"/>
        <v>1</v>
      </c>
      <c r="I966" s="100">
        <v>171000</v>
      </c>
      <c r="J966" s="100">
        <f t="shared" si="102"/>
        <v>171000</v>
      </c>
      <c r="K966" s="33"/>
    </row>
    <row r="967" spans="1:13">
      <c r="A967" s="305"/>
      <c r="B967" s="35" t="s">
        <v>394</v>
      </c>
      <c r="C967" s="35" t="s">
        <v>378</v>
      </c>
      <c r="D967" s="109" t="s">
        <v>468</v>
      </c>
      <c r="E967" s="112" t="s">
        <v>470</v>
      </c>
      <c r="F967" s="112">
        <v>1</v>
      </c>
      <c r="G967" s="110" t="s">
        <v>235</v>
      </c>
      <c r="H967" s="110">
        <f t="shared" si="104"/>
        <v>1</v>
      </c>
      <c r="I967" s="111">
        <f>(48*2700)+300000</f>
        <v>429600</v>
      </c>
      <c r="J967" s="111">
        <f t="shared" si="102"/>
        <v>429600</v>
      </c>
      <c r="K967" s="33"/>
    </row>
    <row r="968" spans="1:13">
      <c r="A968" s="306"/>
      <c r="B968" s="35" t="s">
        <v>395</v>
      </c>
      <c r="C968" s="37" t="s">
        <v>357</v>
      </c>
      <c r="D968" s="15" t="s">
        <v>636</v>
      </c>
      <c r="E968" s="37" t="s">
        <v>637</v>
      </c>
      <c r="F968" s="37">
        <v>1</v>
      </c>
      <c r="G968" s="38" t="s">
        <v>690</v>
      </c>
      <c r="H968" s="32">
        <f t="shared" si="104"/>
        <v>1</v>
      </c>
      <c r="I968" s="73">
        <f>14000+1500</f>
        <v>15500</v>
      </c>
      <c r="J968" s="72">
        <f t="shared" si="102"/>
        <v>15500</v>
      </c>
      <c r="K968" s="39"/>
    </row>
    <row r="969" spans="1:13" ht="17.5" thickBot="1">
      <c r="A969" s="306"/>
      <c r="B969" s="35" t="s">
        <v>395</v>
      </c>
      <c r="C969" s="37" t="s">
        <v>357</v>
      </c>
      <c r="D969" s="15" t="s">
        <v>1734</v>
      </c>
      <c r="E969" s="37" t="s">
        <v>831</v>
      </c>
      <c r="F969" s="37">
        <v>1</v>
      </c>
      <c r="G969" s="38" t="s">
        <v>678</v>
      </c>
      <c r="H969" s="38">
        <v>1</v>
      </c>
      <c r="I969" s="73">
        <v>6500</v>
      </c>
      <c r="J969" s="73">
        <v>6500</v>
      </c>
      <c r="K969" s="39"/>
    </row>
    <row r="970" spans="1:13" ht="26" thickBot="1">
      <c r="A970" s="307"/>
      <c r="B970" s="84" t="s">
        <v>394</v>
      </c>
      <c r="C970" s="84" t="s">
        <v>378</v>
      </c>
      <c r="D970" s="53" t="s">
        <v>113</v>
      </c>
      <c r="E970" s="84" t="s">
        <v>113</v>
      </c>
      <c r="F970" s="84">
        <v>1</v>
      </c>
      <c r="G970" s="85" t="s">
        <v>240</v>
      </c>
      <c r="H970" s="85">
        <f t="shared" si="104"/>
        <v>1</v>
      </c>
      <c r="I970" s="86">
        <v>13400</v>
      </c>
      <c r="J970" s="86">
        <f t="shared" si="102"/>
        <v>13400</v>
      </c>
      <c r="K970" s="44"/>
      <c r="L970" s="254">
        <f>SUBTOTAL(9,J944:J970)</f>
        <v>927674</v>
      </c>
    </row>
    <row r="971" spans="1:13" hidden="1">
      <c r="A971" s="308">
        <v>38</v>
      </c>
      <c r="B971" s="8" t="s">
        <v>394</v>
      </c>
      <c r="C971" s="8" t="s">
        <v>358</v>
      </c>
      <c r="D971" s="8" t="s">
        <v>379</v>
      </c>
      <c r="E971" s="8" t="s">
        <v>382</v>
      </c>
      <c r="F971" s="8">
        <v>1</v>
      </c>
      <c r="G971" s="5" t="s">
        <v>250</v>
      </c>
      <c r="H971" s="5">
        <f>$K$20*F971</f>
        <v>0</v>
      </c>
      <c r="I971" s="75"/>
      <c r="J971" s="75">
        <f t="shared" si="102"/>
        <v>0</v>
      </c>
      <c r="K971" s="40" t="s">
        <v>238</v>
      </c>
      <c r="L971" s="1"/>
      <c r="M971" s="1"/>
    </row>
    <row r="972" spans="1:13" hidden="1">
      <c r="A972" s="305"/>
      <c r="B972" s="36" t="s">
        <v>394</v>
      </c>
      <c r="C972" s="36" t="s">
        <v>385</v>
      </c>
      <c r="D972" s="34" t="s">
        <v>383</v>
      </c>
      <c r="E972" s="36" t="s">
        <v>384</v>
      </c>
      <c r="F972" s="35">
        <v>8</v>
      </c>
      <c r="G972" s="32" t="s">
        <v>954</v>
      </c>
      <c r="H972" s="32">
        <f t="shared" ref="H972:H994" si="105">$K$20*F972</f>
        <v>0</v>
      </c>
      <c r="I972" s="72"/>
      <c r="J972" s="72">
        <f t="shared" si="102"/>
        <v>0</v>
      </c>
      <c r="K972" s="33"/>
      <c r="L972" s="1"/>
      <c r="M972" s="1"/>
    </row>
    <row r="973" spans="1:13" hidden="1">
      <c r="A973" s="305"/>
      <c r="B973" s="35" t="s">
        <v>394</v>
      </c>
      <c r="C973" s="35" t="s">
        <v>385</v>
      </c>
      <c r="D973" s="13" t="s">
        <v>405</v>
      </c>
      <c r="E973" s="35" t="s">
        <v>414</v>
      </c>
      <c r="F973" s="35">
        <v>1</v>
      </c>
      <c r="G973" s="32" t="s">
        <v>567</v>
      </c>
      <c r="H973" s="32">
        <f t="shared" si="105"/>
        <v>0</v>
      </c>
      <c r="I973" s="76"/>
      <c r="J973" s="76">
        <f t="shared" si="102"/>
        <v>0</v>
      </c>
      <c r="K973" s="33"/>
      <c r="L973" s="1"/>
      <c r="M973" s="1"/>
    </row>
    <row r="974" spans="1:13" hidden="1">
      <c r="A974" s="305"/>
      <c r="B974" s="35" t="s">
        <v>394</v>
      </c>
      <c r="C974" s="35" t="s">
        <v>385</v>
      </c>
      <c r="D974" s="35" t="s">
        <v>411</v>
      </c>
      <c r="E974" s="35" t="s">
        <v>417</v>
      </c>
      <c r="F974" s="35">
        <v>1</v>
      </c>
      <c r="G974" s="32" t="s">
        <v>567</v>
      </c>
      <c r="H974" s="32">
        <f t="shared" si="105"/>
        <v>0</v>
      </c>
      <c r="I974" s="76"/>
      <c r="J974" s="76">
        <f t="shared" si="102"/>
        <v>0</v>
      </c>
      <c r="K974" s="33"/>
      <c r="L974" s="1"/>
      <c r="M974" s="1"/>
    </row>
    <row r="975" spans="1:13" hidden="1">
      <c r="A975" s="305"/>
      <c r="B975" s="35" t="s">
        <v>394</v>
      </c>
      <c r="C975" s="35" t="s">
        <v>385</v>
      </c>
      <c r="D975" s="35" t="s">
        <v>408</v>
      </c>
      <c r="E975" s="35" t="s">
        <v>419</v>
      </c>
      <c r="F975" s="35">
        <v>1</v>
      </c>
      <c r="G975" s="32" t="s">
        <v>567</v>
      </c>
      <c r="H975" s="32">
        <f t="shared" si="105"/>
        <v>0</v>
      </c>
      <c r="I975" s="76"/>
      <c r="J975" s="76">
        <f t="shared" si="102"/>
        <v>0</v>
      </c>
      <c r="K975" s="33"/>
      <c r="L975" s="1"/>
      <c r="M975" s="1"/>
    </row>
    <row r="976" spans="1:13" hidden="1">
      <c r="A976" s="305"/>
      <c r="B976" s="35" t="s">
        <v>394</v>
      </c>
      <c r="C976" s="35" t="s">
        <v>385</v>
      </c>
      <c r="D976" s="35" t="s">
        <v>487</v>
      </c>
      <c r="E976" s="35" t="s">
        <v>400</v>
      </c>
      <c r="F976" s="35">
        <v>1</v>
      </c>
      <c r="G976" s="32" t="s">
        <v>569</v>
      </c>
      <c r="H976" s="32">
        <f t="shared" si="105"/>
        <v>0</v>
      </c>
      <c r="I976" s="76"/>
      <c r="J976" s="76">
        <f t="shared" si="102"/>
        <v>0</v>
      </c>
      <c r="K976" s="33"/>
      <c r="L976" s="1"/>
      <c r="M976" s="1"/>
    </row>
    <row r="977" spans="1:13" hidden="1">
      <c r="A977" s="305"/>
      <c r="B977" s="35" t="s">
        <v>394</v>
      </c>
      <c r="C977" s="35" t="s">
        <v>385</v>
      </c>
      <c r="D977" s="35" t="s">
        <v>557</v>
      </c>
      <c r="E977" s="35" t="s">
        <v>423</v>
      </c>
      <c r="F977" s="35">
        <v>2</v>
      </c>
      <c r="G977" s="32" t="s">
        <v>561</v>
      </c>
      <c r="H977" s="32">
        <f t="shared" si="105"/>
        <v>0</v>
      </c>
      <c r="I977" s="72"/>
      <c r="J977" s="72">
        <f t="shared" si="102"/>
        <v>0</v>
      </c>
      <c r="K977" s="33"/>
      <c r="L977" s="1"/>
      <c r="M977" s="1"/>
    </row>
    <row r="978" spans="1:13" hidden="1">
      <c r="A978" s="305"/>
      <c r="B978" s="35" t="s">
        <v>394</v>
      </c>
      <c r="C978" s="35" t="s">
        <v>385</v>
      </c>
      <c r="D978" s="35" t="s">
        <v>558</v>
      </c>
      <c r="E978" s="35" t="s">
        <v>421</v>
      </c>
      <c r="F978" s="35">
        <v>2</v>
      </c>
      <c r="G978" s="32" t="s">
        <v>561</v>
      </c>
      <c r="H978" s="32">
        <f t="shared" si="105"/>
        <v>0</v>
      </c>
      <c r="I978" s="72"/>
      <c r="J978" s="72">
        <f t="shared" si="102"/>
        <v>0</v>
      </c>
      <c r="K978" s="33"/>
      <c r="L978" s="1"/>
      <c r="M978" s="1"/>
    </row>
    <row r="979" spans="1:13" hidden="1">
      <c r="A979" s="305"/>
      <c r="B979" s="35" t="s">
        <v>394</v>
      </c>
      <c r="C979" s="35" t="s">
        <v>385</v>
      </c>
      <c r="D979" s="35" t="s">
        <v>545</v>
      </c>
      <c r="E979" s="35" t="s">
        <v>426</v>
      </c>
      <c r="F979" s="35">
        <v>3</v>
      </c>
      <c r="G979" s="32" t="s">
        <v>561</v>
      </c>
      <c r="H979" s="32">
        <f t="shared" si="105"/>
        <v>0</v>
      </c>
      <c r="I979" s="72"/>
      <c r="J979" s="72">
        <f t="shared" si="102"/>
        <v>0</v>
      </c>
      <c r="K979" s="33"/>
      <c r="L979" s="1"/>
      <c r="M979" s="1"/>
    </row>
    <row r="980" spans="1:13" hidden="1">
      <c r="A980" s="305"/>
      <c r="B980" s="35" t="s">
        <v>394</v>
      </c>
      <c r="C980" s="35" t="s">
        <v>385</v>
      </c>
      <c r="D980" s="35" t="s">
        <v>539</v>
      </c>
      <c r="E980" s="35" t="s">
        <v>428</v>
      </c>
      <c r="F980" s="35">
        <v>1</v>
      </c>
      <c r="G980" s="32" t="s">
        <v>562</v>
      </c>
      <c r="H980" s="32">
        <f t="shared" si="105"/>
        <v>0</v>
      </c>
      <c r="I980" s="72"/>
      <c r="J980" s="72">
        <f t="shared" si="102"/>
        <v>0</v>
      </c>
      <c r="K980" s="33"/>
      <c r="L980" s="1"/>
      <c r="M980" s="1"/>
    </row>
    <row r="981" spans="1:13" hidden="1">
      <c r="A981" s="305"/>
      <c r="B981" s="36" t="s">
        <v>394</v>
      </c>
      <c r="C981" s="36" t="s">
        <v>385</v>
      </c>
      <c r="D981" s="36" t="s">
        <v>540</v>
      </c>
      <c r="E981" s="36" t="s">
        <v>429</v>
      </c>
      <c r="F981" s="35">
        <v>1</v>
      </c>
      <c r="G981" s="32" t="s">
        <v>568</v>
      </c>
      <c r="H981" s="32">
        <f t="shared" si="105"/>
        <v>0</v>
      </c>
      <c r="I981" s="72"/>
      <c r="J981" s="72">
        <f t="shared" si="102"/>
        <v>0</v>
      </c>
      <c r="K981" s="33"/>
      <c r="L981" s="1"/>
      <c r="M981" s="1"/>
    </row>
    <row r="982" spans="1:13" hidden="1">
      <c r="A982" s="305"/>
      <c r="B982" s="35" t="s">
        <v>394</v>
      </c>
      <c r="C982" s="35" t="s">
        <v>385</v>
      </c>
      <c r="D982" s="35" t="s">
        <v>433</v>
      </c>
      <c r="E982" s="35" t="s">
        <v>431</v>
      </c>
      <c r="F982" s="35">
        <v>1</v>
      </c>
      <c r="G982" s="32" t="s">
        <v>561</v>
      </c>
      <c r="H982" s="32">
        <f t="shared" si="105"/>
        <v>0</v>
      </c>
      <c r="I982" s="76"/>
      <c r="J982" s="76">
        <f t="shared" si="102"/>
        <v>0</v>
      </c>
      <c r="K982" s="33"/>
      <c r="L982" s="1"/>
      <c r="M982" s="1"/>
    </row>
    <row r="983" spans="1:13" hidden="1">
      <c r="A983" s="305"/>
      <c r="B983" s="35" t="s">
        <v>394</v>
      </c>
      <c r="C983" s="35" t="s">
        <v>385</v>
      </c>
      <c r="D983" s="35" t="s">
        <v>438</v>
      </c>
      <c r="E983" s="35" t="s">
        <v>435</v>
      </c>
      <c r="F983" s="35">
        <v>1</v>
      </c>
      <c r="G983" s="32" t="s">
        <v>561</v>
      </c>
      <c r="H983" s="32">
        <f t="shared" si="105"/>
        <v>0</v>
      </c>
      <c r="I983" s="76"/>
      <c r="J983" s="76">
        <f t="shared" si="102"/>
        <v>0</v>
      </c>
      <c r="K983" s="33"/>
      <c r="L983" s="1"/>
      <c r="M983" s="1"/>
    </row>
    <row r="984" spans="1:13" hidden="1">
      <c r="A984" s="305"/>
      <c r="B984" s="35" t="s">
        <v>394</v>
      </c>
      <c r="C984" s="35" t="s">
        <v>385</v>
      </c>
      <c r="D984" s="35" t="s">
        <v>437</v>
      </c>
      <c r="E984" s="35" t="s">
        <v>613</v>
      </c>
      <c r="F984" s="32">
        <v>2</v>
      </c>
      <c r="G984" s="32" t="s">
        <v>561</v>
      </c>
      <c r="H984" s="32">
        <f t="shared" si="105"/>
        <v>0</v>
      </c>
      <c r="I984" s="76"/>
      <c r="J984" s="76">
        <f t="shared" si="102"/>
        <v>0</v>
      </c>
      <c r="K984" s="33"/>
      <c r="L984" s="1"/>
      <c r="M984" s="1"/>
    </row>
    <row r="985" spans="1:13" hidden="1">
      <c r="A985" s="305"/>
      <c r="B985" s="36" t="s">
        <v>394</v>
      </c>
      <c r="C985" s="36" t="s">
        <v>385</v>
      </c>
      <c r="D985" s="34" t="s">
        <v>529</v>
      </c>
      <c r="E985" s="34" t="s">
        <v>530</v>
      </c>
      <c r="F985" s="35">
        <v>1</v>
      </c>
      <c r="G985" s="32" t="s">
        <v>566</v>
      </c>
      <c r="H985" s="32">
        <f t="shared" si="105"/>
        <v>0</v>
      </c>
      <c r="I985" s="72"/>
      <c r="J985" s="72">
        <f t="shared" si="102"/>
        <v>0</v>
      </c>
      <c r="K985" s="33"/>
      <c r="L985" s="1"/>
      <c r="M985" s="1"/>
    </row>
    <row r="986" spans="1:13" hidden="1">
      <c r="A986" s="305"/>
      <c r="B986" s="36" t="s">
        <v>394</v>
      </c>
      <c r="C986" s="36" t="s">
        <v>385</v>
      </c>
      <c r="D986" s="34" t="s">
        <v>531</v>
      </c>
      <c r="E986" s="34" t="s">
        <v>532</v>
      </c>
      <c r="F986" s="35">
        <v>1</v>
      </c>
      <c r="G986" s="32" t="s">
        <v>566</v>
      </c>
      <c r="H986" s="32">
        <f t="shared" si="105"/>
        <v>0</v>
      </c>
      <c r="I986" s="72"/>
      <c r="J986" s="72">
        <f t="shared" si="102"/>
        <v>0</v>
      </c>
      <c r="K986" s="33"/>
      <c r="L986" s="1"/>
      <c r="M986" s="1"/>
    </row>
    <row r="987" spans="1:13" hidden="1">
      <c r="A987" s="305"/>
      <c r="B987" s="36" t="s">
        <v>394</v>
      </c>
      <c r="C987" s="36" t="s">
        <v>385</v>
      </c>
      <c r="D987" s="34" t="s">
        <v>443</v>
      </c>
      <c r="E987" s="36" t="s">
        <v>442</v>
      </c>
      <c r="F987" s="35">
        <v>1</v>
      </c>
      <c r="G987" s="32" t="s">
        <v>570</v>
      </c>
      <c r="H987" s="32">
        <f t="shared" si="105"/>
        <v>0</v>
      </c>
      <c r="I987" s="72"/>
      <c r="J987" s="72">
        <f t="shared" si="102"/>
        <v>0</v>
      </c>
      <c r="K987" s="33"/>
      <c r="L987" s="1"/>
      <c r="M987" s="1"/>
    </row>
    <row r="988" spans="1:13" hidden="1">
      <c r="A988" s="305"/>
      <c r="B988" s="36" t="s">
        <v>394</v>
      </c>
      <c r="C988" s="36" t="s">
        <v>385</v>
      </c>
      <c r="D988" s="34" t="s">
        <v>441</v>
      </c>
      <c r="E988" s="36" t="s">
        <v>440</v>
      </c>
      <c r="F988" s="35">
        <v>1</v>
      </c>
      <c r="G988" s="32" t="s">
        <v>570</v>
      </c>
      <c r="H988" s="32">
        <f t="shared" si="105"/>
        <v>0</v>
      </c>
      <c r="I988" s="72"/>
      <c r="J988" s="72">
        <f t="shared" si="102"/>
        <v>0</v>
      </c>
      <c r="K988" s="33"/>
      <c r="L988" s="1"/>
      <c r="M988" s="1"/>
    </row>
    <row r="989" spans="1:13" hidden="1">
      <c r="A989" s="305"/>
      <c r="B989" s="36" t="s">
        <v>394</v>
      </c>
      <c r="C989" s="36" t="s">
        <v>385</v>
      </c>
      <c r="D989" s="34" t="s">
        <v>546</v>
      </c>
      <c r="E989" s="34" t="s">
        <v>547</v>
      </c>
      <c r="F989" s="35">
        <v>1</v>
      </c>
      <c r="G989" s="32" t="s">
        <v>571</v>
      </c>
      <c r="H989" s="32">
        <f t="shared" si="105"/>
        <v>0</v>
      </c>
      <c r="I989" s="72"/>
      <c r="J989" s="72">
        <f t="shared" si="102"/>
        <v>0</v>
      </c>
      <c r="K989" s="33"/>
      <c r="L989" s="1"/>
      <c r="M989" s="1"/>
    </row>
    <row r="990" spans="1:13" hidden="1">
      <c r="A990" s="305"/>
      <c r="B990" s="36" t="s">
        <v>394</v>
      </c>
      <c r="C990" s="36" t="s">
        <v>385</v>
      </c>
      <c r="D990" s="34" t="s">
        <v>554</v>
      </c>
      <c r="E990" s="34" t="s">
        <v>533</v>
      </c>
      <c r="F990" s="35">
        <v>1</v>
      </c>
      <c r="G990" s="32" t="s">
        <v>571</v>
      </c>
      <c r="H990" s="32">
        <f t="shared" si="105"/>
        <v>0</v>
      </c>
      <c r="I990" s="72"/>
      <c r="J990" s="72">
        <f t="shared" si="102"/>
        <v>0</v>
      </c>
      <c r="K990" s="33"/>
      <c r="L990" s="1"/>
      <c r="M990" s="1"/>
    </row>
    <row r="991" spans="1:13" hidden="1">
      <c r="A991" s="305"/>
      <c r="B991" s="35" t="s">
        <v>394</v>
      </c>
      <c r="C991" s="35" t="s">
        <v>385</v>
      </c>
      <c r="D991" s="35" t="s">
        <v>565</v>
      </c>
      <c r="E991" s="13" t="s">
        <v>522</v>
      </c>
      <c r="F991" s="35">
        <v>1</v>
      </c>
      <c r="G991" s="32" t="s">
        <v>560</v>
      </c>
      <c r="H991" s="32">
        <f t="shared" si="105"/>
        <v>0</v>
      </c>
      <c r="I991" s="72">
        <v>119200</v>
      </c>
      <c r="J991" s="72">
        <f t="shared" si="102"/>
        <v>0</v>
      </c>
      <c r="K991" s="33"/>
      <c r="L991" s="1"/>
      <c r="M991" s="1"/>
    </row>
    <row r="992" spans="1:13" hidden="1">
      <c r="A992" s="305"/>
      <c r="B992" s="36" t="s">
        <v>394</v>
      </c>
      <c r="C992" s="36" t="s">
        <v>385</v>
      </c>
      <c r="D992" s="34" t="s">
        <v>469</v>
      </c>
      <c r="E992" s="36" t="s">
        <v>471</v>
      </c>
      <c r="F992" s="35">
        <v>1</v>
      </c>
      <c r="G992" s="32" t="s">
        <v>235</v>
      </c>
      <c r="H992" s="32">
        <f t="shared" si="105"/>
        <v>0</v>
      </c>
      <c r="I992" s="72"/>
      <c r="J992" s="72">
        <f t="shared" si="102"/>
        <v>0</v>
      </c>
      <c r="K992" s="33"/>
      <c r="L992" s="1"/>
      <c r="M992" s="1"/>
    </row>
    <row r="993" spans="1:13" hidden="1">
      <c r="A993" s="306"/>
      <c r="B993" s="36" t="s">
        <v>395</v>
      </c>
      <c r="C993" s="45" t="s">
        <v>358</v>
      </c>
      <c r="D993" s="46" t="s">
        <v>636</v>
      </c>
      <c r="E993" s="45" t="s">
        <v>637</v>
      </c>
      <c r="F993" s="37">
        <v>1</v>
      </c>
      <c r="G993" s="38"/>
      <c r="H993" s="38"/>
      <c r="I993" s="73"/>
      <c r="J993" s="73"/>
      <c r="K993" s="39"/>
      <c r="L993" s="1"/>
      <c r="M993" s="1"/>
    </row>
    <row r="994" spans="1:13" ht="17.5" hidden="1" thickBot="1">
      <c r="A994" s="309"/>
      <c r="B994" s="45" t="s">
        <v>394</v>
      </c>
      <c r="C994" s="45" t="s">
        <v>385</v>
      </c>
      <c r="D994" s="46" t="s">
        <v>113</v>
      </c>
      <c r="E994" s="45" t="s">
        <v>113</v>
      </c>
      <c r="F994" s="37">
        <v>1</v>
      </c>
      <c r="G994" s="38" t="s">
        <v>240</v>
      </c>
      <c r="H994" s="38">
        <f t="shared" si="105"/>
        <v>0</v>
      </c>
      <c r="I994" s="73"/>
      <c r="J994" s="73">
        <f t="shared" si="102"/>
        <v>0</v>
      </c>
      <c r="K994" s="39"/>
      <c r="L994" s="1"/>
      <c r="M994" s="1"/>
    </row>
    <row r="995" spans="1:13">
      <c r="A995" s="304">
        <v>39</v>
      </c>
      <c r="B995" s="47" t="s">
        <v>394</v>
      </c>
      <c r="C995" s="47" t="s">
        <v>359</v>
      </c>
      <c r="D995" s="47" t="s">
        <v>379</v>
      </c>
      <c r="E995" s="47" t="s">
        <v>382</v>
      </c>
      <c r="F995" s="47">
        <v>1</v>
      </c>
      <c r="G995" s="30" t="s">
        <v>250</v>
      </c>
      <c r="H995" s="32">
        <f t="shared" ref="H995:H1008" si="106">$K$21*F995</f>
        <v>1</v>
      </c>
      <c r="I995" s="77">
        <f>118000+53000</f>
        <v>171000</v>
      </c>
      <c r="J995" s="77">
        <f t="shared" si="102"/>
        <v>171000</v>
      </c>
      <c r="K995" s="31" t="s">
        <v>238</v>
      </c>
      <c r="L995" s="59"/>
      <c r="M995" s="59"/>
    </row>
    <row r="996" spans="1:13">
      <c r="A996" s="305"/>
      <c r="B996" s="35" t="s">
        <v>394</v>
      </c>
      <c r="C996" s="35" t="s">
        <v>459</v>
      </c>
      <c r="D996" s="13" t="s">
        <v>383</v>
      </c>
      <c r="E996" s="35" t="s">
        <v>384</v>
      </c>
      <c r="F996" s="35">
        <v>8</v>
      </c>
      <c r="G996" s="32" t="s">
        <v>954</v>
      </c>
      <c r="H996" s="32">
        <f t="shared" si="106"/>
        <v>8</v>
      </c>
      <c r="I996" s="72">
        <v>2900</v>
      </c>
      <c r="J996" s="72">
        <f t="shared" si="102"/>
        <v>23200</v>
      </c>
      <c r="K996" s="33"/>
    </row>
    <row r="997" spans="1:13">
      <c r="A997" s="305"/>
      <c r="B997" s="35" t="s">
        <v>394</v>
      </c>
      <c r="C997" s="35" t="s">
        <v>459</v>
      </c>
      <c r="D997" s="13" t="s">
        <v>405</v>
      </c>
      <c r="E997" s="35" t="s">
        <v>978</v>
      </c>
      <c r="F997" s="35">
        <v>1</v>
      </c>
      <c r="G997" s="13" t="s">
        <v>1733</v>
      </c>
      <c r="H997" s="32">
        <f t="shared" si="106"/>
        <v>1</v>
      </c>
      <c r="I997" s="301">
        <v>30594</v>
      </c>
      <c r="J997" s="298">
        <f t="shared" si="102"/>
        <v>30594</v>
      </c>
      <c r="K997" s="33"/>
      <c r="L997" s="59"/>
      <c r="M997" s="59"/>
    </row>
    <row r="998" spans="1:13">
      <c r="A998" s="305"/>
      <c r="B998" s="35" t="s">
        <v>394</v>
      </c>
      <c r="C998" s="35" t="s">
        <v>459</v>
      </c>
      <c r="D998" s="35" t="s">
        <v>411</v>
      </c>
      <c r="E998" s="35" t="s">
        <v>981</v>
      </c>
      <c r="F998" s="35">
        <v>1</v>
      </c>
      <c r="G998" s="13" t="s">
        <v>1733</v>
      </c>
      <c r="H998" s="32">
        <f t="shared" si="106"/>
        <v>1</v>
      </c>
      <c r="I998" s="302"/>
      <c r="J998" s="299"/>
      <c r="K998" s="33"/>
      <c r="L998" s="59"/>
      <c r="M998" s="59"/>
    </row>
    <row r="999" spans="1:13">
      <c r="A999" s="305"/>
      <c r="B999" s="35" t="s">
        <v>394</v>
      </c>
      <c r="C999" s="35" t="s">
        <v>459</v>
      </c>
      <c r="D999" s="35" t="s">
        <v>408</v>
      </c>
      <c r="E999" s="35" t="s">
        <v>982</v>
      </c>
      <c r="F999" s="35">
        <v>1</v>
      </c>
      <c r="G999" s="13" t="s">
        <v>1733</v>
      </c>
      <c r="H999" s="32">
        <f t="shared" si="106"/>
        <v>1</v>
      </c>
      <c r="I999" s="303"/>
      <c r="J999" s="300"/>
      <c r="K999" s="33"/>
      <c r="L999" s="59"/>
      <c r="M999" s="59"/>
    </row>
    <row r="1000" spans="1:13">
      <c r="A1000" s="305"/>
      <c r="B1000" s="35" t="s">
        <v>394</v>
      </c>
      <c r="C1000" s="35" t="s">
        <v>459</v>
      </c>
      <c r="D1000" s="13" t="s">
        <v>559</v>
      </c>
      <c r="E1000" s="35" t="s">
        <v>402</v>
      </c>
      <c r="F1000" s="35">
        <v>1</v>
      </c>
      <c r="G1000" s="32" t="s">
        <v>569</v>
      </c>
      <c r="H1000" s="32">
        <f t="shared" si="106"/>
        <v>1</v>
      </c>
      <c r="I1000" s="72">
        <v>5300</v>
      </c>
      <c r="J1000" s="72">
        <v>4500</v>
      </c>
      <c r="K1000" s="33"/>
    </row>
    <row r="1001" spans="1:13">
      <c r="A1001" s="305"/>
      <c r="B1001" s="35" t="s">
        <v>394</v>
      </c>
      <c r="C1001" s="35" t="s">
        <v>459</v>
      </c>
      <c r="D1001" s="35" t="s">
        <v>557</v>
      </c>
      <c r="E1001" s="35" t="s">
        <v>986</v>
      </c>
      <c r="F1001" s="35">
        <v>2</v>
      </c>
      <c r="G1001" s="32" t="s">
        <v>955</v>
      </c>
      <c r="H1001" s="32">
        <f t="shared" si="106"/>
        <v>2</v>
      </c>
      <c r="I1001" s="72">
        <v>400</v>
      </c>
      <c r="J1001" s="72">
        <f t="shared" si="102"/>
        <v>800</v>
      </c>
      <c r="K1001" s="33"/>
    </row>
    <row r="1002" spans="1:13">
      <c r="A1002" s="305"/>
      <c r="B1002" s="35" t="s">
        <v>394</v>
      </c>
      <c r="C1002" s="35" t="s">
        <v>459</v>
      </c>
      <c r="D1002" s="35" t="s">
        <v>558</v>
      </c>
      <c r="E1002" s="35" t="s">
        <v>987</v>
      </c>
      <c r="F1002" s="35">
        <v>2</v>
      </c>
      <c r="G1002" s="32" t="s">
        <v>955</v>
      </c>
      <c r="H1002" s="32">
        <f t="shared" si="106"/>
        <v>2</v>
      </c>
      <c r="I1002" s="72">
        <v>400</v>
      </c>
      <c r="J1002" s="72">
        <f t="shared" si="102"/>
        <v>800</v>
      </c>
      <c r="K1002" s="33"/>
    </row>
    <row r="1003" spans="1:13">
      <c r="A1003" s="305"/>
      <c r="B1003" s="35" t="s">
        <v>394</v>
      </c>
      <c r="C1003" s="35" t="s">
        <v>459</v>
      </c>
      <c r="D1003" s="35" t="s">
        <v>545</v>
      </c>
      <c r="E1003" s="35" t="s">
        <v>426</v>
      </c>
      <c r="F1003" s="35">
        <v>3</v>
      </c>
      <c r="G1003" s="32" t="s">
        <v>955</v>
      </c>
      <c r="H1003" s="32">
        <f t="shared" si="106"/>
        <v>3</v>
      </c>
      <c r="I1003" s="72">
        <v>1500</v>
      </c>
      <c r="J1003" s="72">
        <f t="shared" si="102"/>
        <v>4500</v>
      </c>
      <c r="K1003" s="33"/>
    </row>
    <row r="1004" spans="1:13">
      <c r="A1004" s="305"/>
      <c r="B1004" s="35" t="s">
        <v>394</v>
      </c>
      <c r="C1004" s="35" t="s">
        <v>459</v>
      </c>
      <c r="D1004" s="35" t="s">
        <v>539</v>
      </c>
      <c r="E1004" s="35" t="s">
        <v>428</v>
      </c>
      <c r="F1004" s="35">
        <v>1</v>
      </c>
      <c r="G1004" s="32" t="s">
        <v>680</v>
      </c>
      <c r="H1004" s="32">
        <f t="shared" ref="H1004" si="107">$G$4*F1004</f>
        <v>1</v>
      </c>
      <c r="I1004" s="72">
        <v>7500</v>
      </c>
      <c r="J1004" s="72">
        <f t="shared" si="102"/>
        <v>7500</v>
      </c>
      <c r="K1004" s="33"/>
    </row>
    <row r="1005" spans="1:13">
      <c r="A1005" s="305"/>
      <c r="B1005" s="35" t="s">
        <v>394</v>
      </c>
      <c r="C1005" s="35" t="s">
        <v>459</v>
      </c>
      <c r="D1005" s="35" t="s">
        <v>965</v>
      </c>
      <c r="E1005" s="35" t="s">
        <v>962</v>
      </c>
      <c r="F1005" s="35">
        <v>1</v>
      </c>
      <c r="G1005" s="32" t="s">
        <v>957</v>
      </c>
      <c r="H1005" s="32">
        <f t="shared" si="106"/>
        <v>1</v>
      </c>
      <c r="I1005" s="72">
        <v>3600</v>
      </c>
      <c r="J1005" s="72">
        <f t="shared" si="102"/>
        <v>3600</v>
      </c>
      <c r="K1005" s="33"/>
    </row>
    <row r="1006" spans="1:13">
      <c r="A1006" s="305"/>
      <c r="B1006" s="35" t="s">
        <v>394</v>
      </c>
      <c r="C1006" s="35" t="s">
        <v>459</v>
      </c>
      <c r="D1006" s="35" t="s">
        <v>433</v>
      </c>
      <c r="E1006" s="35" t="s">
        <v>431</v>
      </c>
      <c r="F1006" s="35">
        <v>1</v>
      </c>
      <c r="G1006" s="32" t="s">
        <v>955</v>
      </c>
      <c r="H1006" s="32">
        <f t="shared" si="106"/>
        <v>1</v>
      </c>
      <c r="I1006" s="76">
        <v>3750</v>
      </c>
      <c r="J1006" s="76">
        <f t="shared" si="102"/>
        <v>3750</v>
      </c>
      <c r="K1006" s="33"/>
      <c r="L1006" s="59"/>
      <c r="M1006" s="59"/>
    </row>
    <row r="1007" spans="1:13">
      <c r="A1007" s="305"/>
      <c r="B1007" s="35" t="s">
        <v>394</v>
      </c>
      <c r="C1007" s="35" t="s">
        <v>459</v>
      </c>
      <c r="D1007" s="35" t="s">
        <v>438</v>
      </c>
      <c r="E1007" s="35" t="s">
        <v>435</v>
      </c>
      <c r="F1007" s="35">
        <v>1</v>
      </c>
      <c r="G1007" s="32" t="s">
        <v>955</v>
      </c>
      <c r="H1007" s="32">
        <f t="shared" si="106"/>
        <v>1</v>
      </c>
      <c r="I1007" s="76">
        <v>3750</v>
      </c>
      <c r="J1007" s="76">
        <f t="shared" si="102"/>
        <v>3750</v>
      </c>
      <c r="K1007" s="33"/>
      <c r="L1007" s="59"/>
      <c r="M1007" s="59"/>
    </row>
    <row r="1008" spans="1:13">
      <c r="A1008" s="305"/>
      <c r="B1008" s="35" t="s">
        <v>394</v>
      </c>
      <c r="C1008" s="35" t="s">
        <v>459</v>
      </c>
      <c r="D1008" s="35" t="s">
        <v>437</v>
      </c>
      <c r="E1008" s="35" t="s">
        <v>613</v>
      </c>
      <c r="F1008" s="32">
        <v>2</v>
      </c>
      <c r="G1008" s="32" t="s">
        <v>955</v>
      </c>
      <c r="H1008" s="32">
        <f t="shared" si="106"/>
        <v>2</v>
      </c>
      <c r="I1008" s="76">
        <v>7500</v>
      </c>
      <c r="J1008" s="76">
        <f t="shared" si="102"/>
        <v>15000</v>
      </c>
      <c r="K1008" s="33"/>
      <c r="L1008" s="59"/>
      <c r="M1008" s="59"/>
    </row>
    <row r="1009" spans="1:13">
      <c r="A1009" s="305"/>
      <c r="B1009" s="35" t="s">
        <v>394</v>
      </c>
      <c r="C1009" s="35" t="s">
        <v>459</v>
      </c>
      <c r="D1009" s="13" t="s">
        <v>529</v>
      </c>
      <c r="E1009" s="13" t="s">
        <v>530</v>
      </c>
      <c r="F1009" s="35">
        <v>1</v>
      </c>
      <c r="G1009" s="32" t="s">
        <v>681</v>
      </c>
      <c r="H1009" s="32">
        <f t="shared" ref="H1009:H1019" si="108">$G$4*F1009</f>
        <v>1</v>
      </c>
      <c r="I1009" s="72">
        <v>2520</v>
      </c>
      <c r="J1009" s="72">
        <f t="shared" si="102"/>
        <v>2520</v>
      </c>
      <c r="K1009" s="33"/>
    </row>
    <row r="1010" spans="1:13">
      <c r="A1010" s="305"/>
      <c r="B1010" s="35" t="s">
        <v>394</v>
      </c>
      <c r="C1010" s="35" t="s">
        <v>459</v>
      </c>
      <c r="D1010" s="13" t="s">
        <v>531</v>
      </c>
      <c r="E1010" s="13" t="s">
        <v>532</v>
      </c>
      <c r="F1010" s="35">
        <v>1</v>
      </c>
      <c r="G1010" s="32" t="s">
        <v>976</v>
      </c>
      <c r="H1010" s="32">
        <f t="shared" si="108"/>
        <v>1</v>
      </c>
      <c r="I1010" s="72">
        <v>5500</v>
      </c>
      <c r="J1010" s="72">
        <f t="shared" si="102"/>
        <v>5500</v>
      </c>
      <c r="K1010" s="33"/>
    </row>
    <row r="1011" spans="1:13">
      <c r="A1011" s="305"/>
      <c r="B1011" s="35" t="s">
        <v>394</v>
      </c>
      <c r="C1011" s="35" t="s">
        <v>459</v>
      </c>
      <c r="D1011" s="13" t="s">
        <v>443</v>
      </c>
      <c r="E1011" s="35" t="s">
        <v>442</v>
      </c>
      <c r="F1011" s="35">
        <v>1</v>
      </c>
      <c r="G1011" s="32" t="s">
        <v>678</v>
      </c>
      <c r="H1011" s="32">
        <f t="shared" si="108"/>
        <v>1</v>
      </c>
      <c r="I1011" s="72">
        <v>7000</v>
      </c>
      <c r="J1011" s="72">
        <f t="shared" ref="J1011:J1077" si="109">H1011*I1011</f>
        <v>7000</v>
      </c>
      <c r="K1011" s="33"/>
    </row>
    <row r="1012" spans="1:13">
      <c r="A1012" s="305"/>
      <c r="B1012" s="35" t="s">
        <v>394</v>
      </c>
      <c r="C1012" s="35" t="s">
        <v>459</v>
      </c>
      <c r="D1012" s="13" t="s">
        <v>441</v>
      </c>
      <c r="E1012" s="35" t="s">
        <v>440</v>
      </c>
      <c r="F1012" s="35">
        <v>1</v>
      </c>
      <c r="G1012" s="32" t="s">
        <v>678</v>
      </c>
      <c r="H1012" s="32">
        <f t="shared" si="108"/>
        <v>1</v>
      </c>
      <c r="I1012" s="72">
        <v>7000</v>
      </c>
      <c r="J1012" s="72">
        <f t="shared" si="109"/>
        <v>7000</v>
      </c>
      <c r="K1012" s="33"/>
    </row>
    <row r="1013" spans="1:13">
      <c r="A1013" s="305"/>
      <c r="B1013" s="35" t="s">
        <v>394</v>
      </c>
      <c r="C1013" s="35" t="s">
        <v>459</v>
      </c>
      <c r="D1013" s="13" t="s">
        <v>546</v>
      </c>
      <c r="E1013" s="13" t="s">
        <v>547</v>
      </c>
      <c r="F1013" s="35">
        <v>1</v>
      </c>
      <c r="G1013" s="32" t="s">
        <v>571</v>
      </c>
      <c r="H1013" s="32">
        <f t="shared" si="108"/>
        <v>1</v>
      </c>
      <c r="I1013" s="72">
        <v>3200</v>
      </c>
      <c r="J1013" s="72">
        <f t="shared" si="109"/>
        <v>3200</v>
      </c>
      <c r="K1013" s="33"/>
    </row>
    <row r="1014" spans="1:13">
      <c r="A1014" s="305"/>
      <c r="B1014" s="35" t="s">
        <v>394</v>
      </c>
      <c r="C1014" s="35" t="s">
        <v>459</v>
      </c>
      <c r="D1014" s="13" t="s">
        <v>554</v>
      </c>
      <c r="E1014" s="13" t="s">
        <v>533</v>
      </c>
      <c r="F1014" s="35">
        <v>1</v>
      </c>
      <c r="G1014" s="32" t="s">
        <v>686</v>
      </c>
      <c r="H1014" s="32">
        <f t="shared" si="108"/>
        <v>1</v>
      </c>
      <c r="I1014" s="72">
        <v>900</v>
      </c>
      <c r="J1014" s="72">
        <f t="shared" si="109"/>
        <v>900</v>
      </c>
      <c r="K1014" s="33"/>
    </row>
    <row r="1015" spans="1:13">
      <c r="A1015" s="305"/>
      <c r="B1015" s="35" t="s">
        <v>394</v>
      </c>
      <c r="C1015" s="35" t="s">
        <v>459</v>
      </c>
      <c r="D1015" s="101" t="s">
        <v>565</v>
      </c>
      <c r="E1015" s="98" t="s">
        <v>522</v>
      </c>
      <c r="F1015" s="101">
        <v>1</v>
      </c>
      <c r="G1015" s="99" t="s">
        <v>560</v>
      </c>
      <c r="H1015" s="99">
        <f t="shared" si="108"/>
        <v>1</v>
      </c>
      <c r="I1015" s="100">
        <v>171000</v>
      </c>
      <c r="J1015" s="100">
        <f t="shared" si="109"/>
        <v>171000</v>
      </c>
      <c r="K1015" s="33"/>
    </row>
    <row r="1016" spans="1:13">
      <c r="A1016" s="305"/>
      <c r="B1016" s="35" t="s">
        <v>394</v>
      </c>
      <c r="C1016" s="35" t="s">
        <v>459</v>
      </c>
      <c r="D1016" s="109" t="s">
        <v>468</v>
      </c>
      <c r="E1016" s="112" t="s">
        <v>470</v>
      </c>
      <c r="F1016" s="112">
        <v>1</v>
      </c>
      <c r="G1016" s="110" t="s">
        <v>235</v>
      </c>
      <c r="H1016" s="110">
        <f t="shared" si="108"/>
        <v>1</v>
      </c>
      <c r="I1016" s="111">
        <f>(48*2700)+300000</f>
        <v>429600</v>
      </c>
      <c r="J1016" s="111">
        <f t="shared" si="109"/>
        <v>429600</v>
      </c>
      <c r="K1016" s="33"/>
    </row>
    <row r="1017" spans="1:13">
      <c r="A1017" s="306"/>
      <c r="B1017" s="35" t="s">
        <v>395</v>
      </c>
      <c r="C1017" s="37" t="s">
        <v>359</v>
      </c>
      <c r="D1017" s="15" t="s">
        <v>636</v>
      </c>
      <c r="E1017" s="37" t="s">
        <v>637</v>
      </c>
      <c r="F1017" s="37">
        <v>1</v>
      </c>
      <c r="G1017" s="38" t="s">
        <v>690</v>
      </c>
      <c r="H1017" s="32">
        <f t="shared" si="108"/>
        <v>1</v>
      </c>
      <c r="I1017" s="73">
        <f>14000+1500</f>
        <v>15500</v>
      </c>
      <c r="J1017" s="72">
        <f t="shared" si="109"/>
        <v>15500</v>
      </c>
      <c r="K1017" s="39"/>
    </row>
    <row r="1018" spans="1:13" ht="17.5" thickBot="1">
      <c r="A1018" s="306"/>
      <c r="B1018" s="35" t="s">
        <v>395</v>
      </c>
      <c r="C1018" s="37" t="s">
        <v>359</v>
      </c>
      <c r="D1018" s="15" t="s">
        <v>1734</v>
      </c>
      <c r="E1018" s="37" t="s">
        <v>831</v>
      </c>
      <c r="F1018" s="37">
        <v>1</v>
      </c>
      <c r="G1018" s="38" t="s">
        <v>678</v>
      </c>
      <c r="H1018" s="38">
        <v>1</v>
      </c>
      <c r="I1018" s="73">
        <v>6500</v>
      </c>
      <c r="J1018" s="73">
        <v>6500</v>
      </c>
      <c r="K1018" s="39"/>
    </row>
    <row r="1019" spans="1:13" ht="26" thickBot="1">
      <c r="A1019" s="307"/>
      <c r="B1019" s="42" t="s">
        <v>394</v>
      </c>
      <c r="C1019" s="42" t="s">
        <v>459</v>
      </c>
      <c r="D1019" s="9" t="s">
        <v>113</v>
      </c>
      <c r="E1019" s="42" t="s">
        <v>113</v>
      </c>
      <c r="F1019" s="42">
        <v>1</v>
      </c>
      <c r="G1019" s="43" t="s">
        <v>240</v>
      </c>
      <c r="H1019" s="32">
        <f t="shared" si="108"/>
        <v>1</v>
      </c>
      <c r="I1019" s="74">
        <v>13400</v>
      </c>
      <c r="J1019" s="74">
        <f t="shared" si="109"/>
        <v>13400</v>
      </c>
      <c r="K1019" s="44"/>
      <c r="L1019" s="254">
        <f>SUBTOTAL(9,J993:J1019)</f>
        <v>931114</v>
      </c>
    </row>
    <row r="1020" spans="1:13" hidden="1">
      <c r="A1020" s="308">
        <v>40</v>
      </c>
      <c r="B1020" s="8" t="s">
        <v>394</v>
      </c>
      <c r="C1020" s="8" t="s">
        <v>360</v>
      </c>
      <c r="D1020" s="8" t="s">
        <v>379</v>
      </c>
      <c r="E1020" s="8" t="s">
        <v>382</v>
      </c>
      <c r="F1020" s="8">
        <v>1</v>
      </c>
      <c r="G1020" s="5" t="s">
        <v>250</v>
      </c>
      <c r="H1020" s="5">
        <f>$K$22*F1020</f>
        <v>0</v>
      </c>
      <c r="I1020" s="75"/>
      <c r="J1020" s="75">
        <f t="shared" si="109"/>
        <v>0</v>
      </c>
      <c r="K1020" s="40" t="s">
        <v>238</v>
      </c>
      <c r="L1020" s="1"/>
      <c r="M1020" s="1"/>
    </row>
    <row r="1021" spans="1:13" hidden="1">
      <c r="A1021" s="305"/>
      <c r="B1021" s="36" t="s">
        <v>394</v>
      </c>
      <c r="C1021" s="36" t="s">
        <v>460</v>
      </c>
      <c r="D1021" s="34" t="s">
        <v>383</v>
      </c>
      <c r="E1021" s="36" t="s">
        <v>384</v>
      </c>
      <c r="F1021" s="35">
        <v>8</v>
      </c>
      <c r="G1021" s="32" t="s">
        <v>954</v>
      </c>
      <c r="H1021" s="32">
        <f t="shared" ref="H1021:H1043" si="110">$K$22*F1021</f>
        <v>0</v>
      </c>
      <c r="I1021" s="72"/>
      <c r="J1021" s="72">
        <f t="shared" si="109"/>
        <v>0</v>
      </c>
      <c r="K1021" s="33"/>
      <c r="L1021" s="1"/>
      <c r="M1021" s="1"/>
    </row>
    <row r="1022" spans="1:13" hidden="1">
      <c r="A1022" s="305"/>
      <c r="B1022" s="35" t="s">
        <v>394</v>
      </c>
      <c r="C1022" s="35" t="s">
        <v>460</v>
      </c>
      <c r="D1022" s="13" t="s">
        <v>405</v>
      </c>
      <c r="E1022" s="35" t="s">
        <v>414</v>
      </c>
      <c r="F1022" s="35">
        <v>1</v>
      </c>
      <c r="G1022" s="32" t="s">
        <v>567</v>
      </c>
      <c r="H1022" s="32">
        <f t="shared" si="110"/>
        <v>0</v>
      </c>
      <c r="I1022" s="76"/>
      <c r="J1022" s="76">
        <f t="shared" si="109"/>
        <v>0</v>
      </c>
      <c r="K1022" s="33"/>
      <c r="L1022" s="1"/>
      <c r="M1022" s="1"/>
    </row>
    <row r="1023" spans="1:13" hidden="1">
      <c r="A1023" s="305"/>
      <c r="B1023" s="35" t="s">
        <v>394</v>
      </c>
      <c r="C1023" s="35" t="s">
        <v>460</v>
      </c>
      <c r="D1023" s="35" t="s">
        <v>411</v>
      </c>
      <c r="E1023" s="35" t="s">
        <v>417</v>
      </c>
      <c r="F1023" s="35">
        <v>1</v>
      </c>
      <c r="G1023" s="32" t="s">
        <v>567</v>
      </c>
      <c r="H1023" s="32">
        <f t="shared" si="110"/>
        <v>0</v>
      </c>
      <c r="I1023" s="76"/>
      <c r="J1023" s="76">
        <f t="shared" si="109"/>
        <v>0</v>
      </c>
      <c r="K1023" s="33"/>
      <c r="L1023" s="1"/>
      <c r="M1023" s="1"/>
    </row>
    <row r="1024" spans="1:13" hidden="1">
      <c r="A1024" s="305"/>
      <c r="B1024" s="35" t="s">
        <v>394</v>
      </c>
      <c r="C1024" s="35" t="s">
        <v>460</v>
      </c>
      <c r="D1024" s="35" t="s">
        <v>408</v>
      </c>
      <c r="E1024" s="35" t="s">
        <v>419</v>
      </c>
      <c r="F1024" s="35">
        <v>1</v>
      </c>
      <c r="G1024" s="32" t="s">
        <v>567</v>
      </c>
      <c r="H1024" s="32">
        <f t="shared" si="110"/>
        <v>0</v>
      </c>
      <c r="I1024" s="76"/>
      <c r="J1024" s="76">
        <f t="shared" si="109"/>
        <v>0</v>
      </c>
      <c r="K1024" s="33"/>
      <c r="L1024" s="1"/>
      <c r="M1024" s="1"/>
    </row>
    <row r="1025" spans="1:13" hidden="1">
      <c r="A1025" s="305"/>
      <c r="B1025" s="35" t="s">
        <v>394</v>
      </c>
      <c r="C1025" s="35" t="s">
        <v>460</v>
      </c>
      <c r="D1025" s="13" t="s">
        <v>559</v>
      </c>
      <c r="E1025" s="35" t="s">
        <v>402</v>
      </c>
      <c r="F1025" s="35">
        <v>1</v>
      </c>
      <c r="G1025" s="32" t="s">
        <v>569</v>
      </c>
      <c r="H1025" s="32">
        <f t="shared" si="110"/>
        <v>0</v>
      </c>
      <c r="I1025" s="72"/>
      <c r="J1025" s="72">
        <f t="shared" si="109"/>
        <v>0</v>
      </c>
      <c r="K1025" s="33"/>
      <c r="L1025" s="1"/>
      <c r="M1025" s="1"/>
    </row>
    <row r="1026" spans="1:13" hidden="1">
      <c r="A1026" s="305"/>
      <c r="B1026" s="35" t="s">
        <v>394</v>
      </c>
      <c r="C1026" s="35" t="s">
        <v>460</v>
      </c>
      <c r="D1026" s="35" t="s">
        <v>557</v>
      </c>
      <c r="E1026" s="35" t="s">
        <v>423</v>
      </c>
      <c r="F1026" s="35">
        <v>2</v>
      </c>
      <c r="G1026" s="32" t="s">
        <v>561</v>
      </c>
      <c r="H1026" s="32">
        <f t="shared" si="110"/>
        <v>0</v>
      </c>
      <c r="I1026" s="72"/>
      <c r="J1026" s="72">
        <f t="shared" si="109"/>
        <v>0</v>
      </c>
      <c r="K1026" s="33"/>
      <c r="L1026" s="1"/>
      <c r="M1026" s="1"/>
    </row>
    <row r="1027" spans="1:13" hidden="1">
      <c r="A1027" s="305"/>
      <c r="B1027" s="35" t="s">
        <v>394</v>
      </c>
      <c r="C1027" s="35" t="s">
        <v>460</v>
      </c>
      <c r="D1027" s="35" t="s">
        <v>558</v>
      </c>
      <c r="E1027" s="35" t="s">
        <v>421</v>
      </c>
      <c r="F1027" s="35">
        <v>2</v>
      </c>
      <c r="G1027" s="32" t="s">
        <v>561</v>
      </c>
      <c r="H1027" s="32">
        <f t="shared" si="110"/>
        <v>0</v>
      </c>
      <c r="I1027" s="72"/>
      <c r="J1027" s="72">
        <f t="shared" si="109"/>
        <v>0</v>
      </c>
      <c r="K1027" s="33"/>
      <c r="L1027" s="1"/>
      <c r="M1027" s="1"/>
    </row>
    <row r="1028" spans="1:13" hidden="1">
      <c r="A1028" s="305"/>
      <c r="B1028" s="35" t="s">
        <v>394</v>
      </c>
      <c r="C1028" s="35" t="s">
        <v>460</v>
      </c>
      <c r="D1028" s="35" t="s">
        <v>545</v>
      </c>
      <c r="E1028" s="35" t="s">
        <v>426</v>
      </c>
      <c r="F1028" s="35">
        <v>3</v>
      </c>
      <c r="G1028" s="32" t="s">
        <v>561</v>
      </c>
      <c r="H1028" s="32">
        <f t="shared" si="110"/>
        <v>0</v>
      </c>
      <c r="I1028" s="72"/>
      <c r="J1028" s="72">
        <f t="shared" si="109"/>
        <v>0</v>
      </c>
      <c r="K1028" s="33"/>
      <c r="L1028" s="1"/>
      <c r="M1028" s="1"/>
    </row>
    <row r="1029" spans="1:13" hidden="1">
      <c r="A1029" s="305"/>
      <c r="B1029" s="35" t="s">
        <v>394</v>
      </c>
      <c r="C1029" s="35" t="s">
        <v>460</v>
      </c>
      <c r="D1029" s="35" t="s">
        <v>539</v>
      </c>
      <c r="E1029" s="35" t="s">
        <v>428</v>
      </c>
      <c r="F1029" s="35">
        <v>1</v>
      </c>
      <c r="G1029" s="32" t="s">
        <v>562</v>
      </c>
      <c r="H1029" s="32">
        <f t="shared" si="110"/>
        <v>0</v>
      </c>
      <c r="I1029" s="72"/>
      <c r="J1029" s="72">
        <f t="shared" si="109"/>
        <v>0</v>
      </c>
      <c r="K1029" s="33"/>
      <c r="L1029" s="1"/>
      <c r="M1029" s="1"/>
    </row>
    <row r="1030" spans="1:13" hidden="1">
      <c r="A1030" s="305"/>
      <c r="B1030" s="36" t="s">
        <v>394</v>
      </c>
      <c r="C1030" s="36" t="s">
        <v>460</v>
      </c>
      <c r="D1030" s="36" t="s">
        <v>540</v>
      </c>
      <c r="E1030" s="36" t="s">
        <v>429</v>
      </c>
      <c r="F1030" s="35">
        <v>1</v>
      </c>
      <c r="G1030" s="32" t="s">
        <v>568</v>
      </c>
      <c r="H1030" s="32">
        <f t="shared" si="110"/>
        <v>0</v>
      </c>
      <c r="I1030" s="72"/>
      <c r="J1030" s="72">
        <f t="shared" si="109"/>
        <v>0</v>
      </c>
      <c r="K1030" s="33"/>
      <c r="L1030" s="1"/>
      <c r="M1030" s="1"/>
    </row>
    <row r="1031" spans="1:13" hidden="1">
      <c r="A1031" s="305"/>
      <c r="B1031" s="35" t="s">
        <v>394</v>
      </c>
      <c r="C1031" s="35" t="s">
        <v>460</v>
      </c>
      <c r="D1031" s="35" t="s">
        <v>433</v>
      </c>
      <c r="E1031" s="35" t="s">
        <v>431</v>
      </c>
      <c r="F1031" s="35">
        <v>1</v>
      </c>
      <c r="G1031" s="32" t="s">
        <v>561</v>
      </c>
      <c r="H1031" s="32">
        <f t="shared" si="110"/>
        <v>0</v>
      </c>
      <c r="I1031" s="76"/>
      <c r="J1031" s="76">
        <f t="shared" si="109"/>
        <v>0</v>
      </c>
      <c r="K1031" s="33"/>
      <c r="L1031" s="1"/>
      <c r="M1031" s="1"/>
    </row>
    <row r="1032" spans="1:13" hidden="1">
      <c r="A1032" s="305"/>
      <c r="B1032" s="35" t="s">
        <v>394</v>
      </c>
      <c r="C1032" s="35" t="s">
        <v>460</v>
      </c>
      <c r="D1032" s="35" t="s">
        <v>438</v>
      </c>
      <c r="E1032" s="35" t="s">
        <v>435</v>
      </c>
      <c r="F1032" s="35">
        <v>1</v>
      </c>
      <c r="G1032" s="32" t="s">
        <v>561</v>
      </c>
      <c r="H1032" s="32">
        <f t="shared" si="110"/>
        <v>0</v>
      </c>
      <c r="I1032" s="76"/>
      <c r="J1032" s="76">
        <f t="shared" si="109"/>
        <v>0</v>
      </c>
      <c r="K1032" s="33"/>
      <c r="L1032" s="1"/>
      <c r="M1032" s="1"/>
    </row>
    <row r="1033" spans="1:13" hidden="1">
      <c r="A1033" s="305"/>
      <c r="B1033" s="35" t="s">
        <v>394</v>
      </c>
      <c r="C1033" s="35" t="s">
        <v>460</v>
      </c>
      <c r="D1033" s="35" t="s">
        <v>437</v>
      </c>
      <c r="E1033" s="35" t="s">
        <v>613</v>
      </c>
      <c r="F1033" s="32">
        <v>2</v>
      </c>
      <c r="G1033" s="32" t="s">
        <v>561</v>
      </c>
      <c r="H1033" s="32">
        <f t="shared" si="110"/>
        <v>0</v>
      </c>
      <c r="I1033" s="76"/>
      <c r="J1033" s="76">
        <f t="shared" si="109"/>
        <v>0</v>
      </c>
      <c r="K1033" s="33"/>
      <c r="L1033" s="1"/>
      <c r="M1033" s="1"/>
    </row>
    <row r="1034" spans="1:13" hidden="1">
      <c r="A1034" s="305"/>
      <c r="B1034" s="36" t="s">
        <v>394</v>
      </c>
      <c r="C1034" s="36" t="s">
        <v>460</v>
      </c>
      <c r="D1034" s="34" t="s">
        <v>529</v>
      </c>
      <c r="E1034" s="34" t="s">
        <v>530</v>
      </c>
      <c r="F1034" s="35">
        <v>1</v>
      </c>
      <c r="G1034" s="32" t="s">
        <v>566</v>
      </c>
      <c r="H1034" s="32">
        <f t="shared" si="110"/>
        <v>0</v>
      </c>
      <c r="I1034" s="72"/>
      <c r="J1034" s="72">
        <f t="shared" si="109"/>
        <v>0</v>
      </c>
      <c r="K1034" s="33"/>
      <c r="L1034" s="1"/>
      <c r="M1034" s="1"/>
    </row>
    <row r="1035" spans="1:13" hidden="1">
      <c r="A1035" s="305"/>
      <c r="B1035" s="36" t="s">
        <v>394</v>
      </c>
      <c r="C1035" s="36" t="s">
        <v>460</v>
      </c>
      <c r="D1035" s="34" t="s">
        <v>531</v>
      </c>
      <c r="E1035" s="34" t="s">
        <v>532</v>
      </c>
      <c r="F1035" s="35">
        <v>1</v>
      </c>
      <c r="G1035" s="32" t="s">
        <v>566</v>
      </c>
      <c r="H1035" s="32">
        <f t="shared" si="110"/>
        <v>0</v>
      </c>
      <c r="I1035" s="72"/>
      <c r="J1035" s="72">
        <f t="shared" si="109"/>
        <v>0</v>
      </c>
      <c r="K1035" s="33"/>
      <c r="L1035" s="1"/>
      <c r="M1035" s="1"/>
    </row>
    <row r="1036" spans="1:13" hidden="1">
      <c r="A1036" s="305"/>
      <c r="B1036" s="36" t="s">
        <v>394</v>
      </c>
      <c r="C1036" s="36" t="s">
        <v>460</v>
      </c>
      <c r="D1036" s="34" t="s">
        <v>443</v>
      </c>
      <c r="E1036" s="36" t="s">
        <v>442</v>
      </c>
      <c r="F1036" s="35">
        <v>1</v>
      </c>
      <c r="G1036" s="32" t="s">
        <v>570</v>
      </c>
      <c r="H1036" s="32">
        <f t="shared" si="110"/>
        <v>0</v>
      </c>
      <c r="I1036" s="72"/>
      <c r="J1036" s="72">
        <f t="shared" si="109"/>
        <v>0</v>
      </c>
      <c r="K1036" s="33"/>
      <c r="L1036" s="1"/>
      <c r="M1036" s="1"/>
    </row>
    <row r="1037" spans="1:13" hidden="1">
      <c r="A1037" s="305"/>
      <c r="B1037" s="36" t="s">
        <v>394</v>
      </c>
      <c r="C1037" s="36" t="s">
        <v>460</v>
      </c>
      <c r="D1037" s="34" t="s">
        <v>441</v>
      </c>
      <c r="E1037" s="36" t="s">
        <v>440</v>
      </c>
      <c r="F1037" s="35">
        <v>1</v>
      </c>
      <c r="G1037" s="32" t="s">
        <v>570</v>
      </c>
      <c r="H1037" s="32">
        <f t="shared" si="110"/>
        <v>0</v>
      </c>
      <c r="I1037" s="72"/>
      <c r="J1037" s="72">
        <f t="shared" si="109"/>
        <v>0</v>
      </c>
      <c r="K1037" s="33"/>
      <c r="L1037" s="1"/>
      <c r="M1037" s="1"/>
    </row>
    <row r="1038" spans="1:13" hidden="1">
      <c r="A1038" s="305"/>
      <c r="B1038" s="36" t="s">
        <v>394</v>
      </c>
      <c r="C1038" s="36" t="s">
        <v>460</v>
      </c>
      <c r="D1038" s="34" t="s">
        <v>546</v>
      </c>
      <c r="E1038" s="34" t="s">
        <v>547</v>
      </c>
      <c r="F1038" s="35">
        <v>1</v>
      </c>
      <c r="G1038" s="32" t="s">
        <v>571</v>
      </c>
      <c r="H1038" s="32">
        <f t="shared" si="110"/>
        <v>0</v>
      </c>
      <c r="I1038" s="72"/>
      <c r="J1038" s="72">
        <f t="shared" si="109"/>
        <v>0</v>
      </c>
      <c r="K1038" s="33"/>
      <c r="L1038" s="1"/>
      <c r="M1038" s="1"/>
    </row>
    <row r="1039" spans="1:13" hidden="1">
      <c r="A1039" s="305"/>
      <c r="B1039" s="36" t="s">
        <v>394</v>
      </c>
      <c r="C1039" s="36" t="s">
        <v>460</v>
      </c>
      <c r="D1039" s="34" t="s">
        <v>554</v>
      </c>
      <c r="E1039" s="34" t="s">
        <v>533</v>
      </c>
      <c r="F1039" s="35">
        <v>1</v>
      </c>
      <c r="G1039" s="32" t="s">
        <v>571</v>
      </c>
      <c r="H1039" s="32">
        <f t="shared" si="110"/>
        <v>0</v>
      </c>
      <c r="I1039" s="72"/>
      <c r="J1039" s="72">
        <f t="shared" si="109"/>
        <v>0</v>
      </c>
      <c r="K1039" s="33"/>
      <c r="L1039" s="1"/>
      <c r="M1039" s="1"/>
    </row>
    <row r="1040" spans="1:13" hidden="1">
      <c r="A1040" s="305"/>
      <c r="B1040" s="35" t="s">
        <v>394</v>
      </c>
      <c r="C1040" s="35" t="s">
        <v>460</v>
      </c>
      <c r="D1040" s="35" t="s">
        <v>565</v>
      </c>
      <c r="E1040" s="13" t="s">
        <v>522</v>
      </c>
      <c r="F1040" s="35">
        <v>1</v>
      </c>
      <c r="G1040" s="32" t="s">
        <v>560</v>
      </c>
      <c r="H1040" s="32">
        <f t="shared" si="110"/>
        <v>0</v>
      </c>
      <c r="I1040" s="72">
        <v>119200</v>
      </c>
      <c r="J1040" s="72">
        <f t="shared" si="109"/>
        <v>0</v>
      </c>
      <c r="K1040" s="33"/>
      <c r="L1040" s="1"/>
      <c r="M1040" s="1"/>
    </row>
    <row r="1041" spans="1:13" hidden="1">
      <c r="A1041" s="305"/>
      <c r="B1041" s="35" t="s">
        <v>394</v>
      </c>
      <c r="C1041" s="35" t="s">
        <v>460</v>
      </c>
      <c r="D1041" s="13" t="s">
        <v>469</v>
      </c>
      <c r="E1041" s="35" t="s">
        <v>471</v>
      </c>
      <c r="F1041" s="35">
        <v>1</v>
      </c>
      <c r="G1041" s="32" t="s">
        <v>235</v>
      </c>
      <c r="H1041" s="32">
        <f t="shared" si="110"/>
        <v>0</v>
      </c>
      <c r="I1041" s="72"/>
      <c r="J1041" s="72">
        <f t="shared" si="109"/>
        <v>0</v>
      </c>
      <c r="K1041" s="33"/>
      <c r="L1041" s="1"/>
      <c r="M1041" s="1"/>
    </row>
    <row r="1042" spans="1:13" hidden="1">
      <c r="A1042" s="306"/>
      <c r="B1042" s="36" t="s">
        <v>395</v>
      </c>
      <c r="C1042" s="45" t="s">
        <v>360</v>
      </c>
      <c r="D1042" s="46" t="s">
        <v>636</v>
      </c>
      <c r="E1042" s="45" t="s">
        <v>637</v>
      </c>
      <c r="F1042" s="37">
        <v>1</v>
      </c>
      <c r="G1042" s="38"/>
      <c r="H1042" s="38"/>
      <c r="I1042" s="73"/>
      <c r="J1042" s="73"/>
      <c r="K1042" s="39"/>
      <c r="L1042" s="1"/>
      <c r="M1042" s="1"/>
    </row>
    <row r="1043" spans="1:13" ht="17.5" hidden="1" thickBot="1">
      <c r="A1043" s="309"/>
      <c r="B1043" s="45" t="s">
        <v>394</v>
      </c>
      <c r="C1043" s="45" t="s">
        <v>460</v>
      </c>
      <c r="D1043" s="46" t="s">
        <v>113</v>
      </c>
      <c r="E1043" s="45" t="s">
        <v>113</v>
      </c>
      <c r="F1043" s="37">
        <v>1</v>
      </c>
      <c r="G1043" s="38" t="s">
        <v>240</v>
      </c>
      <c r="H1043" s="38">
        <f t="shared" si="110"/>
        <v>0</v>
      </c>
      <c r="I1043" s="73"/>
      <c r="J1043" s="73">
        <f t="shared" si="109"/>
        <v>0</v>
      </c>
      <c r="K1043" s="39"/>
      <c r="L1043" s="1"/>
      <c r="M1043" s="1"/>
    </row>
    <row r="1044" spans="1:13">
      <c r="A1044" s="304">
        <v>41</v>
      </c>
      <c r="B1044" s="47" t="s">
        <v>394</v>
      </c>
      <c r="C1044" s="47" t="s">
        <v>361</v>
      </c>
      <c r="D1044" s="47" t="s">
        <v>379</v>
      </c>
      <c r="E1044" s="47" t="s">
        <v>382</v>
      </c>
      <c r="F1044" s="47">
        <v>1</v>
      </c>
      <c r="G1044" s="30" t="s">
        <v>250</v>
      </c>
      <c r="H1044" s="30">
        <f t="shared" ref="H1044:H1058" si="111">$K$23*F1044</f>
        <v>1</v>
      </c>
      <c r="I1044" s="77">
        <f>118000+53000</f>
        <v>171000</v>
      </c>
      <c r="J1044" s="77">
        <f t="shared" si="109"/>
        <v>171000</v>
      </c>
      <c r="K1044" s="31" t="s">
        <v>238</v>
      </c>
      <c r="L1044" s="59"/>
      <c r="M1044" s="59"/>
    </row>
    <row r="1045" spans="1:13">
      <c r="A1045" s="305"/>
      <c r="B1045" s="35" t="s">
        <v>394</v>
      </c>
      <c r="C1045" s="35" t="s">
        <v>461</v>
      </c>
      <c r="D1045" s="13" t="s">
        <v>383</v>
      </c>
      <c r="E1045" s="35" t="s">
        <v>384</v>
      </c>
      <c r="F1045" s="35">
        <v>8</v>
      </c>
      <c r="G1045" s="32" t="s">
        <v>954</v>
      </c>
      <c r="H1045" s="32">
        <f t="shared" si="111"/>
        <v>8</v>
      </c>
      <c r="I1045" s="72">
        <v>2900</v>
      </c>
      <c r="J1045" s="72">
        <f t="shared" si="109"/>
        <v>23200</v>
      </c>
      <c r="K1045" s="33"/>
    </row>
    <row r="1046" spans="1:13">
      <c r="A1046" s="305"/>
      <c r="B1046" s="35" t="s">
        <v>394</v>
      </c>
      <c r="C1046" s="35" t="s">
        <v>461</v>
      </c>
      <c r="D1046" s="13" t="s">
        <v>405</v>
      </c>
      <c r="E1046" s="35" t="s">
        <v>978</v>
      </c>
      <c r="F1046" s="35">
        <v>1</v>
      </c>
      <c r="G1046" s="13" t="s">
        <v>1733</v>
      </c>
      <c r="H1046" s="32">
        <f t="shared" si="111"/>
        <v>1</v>
      </c>
      <c r="I1046" s="301">
        <v>30594</v>
      </c>
      <c r="J1046" s="298">
        <f t="shared" si="109"/>
        <v>30594</v>
      </c>
      <c r="K1046" s="33"/>
      <c r="L1046" s="59"/>
      <c r="M1046" s="59"/>
    </row>
    <row r="1047" spans="1:13">
      <c r="A1047" s="305"/>
      <c r="B1047" s="35" t="s">
        <v>394</v>
      </c>
      <c r="C1047" s="35" t="s">
        <v>461</v>
      </c>
      <c r="D1047" s="35" t="s">
        <v>411</v>
      </c>
      <c r="E1047" s="35" t="s">
        <v>981</v>
      </c>
      <c r="F1047" s="35">
        <v>1</v>
      </c>
      <c r="G1047" s="13" t="s">
        <v>1733</v>
      </c>
      <c r="H1047" s="32">
        <f t="shared" si="111"/>
        <v>1</v>
      </c>
      <c r="I1047" s="302"/>
      <c r="J1047" s="299"/>
      <c r="K1047" s="33"/>
      <c r="L1047" s="59"/>
      <c r="M1047" s="59"/>
    </row>
    <row r="1048" spans="1:13">
      <c r="A1048" s="305"/>
      <c r="B1048" s="35" t="s">
        <v>394</v>
      </c>
      <c r="C1048" s="35" t="s">
        <v>461</v>
      </c>
      <c r="D1048" s="35" t="s">
        <v>408</v>
      </c>
      <c r="E1048" s="35" t="s">
        <v>982</v>
      </c>
      <c r="F1048" s="35">
        <v>1</v>
      </c>
      <c r="G1048" s="13" t="s">
        <v>1733</v>
      </c>
      <c r="H1048" s="32">
        <f t="shared" si="111"/>
        <v>1</v>
      </c>
      <c r="I1048" s="303"/>
      <c r="J1048" s="300"/>
      <c r="K1048" s="33"/>
      <c r="L1048" s="59"/>
      <c r="M1048" s="59"/>
    </row>
    <row r="1049" spans="1:13">
      <c r="A1049" s="305"/>
      <c r="B1049" s="35" t="s">
        <v>394</v>
      </c>
      <c r="C1049" s="35" t="s">
        <v>461</v>
      </c>
      <c r="D1049" s="35" t="s">
        <v>487</v>
      </c>
      <c r="E1049" s="35" t="s">
        <v>400</v>
      </c>
      <c r="F1049" s="35">
        <v>1</v>
      </c>
      <c r="G1049" s="32" t="s">
        <v>569</v>
      </c>
      <c r="H1049" s="32">
        <f t="shared" si="111"/>
        <v>1</v>
      </c>
      <c r="I1049" s="76">
        <v>5000</v>
      </c>
      <c r="J1049" s="76">
        <v>4500</v>
      </c>
      <c r="K1049" s="33"/>
      <c r="L1049" s="59"/>
      <c r="M1049" s="59"/>
    </row>
    <row r="1050" spans="1:13">
      <c r="A1050" s="305"/>
      <c r="B1050" s="35" t="s">
        <v>394</v>
      </c>
      <c r="C1050" s="35" t="s">
        <v>461</v>
      </c>
      <c r="D1050" s="13" t="s">
        <v>526</v>
      </c>
      <c r="E1050" s="35" t="s">
        <v>524</v>
      </c>
      <c r="F1050" s="35">
        <v>12</v>
      </c>
      <c r="G1050" s="32" t="s">
        <v>731</v>
      </c>
      <c r="H1050" s="32">
        <f t="shared" ref="H1050" si="112">$G$8*F1050</f>
        <v>12</v>
      </c>
      <c r="I1050" s="72">
        <v>2600</v>
      </c>
      <c r="J1050" s="72">
        <f t="shared" si="109"/>
        <v>31200</v>
      </c>
      <c r="K1050" s="33"/>
    </row>
    <row r="1051" spans="1:13">
      <c r="A1051" s="305"/>
      <c r="B1051" s="35" t="s">
        <v>394</v>
      </c>
      <c r="C1051" s="35" t="s">
        <v>461</v>
      </c>
      <c r="D1051" s="35" t="s">
        <v>557</v>
      </c>
      <c r="E1051" s="35" t="s">
        <v>986</v>
      </c>
      <c r="F1051" s="35">
        <v>2</v>
      </c>
      <c r="G1051" s="32" t="s">
        <v>955</v>
      </c>
      <c r="H1051" s="32">
        <f t="shared" si="111"/>
        <v>2</v>
      </c>
      <c r="I1051" s="72">
        <v>400</v>
      </c>
      <c r="J1051" s="72">
        <f t="shared" si="109"/>
        <v>800</v>
      </c>
      <c r="K1051" s="33"/>
    </row>
    <row r="1052" spans="1:13">
      <c r="A1052" s="305"/>
      <c r="B1052" s="35" t="s">
        <v>394</v>
      </c>
      <c r="C1052" s="35" t="s">
        <v>461</v>
      </c>
      <c r="D1052" s="35" t="s">
        <v>558</v>
      </c>
      <c r="E1052" s="35" t="s">
        <v>987</v>
      </c>
      <c r="F1052" s="35">
        <v>2</v>
      </c>
      <c r="G1052" s="32" t="s">
        <v>955</v>
      </c>
      <c r="H1052" s="32">
        <f t="shared" si="111"/>
        <v>2</v>
      </c>
      <c r="I1052" s="72">
        <v>400</v>
      </c>
      <c r="J1052" s="72">
        <f t="shared" si="109"/>
        <v>800</v>
      </c>
      <c r="K1052" s="33"/>
    </row>
    <row r="1053" spans="1:13">
      <c r="A1053" s="305"/>
      <c r="B1053" s="35" t="s">
        <v>394</v>
      </c>
      <c r="C1053" s="35" t="s">
        <v>461</v>
      </c>
      <c r="D1053" s="35" t="s">
        <v>545</v>
      </c>
      <c r="E1053" s="35" t="s">
        <v>426</v>
      </c>
      <c r="F1053" s="35">
        <v>3</v>
      </c>
      <c r="G1053" s="32" t="s">
        <v>955</v>
      </c>
      <c r="H1053" s="32">
        <f t="shared" si="111"/>
        <v>3</v>
      </c>
      <c r="I1053" s="72">
        <v>1500</v>
      </c>
      <c r="J1053" s="72">
        <f t="shared" si="109"/>
        <v>4500</v>
      </c>
      <c r="K1053" s="33"/>
    </row>
    <row r="1054" spans="1:13">
      <c r="A1054" s="305"/>
      <c r="B1054" s="35" t="s">
        <v>394</v>
      </c>
      <c r="C1054" s="35" t="s">
        <v>461</v>
      </c>
      <c r="D1054" s="35" t="s">
        <v>539</v>
      </c>
      <c r="E1054" s="35" t="s">
        <v>428</v>
      </c>
      <c r="F1054" s="35">
        <v>1</v>
      </c>
      <c r="G1054" s="32" t="s">
        <v>680</v>
      </c>
      <c r="H1054" s="32">
        <f t="shared" ref="H1054" si="113">$G$4*F1054</f>
        <v>1</v>
      </c>
      <c r="I1054" s="72">
        <v>7500</v>
      </c>
      <c r="J1054" s="72">
        <f t="shared" si="109"/>
        <v>7500</v>
      </c>
      <c r="K1054" s="33"/>
    </row>
    <row r="1055" spans="1:13">
      <c r="A1055" s="305"/>
      <c r="B1055" s="35" t="s">
        <v>394</v>
      </c>
      <c r="C1055" s="35" t="s">
        <v>461</v>
      </c>
      <c r="D1055" s="35" t="s">
        <v>964</v>
      </c>
      <c r="E1055" s="35" t="s">
        <v>963</v>
      </c>
      <c r="F1055" s="35">
        <v>1</v>
      </c>
      <c r="G1055" s="32" t="s">
        <v>957</v>
      </c>
      <c r="H1055" s="32">
        <f t="shared" si="111"/>
        <v>1</v>
      </c>
      <c r="I1055" s="72">
        <v>3600</v>
      </c>
      <c r="J1055" s="72">
        <f t="shared" si="109"/>
        <v>3600</v>
      </c>
      <c r="K1055" s="33"/>
    </row>
    <row r="1056" spans="1:13">
      <c r="A1056" s="305"/>
      <c r="B1056" s="35" t="s">
        <v>394</v>
      </c>
      <c r="C1056" s="35" t="s">
        <v>461</v>
      </c>
      <c r="D1056" s="35" t="s">
        <v>433</v>
      </c>
      <c r="E1056" s="35" t="s">
        <v>431</v>
      </c>
      <c r="F1056" s="35">
        <v>1</v>
      </c>
      <c r="G1056" s="32" t="s">
        <v>955</v>
      </c>
      <c r="H1056" s="32">
        <f t="shared" si="111"/>
        <v>1</v>
      </c>
      <c r="I1056" s="76">
        <v>3750</v>
      </c>
      <c r="J1056" s="76">
        <f t="shared" si="109"/>
        <v>3750</v>
      </c>
      <c r="K1056" s="33"/>
      <c r="L1056" s="59"/>
      <c r="M1056" s="59"/>
    </row>
    <row r="1057" spans="1:15">
      <c r="A1057" s="305"/>
      <c r="B1057" s="35" t="s">
        <v>394</v>
      </c>
      <c r="C1057" s="35" t="s">
        <v>461</v>
      </c>
      <c r="D1057" s="35" t="s">
        <v>438</v>
      </c>
      <c r="E1057" s="35" t="s">
        <v>435</v>
      </c>
      <c r="F1057" s="35">
        <v>1</v>
      </c>
      <c r="G1057" s="32" t="s">
        <v>955</v>
      </c>
      <c r="H1057" s="32">
        <f t="shared" si="111"/>
        <v>1</v>
      </c>
      <c r="I1057" s="76">
        <v>3750</v>
      </c>
      <c r="J1057" s="76">
        <f t="shared" si="109"/>
        <v>3750</v>
      </c>
      <c r="K1057" s="33"/>
      <c r="L1057" s="59"/>
      <c r="M1057" s="59"/>
    </row>
    <row r="1058" spans="1:15">
      <c r="A1058" s="305"/>
      <c r="B1058" s="35" t="s">
        <v>394</v>
      </c>
      <c r="C1058" s="35" t="s">
        <v>461</v>
      </c>
      <c r="D1058" s="35" t="s">
        <v>437</v>
      </c>
      <c r="E1058" s="35" t="s">
        <v>613</v>
      </c>
      <c r="F1058" s="32">
        <v>2</v>
      </c>
      <c r="G1058" s="32" t="s">
        <v>955</v>
      </c>
      <c r="H1058" s="32">
        <f t="shared" si="111"/>
        <v>2</v>
      </c>
      <c r="I1058" s="76">
        <v>7500</v>
      </c>
      <c r="J1058" s="76">
        <f t="shared" si="109"/>
        <v>15000</v>
      </c>
      <c r="K1058" s="33"/>
      <c r="L1058" s="59"/>
      <c r="M1058" s="59"/>
    </row>
    <row r="1059" spans="1:15">
      <c r="A1059" s="305"/>
      <c r="B1059" s="35" t="s">
        <v>394</v>
      </c>
      <c r="C1059" s="35" t="s">
        <v>461</v>
      </c>
      <c r="D1059" s="13" t="s">
        <v>529</v>
      </c>
      <c r="E1059" s="13" t="s">
        <v>530</v>
      </c>
      <c r="F1059" s="35">
        <v>1</v>
      </c>
      <c r="G1059" s="32" t="s">
        <v>681</v>
      </c>
      <c r="H1059" s="32">
        <f t="shared" ref="H1059:H1069" si="114">$G$4*F1059</f>
        <v>1</v>
      </c>
      <c r="I1059" s="72">
        <v>2520</v>
      </c>
      <c r="J1059" s="72">
        <f t="shared" si="109"/>
        <v>2520</v>
      </c>
      <c r="K1059" s="33"/>
    </row>
    <row r="1060" spans="1:15">
      <c r="A1060" s="305"/>
      <c r="B1060" s="35" t="s">
        <v>394</v>
      </c>
      <c r="C1060" s="35" t="s">
        <v>461</v>
      </c>
      <c r="D1060" s="13" t="s">
        <v>531</v>
      </c>
      <c r="E1060" s="13" t="s">
        <v>532</v>
      </c>
      <c r="F1060" s="35">
        <v>1</v>
      </c>
      <c r="G1060" s="32" t="s">
        <v>976</v>
      </c>
      <c r="H1060" s="32">
        <f t="shared" si="114"/>
        <v>1</v>
      </c>
      <c r="I1060" s="72">
        <v>5500</v>
      </c>
      <c r="J1060" s="72">
        <f t="shared" si="109"/>
        <v>5500</v>
      </c>
      <c r="K1060" s="33"/>
    </row>
    <row r="1061" spans="1:15">
      <c r="A1061" s="305"/>
      <c r="B1061" s="35" t="s">
        <v>394</v>
      </c>
      <c r="C1061" s="35" t="s">
        <v>461</v>
      </c>
      <c r="D1061" s="13" t="s">
        <v>443</v>
      </c>
      <c r="E1061" s="35" t="s">
        <v>442</v>
      </c>
      <c r="F1061" s="35">
        <v>1</v>
      </c>
      <c r="G1061" s="32" t="s">
        <v>678</v>
      </c>
      <c r="H1061" s="32">
        <f t="shared" si="114"/>
        <v>1</v>
      </c>
      <c r="I1061" s="72">
        <v>7000</v>
      </c>
      <c r="J1061" s="72">
        <f t="shared" si="109"/>
        <v>7000</v>
      </c>
      <c r="K1061" s="33"/>
    </row>
    <row r="1062" spans="1:15">
      <c r="A1062" s="305"/>
      <c r="B1062" s="35" t="s">
        <v>394</v>
      </c>
      <c r="C1062" s="35" t="s">
        <v>461</v>
      </c>
      <c r="D1062" s="13" t="s">
        <v>441</v>
      </c>
      <c r="E1062" s="35" t="s">
        <v>440</v>
      </c>
      <c r="F1062" s="35">
        <v>1</v>
      </c>
      <c r="G1062" s="32" t="s">
        <v>678</v>
      </c>
      <c r="H1062" s="32">
        <f t="shared" si="114"/>
        <v>1</v>
      </c>
      <c r="I1062" s="72">
        <v>7000</v>
      </c>
      <c r="J1062" s="72">
        <f t="shared" si="109"/>
        <v>7000</v>
      </c>
      <c r="K1062" s="33"/>
    </row>
    <row r="1063" spans="1:15">
      <c r="A1063" s="305"/>
      <c r="B1063" s="35" t="s">
        <v>394</v>
      </c>
      <c r="C1063" s="35" t="s">
        <v>461</v>
      </c>
      <c r="D1063" s="13" t="s">
        <v>546</v>
      </c>
      <c r="E1063" s="13" t="s">
        <v>547</v>
      </c>
      <c r="F1063" s="35">
        <v>1</v>
      </c>
      <c r="G1063" s="32" t="s">
        <v>571</v>
      </c>
      <c r="H1063" s="32">
        <f t="shared" si="114"/>
        <v>1</v>
      </c>
      <c r="I1063" s="72">
        <v>3200</v>
      </c>
      <c r="J1063" s="72">
        <f t="shared" si="109"/>
        <v>3200</v>
      </c>
      <c r="K1063" s="33"/>
    </row>
    <row r="1064" spans="1:15">
      <c r="A1064" s="305"/>
      <c r="B1064" s="35" t="s">
        <v>394</v>
      </c>
      <c r="C1064" s="35" t="s">
        <v>461</v>
      </c>
      <c r="D1064" s="13" t="s">
        <v>554</v>
      </c>
      <c r="E1064" s="13" t="s">
        <v>533</v>
      </c>
      <c r="F1064" s="35">
        <v>1</v>
      </c>
      <c r="G1064" s="32" t="s">
        <v>686</v>
      </c>
      <c r="H1064" s="32">
        <f t="shared" si="114"/>
        <v>1</v>
      </c>
      <c r="I1064" s="72">
        <v>900</v>
      </c>
      <c r="J1064" s="72">
        <f t="shared" si="109"/>
        <v>900</v>
      </c>
      <c r="K1064" s="33"/>
    </row>
    <row r="1065" spans="1:15" ht="17.5">
      <c r="A1065" s="305"/>
      <c r="B1065" s="35" t="s">
        <v>394</v>
      </c>
      <c r="C1065" s="35" t="s">
        <v>461</v>
      </c>
      <c r="D1065" s="101" t="s">
        <v>565</v>
      </c>
      <c r="E1065" s="98" t="s">
        <v>522</v>
      </c>
      <c r="F1065" s="101">
        <v>1</v>
      </c>
      <c r="G1065" s="99" t="s">
        <v>560</v>
      </c>
      <c r="H1065" s="99">
        <f t="shared" si="114"/>
        <v>1</v>
      </c>
      <c r="I1065" s="100">
        <v>171000</v>
      </c>
      <c r="J1065" s="100">
        <f t="shared" si="109"/>
        <v>171000</v>
      </c>
      <c r="K1065" s="33"/>
      <c r="M1065" s="213" t="s">
        <v>1557</v>
      </c>
      <c r="N1065" s="214">
        <f>L1069*7%</f>
        <v>67361.98000000001</v>
      </c>
    </row>
    <row r="1066" spans="1:15" ht="17.5">
      <c r="A1066" s="305"/>
      <c r="B1066" s="35" t="s">
        <v>394</v>
      </c>
      <c r="C1066" s="35" t="s">
        <v>461</v>
      </c>
      <c r="D1066" s="109" t="s">
        <v>468</v>
      </c>
      <c r="E1066" s="112" t="s">
        <v>470</v>
      </c>
      <c r="F1066" s="112">
        <v>1</v>
      </c>
      <c r="G1066" s="110" t="s">
        <v>235</v>
      </c>
      <c r="H1066" s="110">
        <f t="shared" si="114"/>
        <v>1</v>
      </c>
      <c r="I1066" s="111">
        <f>(48*2700)+300000</f>
        <v>429600</v>
      </c>
      <c r="J1066" s="111">
        <f t="shared" si="109"/>
        <v>429600</v>
      </c>
      <c r="K1066" s="33"/>
      <c r="M1066" s="213" t="s">
        <v>1558</v>
      </c>
      <c r="N1066" s="214">
        <f>(L1069+N1065)*20%</f>
        <v>205935.196</v>
      </c>
    </row>
    <row r="1067" spans="1:15" ht="17.5">
      <c r="A1067" s="306"/>
      <c r="B1067" s="35" t="s">
        <v>395</v>
      </c>
      <c r="C1067" s="37" t="s">
        <v>361</v>
      </c>
      <c r="D1067" s="15" t="s">
        <v>636</v>
      </c>
      <c r="E1067" s="37" t="s">
        <v>637</v>
      </c>
      <c r="F1067" s="37">
        <v>1</v>
      </c>
      <c r="G1067" s="38" t="s">
        <v>690</v>
      </c>
      <c r="H1067" s="32">
        <f t="shared" si="114"/>
        <v>1</v>
      </c>
      <c r="I1067" s="73">
        <f>14000+1500</f>
        <v>15500</v>
      </c>
      <c r="J1067" s="72">
        <f t="shared" si="109"/>
        <v>15500</v>
      </c>
      <c r="K1067" s="39"/>
      <c r="M1067" s="213" t="s">
        <v>1559</v>
      </c>
      <c r="N1067" s="214">
        <f>(L1069+N1065+N1066)*25%</f>
        <v>308902.79399999999</v>
      </c>
    </row>
    <row r="1068" spans="1:15" ht="18" thickBot="1">
      <c r="A1068" s="306"/>
      <c r="B1068" s="35" t="s">
        <v>395</v>
      </c>
      <c r="C1068" s="37" t="s">
        <v>361</v>
      </c>
      <c r="D1068" s="15" t="s">
        <v>1734</v>
      </c>
      <c r="E1068" s="37" t="s">
        <v>831</v>
      </c>
      <c r="F1068" s="37">
        <v>1</v>
      </c>
      <c r="G1068" s="38" t="s">
        <v>678</v>
      </c>
      <c r="H1068" s="38">
        <v>1</v>
      </c>
      <c r="I1068" s="73">
        <v>6500</v>
      </c>
      <c r="J1068" s="73">
        <v>6500</v>
      </c>
      <c r="K1068" s="39"/>
      <c r="M1068" s="213"/>
      <c r="N1068" s="214"/>
    </row>
    <row r="1069" spans="1:15" ht="26.5" thickBot="1">
      <c r="A1069" s="307"/>
      <c r="B1069" s="84" t="s">
        <v>394</v>
      </c>
      <c r="C1069" s="84" t="s">
        <v>461</v>
      </c>
      <c r="D1069" s="53" t="s">
        <v>113</v>
      </c>
      <c r="E1069" s="84" t="s">
        <v>113</v>
      </c>
      <c r="F1069" s="84">
        <v>1</v>
      </c>
      <c r="G1069" s="85" t="s">
        <v>240</v>
      </c>
      <c r="H1069" s="85">
        <f t="shared" si="114"/>
        <v>1</v>
      </c>
      <c r="I1069" s="86">
        <v>13400</v>
      </c>
      <c r="J1069" s="86">
        <f t="shared" si="109"/>
        <v>13400</v>
      </c>
      <c r="K1069" s="44"/>
      <c r="L1069" s="254">
        <f>SUBTOTAL(9,J1043:J1094)</f>
        <v>962314</v>
      </c>
      <c r="N1069" s="211">
        <f>L1069+N1065+N1066+N1067</f>
        <v>1544513.97</v>
      </c>
      <c r="O1069" s="212" t="s">
        <v>1563</v>
      </c>
    </row>
    <row r="1070" spans="1:15" hidden="1">
      <c r="A1070" s="308">
        <v>42</v>
      </c>
      <c r="B1070" s="8" t="s">
        <v>394</v>
      </c>
      <c r="C1070" s="8" t="s">
        <v>362</v>
      </c>
      <c r="D1070" s="8" t="s">
        <v>379</v>
      </c>
      <c r="E1070" s="8" t="s">
        <v>382</v>
      </c>
      <c r="F1070" s="8">
        <v>1</v>
      </c>
      <c r="G1070" s="5" t="s">
        <v>250</v>
      </c>
      <c r="H1070" s="5">
        <f>$K$24*F1070</f>
        <v>0</v>
      </c>
      <c r="I1070" s="75"/>
      <c r="J1070" s="75">
        <f t="shared" si="109"/>
        <v>0</v>
      </c>
      <c r="K1070" s="40" t="s">
        <v>238</v>
      </c>
      <c r="L1070" s="1"/>
      <c r="M1070" s="1"/>
    </row>
    <row r="1071" spans="1:15" hidden="1">
      <c r="A1071" s="305"/>
      <c r="B1071" s="36" t="s">
        <v>394</v>
      </c>
      <c r="C1071" s="36" t="s">
        <v>462</v>
      </c>
      <c r="D1071" s="34" t="s">
        <v>383</v>
      </c>
      <c r="E1071" s="36" t="s">
        <v>384</v>
      </c>
      <c r="F1071" s="35">
        <v>8</v>
      </c>
      <c r="G1071" s="32" t="s">
        <v>954</v>
      </c>
      <c r="H1071" s="32">
        <f t="shared" ref="H1071:H1094" si="115">$K$24*F1071</f>
        <v>0</v>
      </c>
      <c r="I1071" s="72"/>
      <c r="J1071" s="72">
        <f t="shared" si="109"/>
        <v>0</v>
      </c>
      <c r="K1071" s="33"/>
      <c r="L1071" s="1"/>
      <c r="M1071" s="1"/>
    </row>
    <row r="1072" spans="1:15" hidden="1">
      <c r="A1072" s="305"/>
      <c r="B1072" s="35" t="s">
        <v>394</v>
      </c>
      <c r="C1072" s="35" t="s">
        <v>462</v>
      </c>
      <c r="D1072" s="13" t="s">
        <v>405</v>
      </c>
      <c r="E1072" s="35" t="s">
        <v>414</v>
      </c>
      <c r="F1072" s="35">
        <v>1</v>
      </c>
      <c r="G1072" s="32" t="s">
        <v>567</v>
      </c>
      <c r="H1072" s="32">
        <f t="shared" si="115"/>
        <v>0</v>
      </c>
      <c r="I1072" s="76"/>
      <c r="J1072" s="76">
        <f t="shared" si="109"/>
        <v>0</v>
      </c>
      <c r="K1072" s="33"/>
      <c r="L1072" s="1"/>
      <c r="M1072" s="1"/>
    </row>
    <row r="1073" spans="1:13" hidden="1">
      <c r="A1073" s="305"/>
      <c r="B1073" s="35" t="s">
        <v>394</v>
      </c>
      <c r="C1073" s="35" t="s">
        <v>462</v>
      </c>
      <c r="D1073" s="35" t="s">
        <v>411</v>
      </c>
      <c r="E1073" s="35" t="s">
        <v>417</v>
      </c>
      <c r="F1073" s="35">
        <v>1</v>
      </c>
      <c r="G1073" s="32" t="s">
        <v>567</v>
      </c>
      <c r="H1073" s="32">
        <f t="shared" si="115"/>
        <v>0</v>
      </c>
      <c r="I1073" s="76"/>
      <c r="J1073" s="76">
        <f t="shared" si="109"/>
        <v>0</v>
      </c>
      <c r="K1073" s="33"/>
      <c r="L1073" s="1"/>
      <c r="M1073" s="1"/>
    </row>
    <row r="1074" spans="1:13" hidden="1">
      <c r="A1074" s="305"/>
      <c r="B1074" s="35" t="s">
        <v>394</v>
      </c>
      <c r="C1074" s="35" t="s">
        <v>462</v>
      </c>
      <c r="D1074" s="35" t="s">
        <v>408</v>
      </c>
      <c r="E1074" s="35" t="s">
        <v>419</v>
      </c>
      <c r="F1074" s="35">
        <v>1</v>
      </c>
      <c r="G1074" s="32" t="s">
        <v>567</v>
      </c>
      <c r="H1074" s="32">
        <f t="shared" si="115"/>
        <v>0</v>
      </c>
      <c r="I1074" s="76"/>
      <c r="J1074" s="76">
        <f t="shared" si="109"/>
        <v>0</v>
      </c>
      <c r="K1074" s="33"/>
      <c r="L1074" s="1"/>
      <c r="M1074" s="1"/>
    </row>
    <row r="1075" spans="1:13" hidden="1">
      <c r="A1075" s="305"/>
      <c r="B1075" s="35" t="s">
        <v>394</v>
      </c>
      <c r="C1075" s="35" t="s">
        <v>462</v>
      </c>
      <c r="D1075" s="35" t="s">
        <v>487</v>
      </c>
      <c r="E1075" s="35" t="s">
        <v>400</v>
      </c>
      <c r="F1075" s="35">
        <v>1</v>
      </c>
      <c r="G1075" s="32" t="s">
        <v>569</v>
      </c>
      <c r="H1075" s="32">
        <f t="shared" si="115"/>
        <v>0</v>
      </c>
      <c r="I1075" s="76"/>
      <c r="J1075" s="76">
        <f t="shared" si="109"/>
        <v>0</v>
      </c>
      <c r="K1075" s="33"/>
      <c r="L1075" s="1"/>
      <c r="M1075" s="1"/>
    </row>
    <row r="1076" spans="1:13" hidden="1">
      <c r="A1076" s="305"/>
      <c r="B1076" s="35" t="s">
        <v>394</v>
      </c>
      <c r="C1076" s="35" t="s">
        <v>462</v>
      </c>
      <c r="D1076" s="13" t="s">
        <v>526</v>
      </c>
      <c r="E1076" s="35" t="s">
        <v>524</v>
      </c>
      <c r="F1076" s="35">
        <v>12</v>
      </c>
      <c r="G1076" s="32"/>
      <c r="H1076" s="32">
        <f t="shared" si="115"/>
        <v>0</v>
      </c>
      <c r="I1076" s="72"/>
      <c r="J1076" s="72">
        <f t="shared" si="109"/>
        <v>0</v>
      </c>
      <c r="K1076" s="33"/>
      <c r="L1076" s="1"/>
      <c r="M1076" s="1"/>
    </row>
    <row r="1077" spans="1:13" hidden="1">
      <c r="A1077" s="305"/>
      <c r="B1077" s="35" t="s">
        <v>394</v>
      </c>
      <c r="C1077" s="35" t="s">
        <v>462</v>
      </c>
      <c r="D1077" s="35" t="s">
        <v>557</v>
      </c>
      <c r="E1077" s="35" t="s">
        <v>423</v>
      </c>
      <c r="F1077" s="35">
        <v>2</v>
      </c>
      <c r="G1077" s="32" t="s">
        <v>561</v>
      </c>
      <c r="H1077" s="32">
        <f t="shared" si="115"/>
        <v>0</v>
      </c>
      <c r="I1077" s="72"/>
      <c r="J1077" s="72">
        <f t="shared" si="109"/>
        <v>0</v>
      </c>
      <c r="K1077" s="33"/>
      <c r="L1077" s="1"/>
      <c r="M1077" s="1"/>
    </row>
    <row r="1078" spans="1:13" hidden="1">
      <c r="A1078" s="305"/>
      <c r="B1078" s="35" t="s">
        <v>394</v>
      </c>
      <c r="C1078" s="35" t="s">
        <v>462</v>
      </c>
      <c r="D1078" s="35" t="s">
        <v>558</v>
      </c>
      <c r="E1078" s="35" t="s">
        <v>421</v>
      </c>
      <c r="F1078" s="35">
        <v>2</v>
      </c>
      <c r="G1078" s="32" t="s">
        <v>561</v>
      </c>
      <c r="H1078" s="32">
        <f t="shared" si="115"/>
        <v>0</v>
      </c>
      <c r="I1078" s="72"/>
      <c r="J1078" s="72">
        <f t="shared" ref="J1078:J1094" si="116">H1078*I1078</f>
        <v>0</v>
      </c>
      <c r="K1078" s="33"/>
      <c r="L1078" s="1"/>
      <c r="M1078" s="1"/>
    </row>
    <row r="1079" spans="1:13" hidden="1">
      <c r="A1079" s="305"/>
      <c r="B1079" s="35" t="s">
        <v>394</v>
      </c>
      <c r="C1079" s="35" t="s">
        <v>462</v>
      </c>
      <c r="D1079" s="35" t="s">
        <v>545</v>
      </c>
      <c r="E1079" s="35" t="s">
        <v>426</v>
      </c>
      <c r="F1079" s="35">
        <v>3</v>
      </c>
      <c r="G1079" s="32" t="s">
        <v>561</v>
      </c>
      <c r="H1079" s="32">
        <f t="shared" si="115"/>
        <v>0</v>
      </c>
      <c r="I1079" s="72"/>
      <c r="J1079" s="72">
        <f t="shared" si="116"/>
        <v>0</v>
      </c>
      <c r="K1079" s="33"/>
      <c r="L1079" s="1"/>
      <c r="M1079" s="1"/>
    </row>
    <row r="1080" spans="1:13" hidden="1">
      <c r="A1080" s="305"/>
      <c r="B1080" s="35" t="s">
        <v>394</v>
      </c>
      <c r="C1080" s="35" t="s">
        <v>462</v>
      </c>
      <c r="D1080" s="35" t="s">
        <v>539</v>
      </c>
      <c r="E1080" s="35" t="s">
        <v>428</v>
      </c>
      <c r="F1080" s="35">
        <v>1</v>
      </c>
      <c r="G1080" s="32" t="s">
        <v>562</v>
      </c>
      <c r="H1080" s="32">
        <f t="shared" si="115"/>
        <v>0</v>
      </c>
      <c r="I1080" s="72"/>
      <c r="J1080" s="72">
        <f t="shared" si="116"/>
        <v>0</v>
      </c>
      <c r="K1080" s="33"/>
      <c r="L1080" s="1"/>
      <c r="M1080" s="1"/>
    </row>
    <row r="1081" spans="1:13" hidden="1">
      <c r="A1081" s="305"/>
      <c r="B1081" s="36" t="s">
        <v>394</v>
      </c>
      <c r="C1081" s="36" t="s">
        <v>462</v>
      </c>
      <c r="D1081" s="36" t="s">
        <v>540</v>
      </c>
      <c r="E1081" s="36" t="s">
        <v>429</v>
      </c>
      <c r="F1081" s="35">
        <v>1</v>
      </c>
      <c r="G1081" s="32" t="s">
        <v>568</v>
      </c>
      <c r="H1081" s="32">
        <f t="shared" si="115"/>
        <v>0</v>
      </c>
      <c r="I1081" s="72"/>
      <c r="J1081" s="72">
        <f t="shared" si="116"/>
        <v>0</v>
      </c>
      <c r="K1081" s="33"/>
      <c r="L1081" s="1"/>
      <c r="M1081" s="1"/>
    </row>
    <row r="1082" spans="1:13" hidden="1">
      <c r="A1082" s="305"/>
      <c r="B1082" s="35" t="s">
        <v>394</v>
      </c>
      <c r="C1082" s="35" t="s">
        <v>462</v>
      </c>
      <c r="D1082" s="35" t="s">
        <v>433</v>
      </c>
      <c r="E1082" s="35" t="s">
        <v>431</v>
      </c>
      <c r="F1082" s="35">
        <v>1</v>
      </c>
      <c r="G1082" s="32" t="s">
        <v>561</v>
      </c>
      <c r="H1082" s="32">
        <f t="shared" si="115"/>
        <v>0</v>
      </c>
      <c r="I1082" s="76"/>
      <c r="J1082" s="76">
        <f t="shared" si="116"/>
        <v>0</v>
      </c>
      <c r="K1082" s="33"/>
      <c r="L1082" s="1"/>
      <c r="M1082" s="1"/>
    </row>
    <row r="1083" spans="1:13" hidden="1">
      <c r="A1083" s="305"/>
      <c r="B1083" s="35" t="s">
        <v>394</v>
      </c>
      <c r="C1083" s="35" t="s">
        <v>462</v>
      </c>
      <c r="D1083" s="35" t="s">
        <v>438</v>
      </c>
      <c r="E1083" s="35" t="s">
        <v>435</v>
      </c>
      <c r="F1083" s="35">
        <v>1</v>
      </c>
      <c r="G1083" s="32" t="s">
        <v>561</v>
      </c>
      <c r="H1083" s="32">
        <f t="shared" si="115"/>
        <v>0</v>
      </c>
      <c r="I1083" s="76"/>
      <c r="J1083" s="76">
        <f t="shared" si="116"/>
        <v>0</v>
      </c>
      <c r="K1083" s="33"/>
      <c r="L1083" s="1"/>
      <c r="M1083" s="1"/>
    </row>
    <row r="1084" spans="1:13" hidden="1">
      <c r="A1084" s="305"/>
      <c r="B1084" s="35" t="s">
        <v>394</v>
      </c>
      <c r="C1084" s="35" t="s">
        <v>462</v>
      </c>
      <c r="D1084" s="35" t="s">
        <v>437</v>
      </c>
      <c r="E1084" s="35" t="s">
        <v>613</v>
      </c>
      <c r="F1084" s="32">
        <v>2</v>
      </c>
      <c r="G1084" s="32" t="s">
        <v>561</v>
      </c>
      <c r="H1084" s="32">
        <f t="shared" si="115"/>
        <v>0</v>
      </c>
      <c r="I1084" s="76"/>
      <c r="J1084" s="76">
        <f t="shared" si="116"/>
        <v>0</v>
      </c>
      <c r="K1084" s="33"/>
      <c r="L1084" s="1"/>
      <c r="M1084" s="1"/>
    </row>
    <row r="1085" spans="1:13" hidden="1">
      <c r="A1085" s="305"/>
      <c r="B1085" s="36" t="s">
        <v>394</v>
      </c>
      <c r="C1085" s="36" t="s">
        <v>462</v>
      </c>
      <c r="D1085" s="34" t="s">
        <v>529</v>
      </c>
      <c r="E1085" s="34" t="s">
        <v>530</v>
      </c>
      <c r="F1085" s="35">
        <v>1</v>
      </c>
      <c r="G1085" s="32" t="s">
        <v>566</v>
      </c>
      <c r="H1085" s="32">
        <f t="shared" si="115"/>
        <v>0</v>
      </c>
      <c r="I1085" s="72"/>
      <c r="J1085" s="72">
        <f t="shared" si="116"/>
        <v>0</v>
      </c>
      <c r="K1085" s="33"/>
      <c r="L1085" s="1"/>
      <c r="M1085" s="1"/>
    </row>
    <row r="1086" spans="1:13" hidden="1">
      <c r="A1086" s="305"/>
      <c r="B1086" s="36" t="s">
        <v>394</v>
      </c>
      <c r="C1086" s="36" t="s">
        <v>462</v>
      </c>
      <c r="D1086" s="34" t="s">
        <v>531</v>
      </c>
      <c r="E1086" s="34" t="s">
        <v>532</v>
      </c>
      <c r="F1086" s="35">
        <v>1</v>
      </c>
      <c r="G1086" s="32" t="s">
        <v>566</v>
      </c>
      <c r="H1086" s="32">
        <f t="shared" si="115"/>
        <v>0</v>
      </c>
      <c r="I1086" s="72"/>
      <c r="J1086" s="72">
        <f t="shared" si="116"/>
        <v>0</v>
      </c>
      <c r="K1086" s="33"/>
      <c r="L1086" s="1"/>
      <c r="M1086" s="1"/>
    </row>
    <row r="1087" spans="1:13" hidden="1">
      <c r="A1087" s="305"/>
      <c r="B1087" s="36" t="s">
        <v>394</v>
      </c>
      <c r="C1087" s="36" t="s">
        <v>462</v>
      </c>
      <c r="D1087" s="34" t="s">
        <v>443</v>
      </c>
      <c r="E1087" s="36" t="s">
        <v>442</v>
      </c>
      <c r="F1087" s="35">
        <v>1</v>
      </c>
      <c r="G1087" s="32" t="s">
        <v>570</v>
      </c>
      <c r="H1087" s="32">
        <f t="shared" si="115"/>
        <v>0</v>
      </c>
      <c r="I1087" s="72"/>
      <c r="J1087" s="72">
        <f t="shared" si="116"/>
        <v>0</v>
      </c>
      <c r="K1087" s="33"/>
      <c r="L1087" s="1"/>
      <c r="M1087" s="1"/>
    </row>
    <row r="1088" spans="1:13" hidden="1">
      <c r="A1088" s="305"/>
      <c r="B1088" s="36" t="s">
        <v>394</v>
      </c>
      <c r="C1088" s="36" t="s">
        <v>462</v>
      </c>
      <c r="D1088" s="34" t="s">
        <v>441</v>
      </c>
      <c r="E1088" s="36" t="s">
        <v>440</v>
      </c>
      <c r="F1088" s="35">
        <v>1</v>
      </c>
      <c r="G1088" s="32" t="s">
        <v>570</v>
      </c>
      <c r="H1088" s="32">
        <f t="shared" si="115"/>
        <v>0</v>
      </c>
      <c r="I1088" s="72"/>
      <c r="J1088" s="72">
        <f t="shared" si="116"/>
        <v>0</v>
      </c>
      <c r="K1088" s="33"/>
      <c r="L1088" s="1"/>
      <c r="M1088" s="1"/>
    </row>
    <row r="1089" spans="1:13" hidden="1">
      <c r="A1089" s="305"/>
      <c r="B1089" s="36" t="s">
        <v>394</v>
      </c>
      <c r="C1089" s="36" t="s">
        <v>462</v>
      </c>
      <c r="D1089" s="34" t="s">
        <v>546</v>
      </c>
      <c r="E1089" s="34" t="s">
        <v>547</v>
      </c>
      <c r="F1089" s="35">
        <v>1</v>
      </c>
      <c r="G1089" s="32" t="s">
        <v>571</v>
      </c>
      <c r="H1089" s="32">
        <f t="shared" si="115"/>
        <v>0</v>
      </c>
      <c r="I1089" s="72"/>
      <c r="J1089" s="72">
        <f t="shared" si="116"/>
        <v>0</v>
      </c>
      <c r="K1089" s="33"/>
      <c r="L1089" s="1"/>
      <c r="M1089" s="1"/>
    </row>
    <row r="1090" spans="1:13" hidden="1">
      <c r="A1090" s="305"/>
      <c r="B1090" s="36" t="s">
        <v>394</v>
      </c>
      <c r="C1090" s="36" t="s">
        <v>462</v>
      </c>
      <c r="D1090" s="34" t="s">
        <v>554</v>
      </c>
      <c r="E1090" s="34" t="s">
        <v>533</v>
      </c>
      <c r="F1090" s="35">
        <v>1</v>
      </c>
      <c r="G1090" s="32" t="s">
        <v>571</v>
      </c>
      <c r="H1090" s="32">
        <f t="shared" si="115"/>
        <v>0</v>
      </c>
      <c r="I1090" s="72"/>
      <c r="J1090" s="72">
        <f t="shared" si="116"/>
        <v>0</v>
      </c>
      <c r="K1090" s="33"/>
      <c r="L1090" s="1"/>
      <c r="M1090" s="1"/>
    </row>
    <row r="1091" spans="1:13" hidden="1">
      <c r="A1091" s="305"/>
      <c r="B1091" s="35" t="s">
        <v>394</v>
      </c>
      <c r="C1091" s="35" t="s">
        <v>462</v>
      </c>
      <c r="D1091" s="35" t="s">
        <v>565</v>
      </c>
      <c r="E1091" s="13" t="s">
        <v>522</v>
      </c>
      <c r="F1091" s="35">
        <v>1</v>
      </c>
      <c r="G1091" s="32" t="s">
        <v>560</v>
      </c>
      <c r="H1091" s="32">
        <f t="shared" si="115"/>
        <v>0</v>
      </c>
      <c r="I1091" s="72">
        <v>119200</v>
      </c>
      <c r="J1091" s="72">
        <f t="shared" si="116"/>
        <v>0</v>
      </c>
      <c r="K1091" s="33"/>
      <c r="L1091" s="1"/>
      <c r="M1091" s="1"/>
    </row>
    <row r="1092" spans="1:13" hidden="1">
      <c r="A1092" s="305"/>
      <c r="B1092" s="35" t="s">
        <v>394</v>
      </c>
      <c r="C1092" s="35" t="s">
        <v>462</v>
      </c>
      <c r="D1092" s="35" t="s">
        <v>469</v>
      </c>
      <c r="E1092" s="35" t="s">
        <v>471</v>
      </c>
      <c r="F1092" s="35">
        <v>1</v>
      </c>
      <c r="G1092" s="32" t="s">
        <v>235</v>
      </c>
      <c r="H1092" s="32">
        <f t="shared" si="115"/>
        <v>0</v>
      </c>
      <c r="I1092" s="72"/>
      <c r="J1092" s="72">
        <f t="shared" si="116"/>
        <v>0</v>
      </c>
      <c r="K1092" s="33"/>
      <c r="L1092" s="1"/>
      <c r="M1092" s="1"/>
    </row>
    <row r="1093" spans="1:13" hidden="1">
      <c r="A1093" s="306"/>
      <c r="B1093" s="36" t="s">
        <v>395</v>
      </c>
      <c r="C1093" s="45" t="s">
        <v>362</v>
      </c>
      <c r="D1093" s="46" t="s">
        <v>636</v>
      </c>
      <c r="E1093" s="45" t="s">
        <v>637</v>
      </c>
      <c r="F1093" s="37">
        <v>1</v>
      </c>
      <c r="G1093" s="38"/>
      <c r="H1093" s="38"/>
      <c r="I1093" s="73"/>
      <c r="J1093" s="73"/>
      <c r="K1093" s="39"/>
      <c r="L1093" s="1"/>
      <c r="M1093" s="1"/>
    </row>
    <row r="1094" spans="1:13" ht="17.5" hidden="1" thickBot="1">
      <c r="A1094" s="307"/>
      <c r="B1094" s="41" t="s">
        <v>394</v>
      </c>
      <c r="C1094" s="41" t="s">
        <v>462</v>
      </c>
      <c r="D1094" s="41" t="s">
        <v>113</v>
      </c>
      <c r="E1094" s="41" t="s">
        <v>113</v>
      </c>
      <c r="F1094" s="42">
        <v>1</v>
      </c>
      <c r="G1094" s="43" t="s">
        <v>240</v>
      </c>
      <c r="H1094" s="43">
        <f t="shared" si="115"/>
        <v>0</v>
      </c>
      <c r="I1094" s="74"/>
      <c r="J1094" s="74">
        <f t="shared" si="116"/>
        <v>0</v>
      </c>
      <c r="K1094" s="44"/>
      <c r="L1094" s="1"/>
      <c r="M1094" s="1"/>
    </row>
    <row r="1096" spans="1:13" ht="17.5" thickBot="1"/>
    <row r="1097" spans="1:13" ht="27" customHeight="1" thickBot="1">
      <c r="C1097" s="119"/>
      <c r="D1097" s="120"/>
      <c r="E1097" s="275"/>
      <c r="F1097" s="270"/>
      <c r="G1097" s="120" t="s">
        <v>763</v>
      </c>
      <c r="H1097" s="276" t="s">
        <v>764</v>
      </c>
      <c r="I1097" s="276"/>
      <c r="J1097" s="277"/>
      <c r="K1097" s="1"/>
      <c r="L1097" s="1"/>
      <c r="M1097" s="1"/>
    </row>
    <row r="1098" spans="1:13" ht="27" customHeight="1">
      <c r="C1098" s="117" t="s">
        <v>760</v>
      </c>
      <c r="D1098" s="121">
        <v>3000000</v>
      </c>
      <c r="E1098" s="278" t="s">
        <v>762</v>
      </c>
      <c r="F1098" s="279"/>
      <c r="G1098" s="122">
        <f>D1098/22</f>
        <v>136363.63636363635</v>
      </c>
      <c r="H1098" s="280" t="s">
        <v>769</v>
      </c>
      <c r="I1098" s="280"/>
      <c r="J1098" s="281"/>
      <c r="K1098" s="1"/>
      <c r="L1098" s="1"/>
      <c r="M1098" s="1"/>
    </row>
    <row r="1099" spans="1:13" ht="27" customHeight="1" thickBot="1">
      <c r="C1099" s="118" t="s">
        <v>761</v>
      </c>
      <c r="D1099" s="123">
        <v>3500000</v>
      </c>
      <c r="E1099" s="282" t="s">
        <v>762</v>
      </c>
      <c r="F1099" s="283"/>
      <c r="G1099" s="124">
        <f>D1099/22</f>
        <v>159090.90909090909</v>
      </c>
      <c r="H1099" s="284" t="s">
        <v>770</v>
      </c>
      <c r="I1099" s="284"/>
      <c r="J1099" s="285"/>
      <c r="K1099" s="1"/>
      <c r="L1099" s="1"/>
      <c r="M1099" s="1"/>
    </row>
    <row r="1100" spans="1:13" ht="27" customHeight="1" thickBot="1">
      <c r="C1100" s="268" t="s">
        <v>265</v>
      </c>
      <c r="D1100" s="269"/>
      <c r="E1100" s="269"/>
      <c r="F1100" s="270"/>
      <c r="G1100" s="125">
        <f>SUM(G1098:G1099)</f>
        <v>295454.54545454541</v>
      </c>
      <c r="H1100" s="271">
        <f>113636+132575</f>
        <v>246211</v>
      </c>
      <c r="I1100" s="272"/>
      <c r="J1100" s="273"/>
      <c r="K1100" s="1"/>
      <c r="L1100" s="1"/>
      <c r="M1100" s="1"/>
    </row>
  </sheetData>
  <autoFilter ref="A27:K1094"/>
  <mergeCells count="138">
    <mergeCell ref="E1097:F1097"/>
    <mergeCell ref="H1097:J1097"/>
    <mergeCell ref="E1098:F1098"/>
    <mergeCell ref="H1098:J1098"/>
    <mergeCell ref="E1099:F1099"/>
    <mergeCell ref="H1099:J1099"/>
    <mergeCell ref="C1100:F1100"/>
    <mergeCell ref="H1100:J1100"/>
    <mergeCell ref="E1:H1"/>
    <mergeCell ref="H3:J3"/>
    <mergeCell ref="H4:J4"/>
    <mergeCell ref="H5:J5"/>
    <mergeCell ref="E20:F20"/>
    <mergeCell ref="E21:F21"/>
    <mergeCell ref="H16:J16"/>
    <mergeCell ref="H17:J17"/>
    <mergeCell ref="H18:J18"/>
    <mergeCell ref="H19:J19"/>
    <mergeCell ref="H20:J20"/>
    <mergeCell ref="H21:J21"/>
    <mergeCell ref="E16:F16"/>
    <mergeCell ref="E17:F17"/>
    <mergeCell ref="E18:F18"/>
    <mergeCell ref="E19:F19"/>
    <mergeCell ref="H6:J6"/>
    <mergeCell ref="H7:J7"/>
    <mergeCell ref="H8:J8"/>
    <mergeCell ref="H15:J15"/>
    <mergeCell ref="H12:J12"/>
    <mergeCell ref="H13:J13"/>
    <mergeCell ref="H14:J14"/>
    <mergeCell ref="H9:J9"/>
    <mergeCell ref="H10:J10"/>
    <mergeCell ref="H11:J11"/>
    <mergeCell ref="A797:A821"/>
    <mergeCell ref="E22:F22"/>
    <mergeCell ref="E23:F23"/>
    <mergeCell ref="E24:F24"/>
    <mergeCell ref="A312:A337"/>
    <mergeCell ref="A28:A53"/>
    <mergeCell ref="A54:A78"/>
    <mergeCell ref="A79:A104"/>
    <mergeCell ref="A105:A129"/>
    <mergeCell ref="A130:A156"/>
    <mergeCell ref="A157:A182"/>
    <mergeCell ref="A183:A208"/>
    <mergeCell ref="A209:A233"/>
    <mergeCell ref="A234:A259"/>
    <mergeCell ref="A260:A284"/>
    <mergeCell ref="A285:A311"/>
    <mergeCell ref="A622:A647"/>
    <mergeCell ref="A338:A363"/>
    <mergeCell ref="A364:A388"/>
    <mergeCell ref="A389:A414"/>
    <mergeCell ref="A415:A439"/>
    <mergeCell ref="A440:A466"/>
    <mergeCell ref="A467:A492"/>
    <mergeCell ref="A493:A518"/>
    <mergeCell ref="A648:A672"/>
    <mergeCell ref="A673:A696"/>
    <mergeCell ref="A697:A721"/>
    <mergeCell ref="A722:A745"/>
    <mergeCell ref="A746:A771"/>
    <mergeCell ref="A772:A796"/>
    <mergeCell ref="H22:J22"/>
    <mergeCell ref="H23:J23"/>
    <mergeCell ref="H24:J24"/>
    <mergeCell ref="H25:J25"/>
    <mergeCell ref="A519:A543"/>
    <mergeCell ref="A544:A569"/>
    <mergeCell ref="A570:A594"/>
    <mergeCell ref="A595:A621"/>
    <mergeCell ref="I287:I289"/>
    <mergeCell ref="I340:I342"/>
    <mergeCell ref="I391:I393"/>
    <mergeCell ref="I442:I444"/>
    <mergeCell ref="I495:I497"/>
    <mergeCell ref="I30:I32"/>
    <mergeCell ref="I81:I83"/>
    <mergeCell ref="I132:I134"/>
    <mergeCell ref="I546:I548"/>
    <mergeCell ref="I597:I599"/>
    <mergeCell ref="A895:A920"/>
    <mergeCell ref="A921:A945"/>
    <mergeCell ref="A946:A970"/>
    <mergeCell ref="A971:A994"/>
    <mergeCell ref="A995:A1019"/>
    <mergeCell ref="A1020:A1043"/>
    <mergeCell ref="A1044:A1069"/>
    <mergeCell ref="A1070:A1094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A822:A845"/>
    <mergeCell ref="A846:A870"/>
    <mergeCell ref="A871:A894"/>
    <mergeCell ref="I650:I652"/>
    <mergeCell ref="I699:I701"/>
    <mergeCell ref="I748:I750"/>
    <mergeCell ref="J30:J32"/>
    <mergeCell ref="J81:J83"/>
    <mergeCell ref="J132:J134"/>
    <mergeCell ref="J185:J187"/>
    <mergeCell ref="J236:J238"/>
    <mergeCell ref="J287:J289"/>
    <mergeCell ref="J340:J342"/>
    <mergeCell ref="J391:J393"/>
    <mergeCell ref="J442:J444"/>
    <mergeCell ref="I185:I187"/>
    <mergeCell ref="I236:I238"/>
    <mergeCell ref="J495:J497"/>
    <mergeCell ref="J546:J548"/>
    <mergeCell ref="J597:J599"/>
    <mergeCell ref="J650:J652"/>
    <mergeCell ref="J1046:J1048"/>
    <mergeCell ref="J699:J701"/>
    <mergeCell ref="J748:J750"/>
    <mergeCell ref="J799:J801"/>
    <mergeCell ref="J848:J850"/>
    <mergeCell ref="J897:J899"/>
    <mergeCell ref="I1046:I1048"/>
    <mergeCell ref="I948:I950"/>
    <mergeCell ref="I997:I999"/>
    <mergeCell ref="J948:J950"/>
    <mergeCell ref="J997:J999"/>
    <mergeCell ref="I799:I801"/>
    <mergeCell ref="I848:I850"/>
    <mergeCell ref="I897:I899"/>
  </mergeCells>
  <phoneticPr fontId="1" type="noConversion"/>
  <pageMargins left="0.51181102362204722" right="0.31496062992125984" top="0.35433070866141736" bottom="0.59055118110236227" header="0.31496062992125984" footer="0.31496062992125984"/>
  <pageSetup paperSize="9" scale="53" orientation="portrait" horizontalDpi="1200" verticalDpi="1200" r:id="rId1"/>
  <headerFooter>
    <oddFooter>&amp;C(주)매그나텍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9"/>
  <sheetViews>
    <sheetView workbookViewId="0">
      <selection activeCell="H19" sqref="H19"/>
    </sheetView>
  </sheetViews>
  <sheetFormatPr defaultRowHeight="17"/>
  <cols>
    <col min="2" max="2" width="10.25" style="1" customWidth="1"/>
    <col min="3" max="3" width="10.5" style="1" customWidth="1"/>
    <col min="4" max="4" width="22.5" style="215" customWidth="1"/>
  </cols>
  <sheetData>
    <row r="1" spans="2:4" ht="37.5" customHeight="1" thickBot="1">
      <c r="B1" s="241" t="s">
        <v>1653</v>
      </c>
    </row>
    <row r="2" spans="2:4">
      <c r="B2" s="313" t="s">
        <v>1639</v>
      </c>
      <c r="C2" s="235" t="s">
        <v>1640</v>
      </c>
      <c r="D2" s="223">
        <v>800000</v>
      </c>
    </row>
    <row r="3" spans="2:4">
      <c r="B3" s="311"/>
      <c r="C3" s="230" t="s">
        <v>1641</v>
      </c>
      <c r="D3" s="225">
        <v>850000</v>
      </c>
    </row>
    <row r="4" spans="2:4" ht="17.5" thickBot="1">
      <c r="B4" s="312"/>
      <c r="C4" s="231" t="s">
        <v>1642</v>
      </c>
      <c r="D4" s="232">
        <v>970000</v>
      </c>
    </row>
    <row r="5" spans="2:4" ht="6" customHeight="1" thickBot="1">
      <c r="B5" s="238"/>
      <c r="C5" s="236"/>
      <c r="D5" s="234"/>
    </row>
    <row r="6" spans="2:4">
      <c r="B6" s="313" t="s">
        <v>1643</v>
      </c>
      <c r="C6" s="235" t="s">
        <v>1642</v>
      </c>
      <c r="D6" s="223">
        <v>1050000</v>
      </c>
    </row>
    <row r="7" spans="2:4">
      <c r="B7" s="311"/>
      <c r="C7" s="230" t="s">
        <v>1644</v>
      </c>
      <c r="D7" s="225">
        <v>1100000</v>
      </c>
    </row>
    <row r="8" spans="2:4">
      <c r="B8" s="311"/>
      <c r="C8" s="230" t="s">
        <v>1645</v>
      </c>
      <c r="D8" s="225">
        <v>1150000</v>
      </c>
    </row>
    <row r="9" spans="2:4" ht="17.5" thickBot="1">
      <c r="B9" s="312"/>
      <c r="C9" s="231" t="s">
        <v>1646</v>
      </c>
      <c r="D9" s="232">
        <v>1300000</v>
      </c>
    </row>
    <row r="10" spans="2:4" ht="6" customHeight="1" thickBot="1">
      <c r="B10" s="238"/>
      <c r="C10" s="236"/>
      <c r="D10" s="234"/>
    </row>
    <row r="11" spans="2:4">
      <c r="B11" s="313" t="s">
        <v>1651</v>
      </c>
      <c r="C11" s="235" t="s">
        <v>1642</v>
      </c>
      <c r="D11" s="223">
        <v>1250000</v>
      </c>
    </row>
    <row r="12" spans="2:4">
      <c r="B12" s="311"/>
      <c r="C12" s="230" t="s">
        <v>1644</v>
      </c>
      <c r="D12" s="225">
        <v>1300000</v>
      </c>
    </row>
    <row r="13" spans="2:4">
      <c r="B13" s="311"/>
      <c r="C13" s="230" t="s">
        <v>1645</v>
      </c>
      <c r="D13" s="225">
        <v>1350000</v>
      </c>
    </row>
    <row r="14" spans="2:4" ht="17.5" thickBot="1">
      <c r="B14" s="312"/>
      <c r="C14" s="231" t="s">
        <v>1646</v>
      </c>
      <c r="D14" s="232">
        <v>1600000</v>
      </c>
    </row>
    <row r="15" spans="2:4" ht="6" customHeight="1">
      <c r="B15" s="239"/>
      <c r="C15" s="237"/>
      <c r="D15" s="233"/>
    </row>
    <row r="16" spans="2:4">
      <c r="B16" s="311" t="s">
        <v>1647</v>
      </c>
      <c r="C16" s="230" t="s">
        <v>1648</v>
      </c>
      <c r="D16" s="225">
        <v>2050000</v>
      </c>
    </row>
    <row r="17" spans="2:4">
      <c r="B17" s="311"/>
      <c r="C17" s="230" t="s">
        <v>1649</v>
      </c>
      <c r="D17" s="225">
        <v>2100000</v>
      </c>
    </row>
    <row r="18" spans="2:4" ht="17.5" thickBot="1">
      <c r="B18" s="312"/>
      <c r="C18" s="231" t="s">
        <v>1650</v>
      </c>
      <c r="D18" s="232">
        <v>2400000</v>
      </c>
    </row>
    <row r="19" spans="2:4" ht="22.5" customHeight="1">
      <c r="B19" s="240" t="s">
        <v>1652</v>
      </c>
    </row>
  </sheetData>
  <mergeCells count="4">
    <mergeCell ref="B16:B18"/>
    <mergeCell ref="B11:B14"/>
    <mergeCell ref="B6:B9"/>
    <mergeCell ref="B2:B4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7"/>
  <sheetViews>
    <sheetView tabSelected="1" topLeftCell="A31" zoomScale="85" zoomScaleNormal="85" workbookViewId="0">
      <selection activeCell="E41" sqref="E41"/>
    </sheetView>
  </sheetViews>
  <sheetFormatPr defaultColWidth="9" defaultRowHeight="17"/>
  <cols>
    <col min="1" max="1" width="3.33203125" style="1" customWidth="1"/>
    <col min="2" max="2" width="10.58203125" style="1" customWidth="1"/>
    <col min="3" max="3" width="20.83203125" style="1" bestFit="1" customWidth="1"/>
    <col min="4" max="4" width="26.25" style="1" customWidth="1"/>
    <col min="5" max="5" width="40" style="1" customWidth="1"/>
    <col min="6" max="6" width="5.08203125" style="1" customWidth="1"/>
    <col min="7" max="7" width="20.83203125" style="1" customWidth="1"/>
    <col min="8" max="8" width="7.25" style="1" customWidth="1"/>
    <col min="9" max="9" width="11.75" style="59" bestFit="1" customWidth="1"/>
    <col min="10" max="10" width="23.83203125" style="1" customWidth="1"/>
    <col min="11" max="11" width="28.83203125" style="1" customWidth="1"/>
    <col min="12" max="12" width="17" style="1" customWidth="1"/>
    <col min="13" max="16384" width="9" style="1"/>
  </cols>
  <sheetData>
    <row r="1" spans="1:11" ht="44">
      <c r="E1" s="260" t="s">
        <v>479</v>
      </c>
      <c r="F1" s="260"/>
      <c r="G1" s="260"/>
      <c r="H1" s="260"/>
      <c r="I1" s="260"/>
      <c r="J1" s="3"/>
    </row>
    <row r="3" spans="1:11" s="52" customFormat="1" ht="16.5" customHeight="1">
      <c r="E3" s="322" t="s">
        <v>257</v>
      </c>
      <c r="F3" s="322"/>
      <c r="G3" s="322"/>
      <c r="H3" s="322"/>
      <c r="I3" s="322"/>
      <c r="J3" s="323" t="s">
        <v>258</v>
      </c>
      <c r="K3" s="324"/>
    </row>
    <row r="4" spans="1:11" s="52" customFormat="1" ht="16.5" customHeight="1">
      <c r="E4" s="322" t="s">
        <v>76</v>
      </c>
      <c r="F4" s="322"/>
      <c r="G4" s="322"/>
      <c r="H4" s="322"/>
      <c r="I4" s="322"/>
      <c r="J4" s="323">
        <v>1</v>
      </c>
      <c r="K4" s="324"/>
    </row>
    <row r="5" spans="1:11" s="52" customFormat="1" ht="16.5" customHeight="1">
      <c r="E5" s="322" t="s">
        <v>77</v>
      </c>
      <c r="F5" s="322"/>
      <c r="G5" s="322"/>
      <c r="H5" s="322"/>
      <c r="I5" s="322"/>
      <c r="J5" s="323">
        <v>1</v>
      </c>
      <c r="K5" s="324"/>
    </row>
    <row r="6" spans="1:11" s="52" customFormat="1" ht="16.5" customHeight="1">
      <c r="E6" s="322" t="s">
        <v>78</v>
      </c>
      <c r="F6" s="322"/>
      <c r="G6" s="322"/>
      <c r="H6" s="322"/>
      <c r="I6" s="322"/>
      <c r="J6" s="323">
        <v>1</v>
      </c>
      <c r="K6" s="324"/>
    </row>
    <row r="7" spans="1:11" s="52" customFormat="1" ht="16.5" customHeight="1">
      <c r="E7" s="322" t="s">
        <v>265</v>
      </c>
      <c r="F7" s="322"/>
      <c r="G7" s="322"/>
      <c r="H7" s="322"/>
      <c r="I7" s="322"/>
      <c r="J7" s="323">
        <f>SUM(J4:K6)</f>
        <v>3</v>
      </c>
      <c r="K7" s="324"/>
    </row>
    <row r="8" spans="1:11" ht="17.5" thickBot="1"/>
    <row r="9" spans="1:11" ht="17.5" thickBot="1">
      <c r="A9" s="62" t="s">
        <v>80</v>
      </c>
      <c r="B9" s="63" t="s">
        <v>0</v>
      </c>
      <c r="C9" s="63" t="s">
        <v>142</v>
      </c>
      <c r="D9" s="63" t="s">
        <v>103</v>
      </c>
      <c r="E9" s="63" t="s">
        <v>104</v>
      </c>
      <c r="F9" s="63" t="s">
        <v>83</v>
      </c>
      <c r="G9" s="63" t="s">
        <v>84</v>
      </c>
      <c r="H9" s="63" t="s">
        <v>255</v>
      </c>
      <c r="I9" s="94" t="s">
        <v>85</v>
      </c>
      <c r="J9" s="63" t="s">
        <v>256</v>
      </c>
      <c r="K9" s="64" t="s">
        <v>79</v>
      </c>
    </row>
    <row r="10" spans="1:11">
      <c r="A10" s="257">
        <v>1</v>
      </c>
      <c r="B10" s="11" t="s">
        <v>234</v>
      </c>
      <c r="C10" s="11" t="s">
        <v>76</v>
      </c>
      <c r="D10" s="11" t="s">
        <v>641</v>
      </c>
      <c r="E10" s="11" t="s">
        <v>694</v>
      </c>
      <c r="F10" s="11">
        <v>1</v>
      </c>
      <c r="G10" s="88" t="s">
        <v>250</v>
      </c>
      <c r="H10" s="88">
        <f>$J$4*F10</f>
        <v>1</v>
      </c>
      <c r="I10" s="54">
        <f>102000</f>
        <v>102000</v>
      </c>
      <c r="J10" s="92">
        <f>H10*I10</f>
        <v>102000</v>
      </c>
      <c r="K10" s="245" t="s">
        <v>1678</v>
      </c>
    </row>
    <row r="11" spans="1:11">
      <c r="A11" s="258"/>
      <c r="B11" s="13" t="s">
        <v>234</v>
      </c>
      <c r="C11" s="13" t="s">
        <v>76</v>
      </c>
      <c r="D11" s="13" t="s">
        <v>642</v>
      </c>
      <c r="E11" s="13" t="s">
        <v>665</v>
      </c>
      <c r="F11" s="13">
        <v>1</v>
      </c>
      <c r="G11" s="67" t="s">
        <v>250</v>
      </c>
      <c r="H11" s="67">
        <f t="shared" ref="H11:H54" si="0">$J$4*F11</f>
        <v>1</v>
      </c>
      <c r="I11" s="60">
        <v>24000</v>
      </c>
      <c r="J11" s="91">
        <f t="shared" ref="J11:J54" si="1">H11*I11</f>
        <v>24000</v>
      </c>
      <c r="K11" s="16"/>
    </row>
    <row r="12" spans="1:11">
      <c r="A12" s="258"/>
      <c r="B12" s="13" t="s">
        <v>234</v>
      </c>
      <c r="C12" s="13" t="s">
        <v>76</v>
      </c>
      <c r="D12" s="13" t="s">
        <v>666</v>
      </c>
      <c r="E12" s="13" t="s">
        <v>693</v>
      </c>
      <c r="F12" s="13">
        <v>1</v>
      </c>
      <c r="G12" s="67" t="s">
        <v>250</v>
      </c>
      <c r="H12" s="67">
        <f t="shared" si="0"/>
        <v>1</v>
      </c>
      <c r="I12" s="60">
        <v>6500</v>
      </c>
      <c r="J12" s="91">
        <f t="shared" si="1"/>
        <v>6500</v>
      </c>
      <c r="K12" s="16"/>
    </row>
    <row r="13" spans="1:11">
      <c r="A13" s="258"/>
      <c r="B13" s="13" t="s">
        <v>234</v>
      </c>
      <c r="C13" s="13" t="s">
        <v>76</v>
      </c>
      <c r="D13" s="13" t="s">
        <v>692</v>
      </c>
      <c r="E13" s="13" t="s">
        <v>1741</v>
      </c>
      <c r="F13" s="13">
        <v>1</v>
      </c>
      <c r="G13" s="13" t="s">
        <v>705</v>
      </c>
      <c r="H13" s="67">
        <f t="shared" si="0"/>
        <v>1</v>
      </c>
      <c r="I13" s="60">
        <v>55000</v>
      </c>
      <c r="J13" s="91">
        <f t="shared" si="1"/>
        <v>55000</v>
      </c>
      <c r="K13" s="16"/>
    </row>
    <row r="14" spans="1:11">
      <c r="A14" s="258"/>
      <c r="B14" s="13" t="s">
        <v>234</v>
      </c>
      <c r="C14" s="13" t="s">
        <v>76</v>
      </c>
      <c r="D14" s="13" t="s">
        <v>1739</v>
      </c>
      <c r="E14" s="13" t="s">
        <v>1742</v>
      </c>
      <c r="F14" s="13">
        <v>1</v>
      </c>
      <c r="G14" s="13" t="s">
        <v>705</v>
      </c>
      <c r="H14" s="67">
        <f t="shared" si="0"/>
        <v>1</v>
      </c>
      <c r="I14" s="60"/>
      <c r="J14" s="91">
        <f t="shared" si="1"/>
        <v>0</v>
      </c>
      <c r="K14" s="16"/>
    </row>
    <row r="15" spans="1:11">
      <c r="A15" s="258"/>
      <c r="B15" s="13" t="s">
        <v>234</v>
      </c>
      <c r="C15" s="13" t="s">
        <v>76</v>
      </c>
      <c r="D15" s="13" t="s">
        <v>1740</v>
      </c>
      <c r="E15" s="13" t="s">
        <v>1743</v>
      </c>
      <c r="F15" s="13">
        <v>1</v>
      </c>
      <c r="G15" s="13" t="s">
        <v>705</v>
      </c>
      <c r="H15" s="67">
        <f t="shared" si="0"/>
        <v>1</v>
      </c>
      <c r="I15" s="60"/>
      <c r="J15" s="91">
        <f t="shared" si="1"/>
        <v>0</v>
      </c>
      <c r="K15" s="16"/>
    </row>
    <row r="16" spans="1:11">
      <c r="A16" s="258"/>
      <c r="B16" s="13" t="s">
        <v>234</v>
      </c>
      <c r="C16" s="13" t="s">
        <v>76</v>
      </c>
      <c r="D16" s="13" t="s">
        <v>695</v>
      </c>
      <c r="E16" s="13" t="s">
        <v>696</v>
      </c>
      <c r="F16" s="13">
        <v>1</v>
      </c>
      <c r="G16" s="13" t="s">
        <v>705</v>
      </c>
      <c r="H16" s="67">
        <f t="shared" si="0"/>
        <v>1</v>
      </c>
      <c r="I16" s="60">
        <v>100000</v>
      </c>
      <c r="J16" s="91">
        <f t="shared" si="1"/>
        <v>100000</v>
      </c>
      <c r="K16" s="16"/>
    </row>
    <row r="17" spans="1:11">
      <c r="A17" s="258"/>
      <c r="B17" s="13" t="s">
        <v>234</v>
      </c>
      <c r="C17" s="13" t="s">
        <v>76</v>
      </c>
      <c r="D17" s="13" t="s">
        <v>1751</v>
      </c>
      <c r="E17" s="13" t="s">
        <v>1752</v>
      </c>
      <c r="F17" s="13">
        <v>36</v>
      </c>
      <c r="G17" s="13" t="s">
        <v>1684</v>
      </c>
      <c r="H17" s="67">
        <f t="shared" si="0"/>
        <v>36</v>
      </c>
      <c r="I17" s="60"/>
      <c r="J17" s="91">
        <f t="shared" si="1"/>
        <v>0</v>
      </c>
      <c r="K17" s="16"/>
    </row>
    <row r="18" spans="1:11">
      <c r="A18" s="258"/>
      <c r="B18" s="13" t="s">
        <v>234</v>
      </c>
      <c r="C18" s="13" t="s">
        <v>76</v>
      </c>
      <c r="D18" s="13" t="s">
        <v>698</v>
      </c>
      <c r="E18" s="13" t="s">
        <v>1753</v>
      </c>
      <c r="F18" s="13">
        <v>18</v>
      </c>
      <c r="G18" s="13" t="s">
        <v>1684</v>
      </c>
      <c r="H18" s="67">
        <f t="shared" si="0"/>
        <v>18</v>
      </c>
      <c r="I18" s="60">
        <v>7700</v>
      </c>
      <c r="J18" s="91">
        <f t="shared" si="1"/>
        <v>138600</v>
      </c>
      <c r="K18" s="16"/>
    </row>
    <row r="19" spans="1:11">
      <c r="A19" s="258"/>
      <c r="B19" s="13" t="s">
        <v>234</v>
      </c>
      <c r="C19" s="13" t="s">
        <v>76</v>
      </c>
      <c r="D19" s="13" t="s">
        <v>667</v>
      </c>
      <c r="E19" s="13" t="s">
        <v>697</v>
      </c>
      <c r="F19" s="13">
        <v>19</v>
      </c>
      <c r="G19" s="13" t="s">
        <v>706</v>
      </c>
      <c r="H19" s="67">
        <f t="shared" si="0"/>
        <v>19</v>
      </c>
      <c r="I19" s="60">
        <v>3000</v>
      </c>
      <c r="J19" s="91">
        <f t="shared" si="1"/>
        <v>57000</v>
      </c>
      <c r="K19" s="16"/>
    </row>
    <row r="20" spans="1:11">
      <c r="A20" s="258"/>
      <c r="B20" s="13" t="s">
        <v>234</v>
      </c>
      <c r="C20" s="13" t="s">
        <v>76</v>
      </c>
      <c r="D20" s="13" t="s">
        <v>639</v>
      </c>
      <c r="E20" s="13" t="s">
        <v>640</v>
      </c>
      <c r="F20" s="13">
        <v>3</v>
      </c>
      <c r="G20" s="13" t="s">
        <v>240</v>
      </c>
      <c r="H20" s="67">
        <v>3</v>
      </c>
      <c r="I20" s="60">
        <v>171000</v>
      </c>
      <c r="J20" s="91">
        <f t="shared" si="1"/>
        <v>513000</v>
      </c>
      <c r="K20" s="16"/>
    </row>
    <row r="21" spans="1:11">
      <c r="A21" s="258"/>
      <c r="B21" s="13" t="s">
        <v>234</v>
      </c>
      <c r="C21" s="13" t="s">
        <v>76</v>
      </c>
      <c r="D21" s="13" t="s">
        <v>645</v>
      </c>
      <c r="E21" s="13" t="s">
        <v>645</v>
      </c>
      <c r="F21" s="13">
        <v>1</v>
      </c>
      <c r="G21" s="13" t="s">
        <v>643</v>
      </c>
      <c r="H21" s="67">
        <f t="shared" si="0"/>
        <v>1</v>
      </c>
      <c r="I21" s="60">
        <f>(108*2700)+400000</f>
        <v>691600</v>
      </c>
      <c r="J21" s="91">
        <f t="shared" si="1"/>
        <v>691600</v>
      </c>
      <c r="K21" s="16" t="s">
        <v>644</v>
      </c>
    </row>
    <row r="22" spans="1:11">
      <c r="A22" s="258"/>
      <c r="B22" s="13" t="s">
        <v>234</v>
      </c>
      <c r="C22" s="13" t="s">
        <v>76</v>
      </c>
      <c r="D22" s="13" t="s">
        <v>113</v>
      </c>
      <c r="E22" s="13" t="s">
        <v>113</v>
      </c>
      <c r="F22" s="13">
        <v>1</v>
      </c>
      <c r="G22" s="13" t="s">
        <v>240</v>
      </c>
      <c r="H22" s="67">
        <f t="shared" si="0"/>
        <v>1</v>
      </c>
      <c r="I22" s="60">
        <v>13400</v>
      </c>
      <c r="J22" s="91">
        <f t="shared" si="1"/>
        <v>13400</v>
      </c>
      <c r="K22" s="16"/>
    </row>
    <row r="23" spans="1:11">
      <c r="A23" s="258"/>
      <c r="B23" s="13" t="s">
        <v>234</v>
      </c>
      <c r="C23" s="13" t="s">
        <v>76</v>
      </c>
      <c r="D23" s="13" t="s">
        <v>647</v>
      </c>
      <c r="E23" s="13" t="s">
        <v>668</v>
      </c>
      <c r="F23" s="13">
        <v>1</v>
      </c>
      <c r="G23" s="13" t="s">
        <v>680</v>
      </c>
      <c r="H23" s="67">
        <f t="shared" si="0"/>
        <v>1</v>
      </c>
      <c r="I23" s="60">
        <v>3700</v>
      </c>
      <c r="J23" s="91">
        <f t="shared" si="1"/>
        <v>3700</v>
      </c>
      <c r="K23" s="16" t="s">
        <v>646</v>
      </c>
    </row>
    <row r="24" spans="1:11">
      <c r="A24" s="258"/>
      <c r="B24" s="13" t="s">
        <v>234</v>
      </c>
      <c r="C24" s="13" t="s">
        <v>76</v>
      </c>
      <c r="D24" s="13" t="s">
        <v>715</v>
      </c>
      <c r="E24" s="13" t="s">
        <v>714</v>
      </c>
      <c r="F24" s="13">
        <v>1</v>
      </c>
      <c r="G24" s="13" t="s">
        <v>1685</v>
      </c>
      <c r="H24" s="67">
        <f t="shared" si="0"/>
        <v>1</v>
      </c>
      <c r="I24" s="60">
        <v>1700</v>
      </c>
      <c r="J24" s="91">
        <f t="shared" si="1"/>
        <v>1700</v>
      </c>
      <c r="K24" s="16"/>
    </row>
    <row r="25" spans="1:11">
      <c r="A25" s="258"/>
      <c r="B25" s="13" t="s">
        <v>234</v>
      </c>
      <c r="C25" s="13" t="s">
        <v>76</v>
      </c>
      <c r="D25" s="13" t="s">
        <v>1757</v>
      </c>
      <c r="E25" s="13" t="s">
        <v>1760</v>
      </c>
      <c r="F25" s="13">
        <v>1</v>
      </c>
      <c r="G25" s="13" t="s">
        <v>707</v>
      </c>
      <c r="H25" s="67">
        <f t="shared" si="0"/>
        <v>1</v>
      </c>
      <c r="I25" s="314">
        <v>45034</v>
      </c>
      <c r="J25" s="317">
        <f t="shared" si="1"/>
        <v>45034</v>
      </c>
      <c r="K25" s="16"/>
    </row>
    <row r="26" spans="1:11">
      <c r="A26" s="258"/>
      <c r="B26" s="256" t="s">
        <v>234</v>
      </c>
      <c r="C26" s="256" t="s">
        <v>76</v>
      </c>
      <c r="D26" s="256" t="s">
        <v>1758</v>
      </c>
      <c r="E26" s="256" t="s">
        <v>1761</v>
      </c>
      <c r="F26" s="256">
        <v>1</v>
      </c>
      <c r="G26" s="256" t="s">
        <v>707</v>
      </c>
      <c r="H26" s="67">
        <f t="shared" ref="H26:H27" si="2">$J$4*F26</f>
        <v>1</v>
      </c>
      <c r="I26" s="315"/>
      <c r="J26" s="318"/>
      <c r="K26" s="16"/>
    </row>
    <row r="27" spans="1:11">
      <c r="A27" s="258"/>
      <c r="B27" s="256" t="s">
        <v>234</v>
      </c>
      <c r="C27" s="256" t="s">
        <v>76</v>
      </c>
      <c r="D27" s="256" t="s">
        <v>1759</v>
      </c>
      <c r="E27" s="256" t="s">
        <v>1762</v>
      </c>
      <c r="F27" s="256">
        <v>1</v>
      </c>
      <c r="G27" s="256" t="s">
        <v>707</v>
      </c>
      <c r="H27" s="67">
        <f t="shared" si="2"/>
        <v>1</v>
      </c>
      <c r="I27" s="315"/>
      <c r="J27" s="318"/>
      <c r="K27" s="16"/>
    </row>
    <row r="28" spans="1:11">
      <c r="A28" s="258"/>
      <c r="B28" s="13" t="s">
        <v>234</v>
      </c>
      <c r="C28" s="13" t="s">
        <v>76</v>
      </c>
      <c r="D28" s="256" t="s">
        <v>1773</v>
      </c>
      <c r="E28" s="256" t="s">
        <v>1781</v>
      </c>
      <c r="F28" s="13">
        <v>1</v>
      </c>
      <c r="G28" s="13" t="s">
        <v>707</v>
      </c>
      <c r="H28" s="67">
        <f t="shared" si="0"/>
        <v>1</v>
      </c>
      <c r="I28" s="315"/>
      <c r="J28" s="318"/>
      <c r="K28" s="16"/>
    </row>
    <row r="29" spans="1:11">
      <c r="A29" s="258"/>
      <c r="B29" s="13" t="s">
        <v>234</v>
      </c>
      <c r="C29" s="13" t="s">
        <v>76</v>
      </c>
      <c r="D29" s="256" t="s">
        <v>1775</v>
      </c>
      <c r="E29" s="256" t="s">
        <v>1783</v>
      </c>
      <c r="F29" s="13">
        <v>1</v>
      </c>
      <c r="G29" s="13" t="s">
        <v>707</v>
      </c>
      <c r="H29" s="67">
        <f t="shared" si="0"/>
        <v>1</v>
      </c>
      <c r="I29" s="315"/>
      <c r="J29" s="318"/>
      <c r="K29" s="16"/>
    </row>
    <row r="30" spans="1:11">
      <c r="A30" s="258"/>
      <c r="B30" s="256" t="s">
        <v>234</v>
      </c>
      <c r="C30" s="256" t="s">
        <v>76</v>
      </c>
      <c r="D30" s="13" t="s">
        <v>1768</v>
      </c>
      <c r="E30" s="256" t="s">
        <v>1776</v>
      </c>
      <c r="F30" s="256">
        <v>1</v>
      </c>
      <c r="G30" s="256" t="s">
        <v>707</v>
      </c>
      <c r="H30" s="67">
        <f t="shared" ref="H30:H33" si="3">$J$4*F30</f>
        <v>1</v>
      </c>
      <c r="I30" s="315"/>
      <c r="J30" s="318"/>
      <c r="K30" s="16"/>
    </row>
    <row r="31" spans="1:11">
      <c r="A31" s="258"/>
      <c r="B31" s="256" t="s">
        <v>234</v>
      </c>
      <c r="C31" s="256" t="s">
        <v>76</v>
      </c>
      <c r="D31" s="256" t="s">
        <v>1770</v>
      </c>
      <c r="E31" s="256" t="s">
        <v>1778</v>
      </c>
      <c r="F31" s="256">
        <v>1</v>
      </c>
      <c r="G31" s="256" t="s">
        <v>707</v>
      </c>
      <c r="H31" s="67">
        <f t="shared" si="3"/>
        <v>1</v>
      </c>
      <c r="I31" s="315"/>
      <c r="J31" s="318"/>
      <c r="K31" s="16"/>
    </row>
    <row r="32" spans="1:11">
      <c r="A32" s="258"/>
      <c r="B32" s="256" t="s">
        <v>234</v>
      </c>
      <c r="C32" s="256" t="s">
        <v>76</v>
      </c>
      <c r="D32" s="13" t="s">
        <v>1769</v>
      </c>
      <c r="E32" s="1" t="s">
        <v>1777</v>
      </c>
      <c r="F32" s="256">
        <v>1</v>
      </c>
      <c r="G32" s="256" t="s">
        <v>707</v>
      </c>
      <c r="H32" s="67">
        <f t="shared" si="3"/>
        <v>1</v>
      </c>
      <c r="I32" s="315"/>
      <c r="J32" s="318"/>
      <c r="K32" s="16"/>
    </row>
    <row r="33" spans="1:11">
      <c r="A33" s="258"/>
      <c r="B33" s="256" t="s">
        <v>234</v>
      </c>
      <c r="C33" s="256" t="s">
        <v>76</v>
      </c>
      <c r="D33" s="256" t="s">
        <v>1771</v>
      </c>
      <c r="E33" s="256" t="s">
        <v>1779</v>
      </c>
      <c r="F33" s="256">
        <v>1</v>
      </c>
      <c r="G33" s="256" t="s">
        <v>707</v>
      </c>
      <c r="H33" s="67">
        <f t="shared" si="3"/>
        <v>1</v>
      </c>
      <c r="I33" s="315"/>
      <c r="J33" s="318"/>
      <c r="K33" s="16"/>
    </row>
    <row r="34" spans="1:11">
      <c r="A34" s="258"/>
      <c r="B34" s="13" t="s">
        <v>234</v>
      </c>
      <c r="C34" s="13" t="s">
        <v>685</v>
      </c>
      <c r="D34" s="13" t="s">
        <v>732</v>
      </c>
      <c r="E34" s="13" t="s">
        <v>752</v>
      </c>
      <c r="F34" s="13">
        <v>2</v>
      </c>
      <c r="G34" s="13" t="s">
        <v>733</v>
      </c>
      <c r="H34" s="67">
        <f t="shared" si="0"/>
        <v>2</v>
      </c>
      <c r="I34" s="316"/>
      <c r="J34" s="319"/>
      <c r="K34" s="16"/>
    </row>
    <row r="35" spans="1:11">
      <c r="A35" s="258"/>
      <c r="B35" s="13" t="s">
        <v>234</v>
      </c>
      <c r="C35" s="13" t="s">
        <v>76</v>
      </c>
      <c r="D35" s="13" t="s">
        <v>648</v>
      </c>
      <c r="E35" s="13" t="s">
        <v>700</v>
      </c>
      <c r="F35" s="13">
        <v>6</v>
      </c>
      <c r="G35" s="13" t="s">
        <v>569</v>
      </c>
      <c r="H35" s="67">
        <f t="shared" si="0"/>
        <v>6</v>
      </c>
      <c r="I35" s="60">
        <v>90</v>
      </c>
      <c r="J35" s="91">
        <f t="shared" si="1"/>
        <v>540</v>
      </c>
      <c r="K35" s="16"/>
    </row>
    <row r="36" spans="1:11">
      <c r="A36" s="258"/>
      <c r="B36" s="13" t="s">
        <v>234</v>
      </c>
      <c r="C36" s="13" t="s">
        <v>76</v>
      </c>
      <c r="D36" s="13" t="s">
        <v>649</v>
      </c>
      <c r="E36" s="13" t="s">
        <v>699</v>
      </c>
      <c r="F36" s="13">
        <v>6</v>
      </c>
      <c r="G36" s="13" t="s">
        <v>569</v>
      </c>
      <c r="H36" s="67">
        <f t="shared" si="0"/>
        <v>6</v>
      </c>
      <c r="I36" s="60">
        <v>90</v>
      </c>
      <c r="J36" s="91">
        <f t="shared" si="1"/>
        <v>540</v>
      </c>
      <c r="K36" s="16"/>
    </row>
    <row r="37" spans="1:11">
      <c r="A37" s="258"/>
      <c r="B37" s="13" t="s">
        <v>234</v>
      </c>
      <c r="C37" s="13" t="s">
        <v>76</v>
      </c>
      <c r="D37" s="13" t="s">
        <v>650</v>
      </c>
      <c r="E37" s="13" t="s">
        <v>754</v>
      </c>
      <c r="F37" s="13">
        <v>1</v>
      </c>
      <c r="G37" s="13" t="s">
        <v>960</v>
      </c>
      <c r="H37" s="13">
        <f t="shared" si="0"/>
        <v>1</v>
      </c>
      <c r="I37" s="60">
        <v>350</v>
      </c>
      <c r="J37" s="91">
        <f t="shared" si="1"/>
        <v>350</v>
      </c>
      <c r="K37" s="16"/>
    </row>
    <row r="38" spans="1:11">
      <c r="A38" s="258"/>
      <c r="B38" s="13" t="s">
        <v>234</v>
      </c>
      <c r="C38" s="13" t="s">
        <v>76</v>
      </c>
      <c r="D38" s="13" t="s">
        <v>701</v>
      </c>
      <c r="E38" s="13" t="s">
        <v>703</v>
      </c>
      <c r="F38" s="13">
        <v>36</v>
      </c>
      <c r="G38" s="13" t="s">
        <v>966</v>
      </c>
      <c r="H38" s="13">
        <f t="shared" si="0"/>
        <v>36</v>
      </c>
      <c r="I38" s="60">
        <v>25</v>
      </c>
      <c r="J38" s="91">
        <f t="shared" si="1"/>
        <v>900</v>
      </c>
      <c r="K38" s="16"/>
    </row>
    <row r="39" spans="1:11">
      <c r="A39" s="258"/>
      <c r="B39" s="13" t="s">
        <v>234</v>
      </c>
      <c r="C39" s="13" t="s">
        <v>76</v>
      </c>
      <c r="D39" s="13" t="s">
        <v>702</v>
      </c>
      <c r="E39" s="13" t="s">
        <v>704</v>
      </c>
      <c r="F39" s="13">
        <v>36</v>
      </c>
      <c r="G39" s="13" t="s">
        <v>967</v>
      </c>
      <c r="H39" s="13">
        <f t="shared" si="0"/>
        <v>36</v>
      </c>
      <c r="I39" s="60">
        <v>38</v>
      </c>
      <c r="J39" s="91">
        <f t="shared" si="1"/>
        <v>1368</v>
      </c>
      <c r="K39" s="16"/>
    </row>
    <row r="40" spans="1:11">
      <c r="A40" s="258"/>
      <c r="B40" s="13" t="s">
        <v>234</v>
      </c>
      <c r="C40" s="13" t="s">
        <v>76</v>
      </c>
      <c r="D40" s="13" t="s">
        <v>724</v>
      </c>
      <c r="E40" s="13" t="s">
        <v>730</v>
      </c>
      <c r="F40" s="13">
        <v>1</v>
      </c>
      <c r="G40" s="13" t="s">
        <v>713</v>
      </c>
      <c r="H40" s="13"/>
      <c r="I40" s="60">
        <v>235</v>
      </c>
      <c r="J40" s="91">
        <f t="shared" si="1"/>
        <v>0</v>
      </c>
      <c r="K40" s="16"/>
    </row>
    <row r="41" spans="1:11">
      <c r="A41" s="258"/>
      <c r="B41" s="13" t="s">
        <v>234</v>
      </c>
      <c r="C41" s="13" t="s">
        <v>76</v>
      </c>
      <c r="D41" s="13" t="s">
        <v>726</v>
      </c>
      <c r="E41" s="13" t="s">
        <v>729</v>
      </c>
      <c r="F41" s="13">
        <v>1</v>
      </c>
      <c r="G41" s="13" t="s">
        <v>713</v>
      </c>
      <c r="H41" s="15"/>
      <c r="I41" s="55">
        <v>285</v>
      </c>
      <c r="J41" s="91">
        <f t="shared" si="1"/>
        <v>0</v>
      </c>
      <c r="K41" s="16"/>
    </row>
    <row r="42" spans="1:11">
      <c r="A42" s="258"/>
      <c r="B42" s="13" t="s">
        <v>234</v>
      </c>
      <c r="C42" s="13" t="s">
        <v>76</v>
      </c>
      <c r="D42" s="13" t="s">
        <v>651</v>
      </c>
      <c r="E42" s="13" t="s">
        <v>669</v>
      </c>
      <c r="F42" s="13">
        <v>36</v>
      </c>
      <c r="G42" s="320" t="s">
        <v>961</v>
      </c>
      <c r="H42" s="320">
        <f t="shared" si="0"/>
        <v>36</v>
      </c>
      <c r="I42" s="314">
        <v>1100</v>
      </c>
      <c r="J42" s="317">
        <f t="shared" si="1"/>
        <v>39600</v>
      </c>
      <c r="K42" s="16"/>
    </row>
    <row r="43" spans="1:11">
      <c r="A43" s="258"/>
      <c r="B43" s="13" t="s">
        <v>234</v>
      </c>
      <c r="C43" s="13" t="s">
        <v>76</v>
      </c>
      <c r="D43" s="13" t="s">
        <v>652</v>
      </c>
      <c r="E43" s="13" t="s">
        <v>638</v>
      </c>
      <c r="F43" s="13">
        <v>36</v>
      </c>
      <c r="G43" s="321"/>
      <c r="H43" s="321">
        <f t="shared" si="0"/>
        <v>36</v>
      </c>
      <c r="I43" s="316"/>
      <c r="J43" s="319"/>
      <c r="K43" s="16"/>
    </row>
    <row r="44" spans="1:11">
      <c r="A44" s="258"/>
      <c r="B44" s="13" t="s">
        <v>234</v>
      </c>
      <c r="C44" s="13" t="s">
        <v>76</v>
      </c>
      <c r="D44" s="13" t="s">
        <v>722</v>
      </c>
      <c r="E44" s="13" t="s">
        <v>755</v>
      </c>
      <c r="F44" s="13">
        <v>1</v>
      </c>
      <c r="G44" s="13" t="s">
        <v>659</v>
      </c>
      <c r="H44" s="13"/>
      <c r="I44" s="60">
        <v>840</v>
      </c>
      <c r="J44" s="91">
        <f t="shared" si="1"/>
        <v>0</v>
      </c>
      <c r="K44" s="16"/>
    </row>
    <row r="45" spans="1:11">
      <c r="A45" s="258"/>
      <c r="B45" s="13" t="s">
        <v>234</v>
      </c>
      <c r="C45" s="13" t="s">
        <v>76</v>
      </c>
      <c r="D45" s="13" t="s">
        <v>717</v>
      </c>
      <c r="E45" s="13" t="s">
        <v>718</v>
      </c>
      <c r="F45" s="13">
        <v>2</v>
      </c>
      <c r="G45" s="13" t="s">
        <v>681</v>
      </c>
      <c r="H45" s="13">
        <f t="shared" si="0"/>
        <v>2</v>
      </c>
      <c r="I45" s="60">
        <v>1800</v>
      </c>
      <c r="J45" s="91">
        <f t="shared" si="1"/>
        <v>3600</v>
      </c>
      <c r="K45" s="16"/>
    </row>
    <row r="46" spans="1:11">
      <c r="A46" s="258"/>
      <c r="B46" s="13" t="s">
        <v>234</v>
      </c>
      <c r="C46" s="13" t="s">
        <v>76</v>
      </c>
      <c r="D46" s="13" t="s">
        <v>653</v>
      </c>
      <c r="E46" s="13" t="s">
        <v>670</v>
      </c>
      <c r="F46" s="13">
        <v>27</v>
      </c>
      <c r="G46" s="13" t="s">
        <v>1789</v>
      </c>
      <c r="H46" s="13">
        <f t="shared" si="0"/>
        <v>27</v>
      </c>
      <c r="I46" s="60">
        <v>2700</v>
      </c>
      <c r="J46" s="91">
        <f t="shared" si="1"/>
        <v>72900</v>
      </c>
      <c r="K46" s="16"/>
    </row>
    <row r="47" spans="1:11">
      <c r="A47" s="258"/>
      <c r="B47" s="13" t="s">
        <v>234</v>
      </c>
      <c r="C47" s="13" t="s">
        <v>76</v>
      </c>
      <c r="D47" s="13" t="s">
        <v>654</v>
      </c>
      <c r="E47" s="13" t="s">
        <v>671</v>
      </c>
      <c r="F47" s="13">
        <v>27</v>
      </c>
      <c r="G47" s="256" t="s">
        <v>1789</v>
      </c>
      <c r="H47" s="13">
        <f t="shared" si="0"/>
        <v>27</v>
      </c>
      <c r="I47" s="60"/>
      <c r="J47" s="91">
        <f t="shared" si="1"/>
        <v>0</v>
      </c>
      <c r="K47" s="16"/>
    </row>
    <row r="48" spans="1:11">
      <c r="A48" s="258"/>
      <c r="B48" s="256" t="s">
        <v>234</v>
      </c>
      <c r="C48" s="256" t="s">
        <v>76</v>
      </c>
      <c r="D48" s="256" t="s">
        <v>1785</v>
      </c>
      <c r="E48" s="256" t="s">
        <v>1787</v>
      </c>
      <c r="F48" s="256">
        <v>27</v>
      </c>
      <c r="G48" s="256" t="s">
        <v>1789</v>
      </c>
      <c r="H48" s="256">
        <f t="shared" si="0"/>
        <v>27</v>
      </c>
      <c r="I48" s="60"/>
      <c r="J48" s="91">
        <f t="shared" si="1"/>
        <v>0</v>
      </c>
      <c r="K48" s="16"/>
    </row>
    <row r="49" spans="1:12">
      <c r="A49" s="258"/>
      <c r="B49" s="13" t="s">
        <v>234</v>
      </c>
      <c r="C49" s="13" t="s">
        <v>76</v>
      </c>
      <c r="D49" s="13" t="s">
        <v>661</v>
      </c>
      <c r="E49" s="13" t="s">
        <v>663</v>
      </c>
      <c r="F49" s="13">
        <v>3</v>
      </c>
      <c r="G49" s="13" t="s">
        <v>569</v>
      </c>
      <c r="H49" s="13">
        <f t="shared" si="0"/>
        <v>3</v>
      </c>
      <c r="I49" s="60">
        <v>2130</v>
      </c>
      <c r="J49" s="91">
        <f t="shared" si="1"/>
        <v>6390</v>
      </c>
      <c r="K49" s="16"/>
    </row>
    <row r="50" spans="1:12">
      <c r="A50" s="258"/>
      <c r="B50" s="13" t="s">
        <v>234</v>
      </c>
      <c r="C50" s="13" t="s">
        <v>76</v>
      </c>
      <c r="D50" s="13" t="s">
        <v>662</v>
      </c>
      <c r="E50" s="13" t="s">
        <v>664</v>
      </c>
      <c r="F50" s="13">
        <v>3</v>
      </c>
      <c r="G50" s="13" t="s">
        <v>716</v>
      </c>
      <c r="H50" s="13">
        <f t="shared" si="0"/>
        <v>3</v>
      </c>
      <c r="I50" s="60">
        <f>6000+3370</f>
        <v>9370</v>
      </c>
      <c r="J50" s="91">
        <f t="shared" si="1"/>
        <v>28110</v>
      </c>
      <c r="K50" s="16"/>
    </row>
    <row r="51" spans="1:12">
      <c r="A51" s="258"/>
      <c r="B51" s="13" t="s">
        <v>234</v>
      </c>
      <c r="C51" s="13" t="s">
        <v>685</v>
      </c>
      <c r="D51" s="13" t="s">
        <v>682</v>
      </c>
      <c r="E51" s="13" t="s">
        <v>683</v>
      </c>
      <c r="F51" s="13">
        <v>1</v>
      </c>
      <c r="G51" s="13" t="s">
        <v>684</v>
      </c>
      <c r="H51" s="13">
        <f t="shared" si="0"/>
        <v>1</v>
      </c>
      <c r="I51" s="60">
        <v>4300</v>
      </c>
      <c r="J51" s="91">
        <f t="shared" si="1"/>
        <v>4300</v>
      </c>
      <c r="K51" s="16"/>
    </row>
    <row r="52" spans="1:12">
      <c r="A52" s="264"/>
      <c r="B52" s="13" t="s">
        <v>234</v>
      </c>
      <c r="C52" s="13" t="s">
        <v>685</v>
      </c>
      <c r="D52" s="13"/>
      <c r="E52" s="13" t="s">
        <v>948</v>
      </c>
      <c r="F52" s="13">
        <v>1</v>
      </c>
      <c r="G52" s="13" t="s">
        <v>949</v>
      </c>
      <c r="H52" s="13">
        <f t="shared" si="0"/>
        <v>1</v>
      </c>
      <c r="I52" s="60">
        <f>23000+3500</f>
        <v>26500</v>
      </c>
      <c r="J52" s="91">
        <f t="shared" si="1"/>
        <v>26500</v>
      </c>
      <c r="K52" s="16"/>
    </row>
    <row r="53" spans="1:12" ht="17.5" thickBot="1">
      <c r="A53" s="264"/>
      <c r="B53" s="13" t="s">
        <v>234</v>
      </c>
      <c r="C53" s="13" t="s">
        <v>685</v>
      </c>
      <c r="D53" s="13"/>
      <c r="E53" s="13" t="s">
        <v>950</v>
      </c>
      <c r="F53" s="13">
        <v>2</v>
      </c>
      <c r="G53" s="13" t="s">
        <v>951</v>
      </c>
      <c r="H53" s="13">
        <f t="shared" si="0"/>
        <v>2</v>
      </c>
      <c r="I53" s="60">
        <v>900</v>
      </c>
      <c r="J53" s="91">
        <f t="shared" si="1"/>
        <v>1800</v>
      </c>
      <c r="K53" s="16"/>
    </row>
    <row r="54" spans="1:12" ht="26" thickBot="1">
      <c r="A54" s="259"/>
      <c r="B54" s="28" t="s">
        <v>234</v>
      </c>
      <c r="C54" s="28" t="s">
        <v>76</v>
      </c>
      <c r="D54" s="28" t="s">
        <v>687</v>
      </c>
      <c r="E54" s="28" t="s">
        <v>688</v>
      </c>
      <c r="F54" s="28">
        <v>1</v>
      </c>
      <c r="G54" s="28" t="s">
        <v>686</v>
      </c>
      <c r="H54" s="28">
        <f t="shared" si="0"/>
        <v>1</v>
      </c>
      <c r="I54" s="78">
        <v>450</v>
      </c>
      <c r="J54" s="96">
        <f t="shared" si="1"/>
        <v>450</v>
      </c>
      <c r="K54" s="90"/>
      <c r="L54" s="97">
        <f>SUM(J10:J54)</f>
        <v>1938882</v>
      </c>
    </row>
    <row r="55" spans="1:12">
      <c r="A55" s="266">
        <v>2</v>
      </c>
      <c r="B55" s="11" t="s">
        <v>689</v>
      </c>
      <c r="C55" s="11" t="s">
        <v>672</v>
      </c>
      <c r="D55" s="11" t="s">
        <v>641</v>
      </c>
      <c r="E55" s="11" t="s">
        <v>694</v>
      </c>
      <c r="F55" s="11">
        <v>1</v>
      </c>
      <c r="G55" s="88" t="s">
        <v>250</v>
      </c>
      <c r="H55" s="88">
        <f>$J$5*F55</f>
        <v>1</v>
      </c>
      <c r="I55" s="54">
        <f>102000</f>
        <v>102000</v>
      </c>
      <c r="J55" s="92">
        <f>H55*I55</f>
        <v>102000</v>
      </c>
      <c r="K55" s="12"/>
    </row>
    <row r="56" spans="1:12">
      <c r="A56" s="265"/>
      <c r="B56" s="13" t="s">
        <v>689</v>
      </c>
      <c r="C56" s="13" t="s">
        <v>672</v>
      </c>
      <c r="D56" s="13" t="s">
        <v>642</v>
      </c>
      <c r="E56" s="13" t="s">
        <v>665</v>
      </c>
      <c r="F56" s="13">
        <v>1</v>
      </c>
      <c r="G56" s="67" t="s">
        <v>250</v>
      </c>
      <c r="H56" s="13">
        <f t="shared" ref="H56:H99" si="4">$J$5*F56</f>
        <v>1</v>
      </c>
      <c r="I56" s="60">
        <v>24000</v>
      </c>
      <c r="J56" s="95">
        <f t="shared" ref="J56:J99" si="5">H56*I56</f>
        <v>24000</v>
      </c>
      <c r="K56" s="16"/>
    </row>
    <row r="57" spans="1:12">
      <c r="A57" s="265"/>
      <c r="B57" s="13" t="s">
        <v>689</v>
      </c>
      <c r="C57" s="13" t="s">
        <v>672</v>
      </c>
      <c r="D57" s="13" t="s">
        <v>666</v>
      </c>
      <c r="E57" s="13" t="s">
        <v>693</v>
      </c>
      <c r="F57" s="13">
        <v>1</v>
      </c>
      <c r="G57" s="67" t="s">
        <v>250</v>
      </c>
      <c r="H57" s="13">
        <f t="shared" si="4"/>
        <v>1</v>
      </c>
      <c r="I57" s="60">
        <v>6500</v>
      </c>
      <c r="J57" s="95">
        <f t="shared" si="5"/>
        <v>6500</v>
      </c>
      <c r="K57" s="16"/>
    </row>
    <row r="58" spans="1:12">
      <c r="A58" s="265"/>
      <c r="B58" s="256" t="s">
        <v>689</v>
      </c>
      <c r="C58" s="256" t="s">
        <v>672</v>
      </c>
      <c r="D58" s="256" t="s">
        <v>692</v>
      </c>
      <c r="E58" s="256" t="s">
        <v>1741</v>
      </c>
      <c r="F58" s="256">
        <v>1</v>
      </c>
      <c r="G58" s="256" t="s">
        <v>705</v>
      </c>
      <c r="H58" s="67">
        <f t="shared" ref="H58:H60" si="6">$J$4*F58</f>
        <v>1</v>
      </c>
      <c r="I58" s="60">
        <v>55000</v>
      </c>
      <c r="J58" s="95">
        <f t="shared" si="5"/>
        <v>55000</v>
      </c>
      <c r="K58" s="16"/>
    </row>
    <row r="59" spans="1:12">
      <c r="A59" s="265"/>
      <c r="B59" s="256" t="s">
        <v>689</v>
      </c>
      <c r="C59" s="256" t="s">
        <v>672</v>
      </c>
      <c r="D59" s="256" t="s">
        <v>1739</v>
      </c>
      <c r="E59" s="256" t="s">
        <v>1742</v>
      </c>
      <c r="F59" s="256">
        <v>1</v>
      </c>
      <c r="G59" s="256" t="s">
        <v>705</v>
      </c>
      <c r="H59" s="67">
        <f t="shared" si="6"/>
        <v>1</v>
      </c>
      <c r="I59" s="60"/>
      <c r="J59" s="255">
        <f t="shared" si="5"/>
        <v>0</v>
      </c>
      <c r="K59" s="16"/>
    </row>
    <row r="60" spans="1:12">
      <c r="A60" s="265"/>
      <c r="B60" s="256" t="s">
        <v>689</v>
      </c>
      <c r="C60" s="256" t="s">
        <v>672</v>
      </c>
      <c r="D60" s="256" t="s">
        <v>1740</v>
      </c>
      <c r="E60" s="256" t="s">
        <v>1743</v>
      </c>
      <c r="F60" s="256">
        <v>1</v>
      </c>
      <c r="G60" s="256" t="s">
        <v>705</v>
      </c>
      <c r="H60" s="67">
        <f t="shared" si="6"/>
        <v>1</v>
      </c>
      <c r="I60" s="60"/>
      <c r="J60" s="255">
        <f t="shared" si="5"/>
        <v>0</v>
      </c>
      <c r="K60" s="16"/>
    </row>
    <row r="61" spans="1:12">
      <c r="A61" s="265"/>
      <c r="B61" s="13" t="s">
        <v>689</v>
      </c>
      <c r="C61" s="13" t="s">
        <v>672</v>
      </c>
      <c r="D61" s="13" t="s">
        <v>695</v>
      </c>
      <c r="E61" s="13" t="s">
        <v>696</v>
      </c>
      <c r="F61" s="13">
        <v>1</v>
      </c>
      <c r="G61" s="13" t="s">
        <v>705</v>
      </c>
      <c r="H61" s="13">
        <f t="shared" si="4"/>
        <v>1</v>
      </c>
      <c r="I61" s="60">
        <v>100000</v>
      </c>
      <c r="J61" s="95">
        <f t="shared" si="5"/>
        <v>100000</v>
      </c>
      <c r="K61" s="16"/>
    </row>
    <row r="62" spans="1:12">
      <c r="A62" s="265"/>
      <c r="B62" s="13" t="s">
        <v>689</v>
      </c>
      <c r="C62" s="13" t="s">
        <v>672</v>
      </c>
      <c r="D62" s="13" t="s">
        <v>1754</v>
      </c>
      <c r="E62" s="13" t="s">
        <v>1755</v>
      </c>
      <c r="F62" s="13">
        <v>36</v>
      </c>
      <c r="G62" s="13" t="s">
        <v>1804</v>
      </c>
      <c r="H62" s="13">
        <v>36</v>
      </c>
      <c r="I62" s="60"/>
      <c r="J62" s="95">
        <v>0</v>
      </c>
      <c r="K62" s="16"/>
    </row>
    <row r="63" spans="1:12">
      <c r="A63" s="265"/>
      <c r="B63" s="256" t="s">
        <v>689</v>
      </c>
      <c r="C63" s="256" t="s">
        <v>672</v>
      </c>
      <c r="D63" s="361" t="s">
        <v>698</v>
      </c>
      <c r="E63" s="361" t="s">
        <v>1756</v>
      </c>
      <c r="F63" s="361">
        <v>18</v>
      </c>
      <c r="G63" s="361" t="s">
        <v>1804</v>
      </c>
      <c r="H63" s="361">
        <v>18</v>
      </c>
      <c r="I63" s="362">
        <v>7700</v>
      </c>
      <c r="J63" s="255">
        <v>138600</v>
      </c>
      <c r="K63" s="16"/>
    </row>
    <row r="64" spans="1:12">
      <c r="A64" s="265"/>
      <c r="B64" s="13" t="s">
        <v>689</v>
      </c>
      <c r="C64" s="13" t="s">
        <v>672</v>
      </c>
      <c r="D64" s="13" t="s">
        <v>667</v>
      </c>
      <c r="E64" s="13" t="s">
        <v>697</v>
      </c>
      <c r="F64" s="13">
        <v>19</v>
      </c>
      <c r="G64" s="13" t="s">
        <v>706</v>
      </c>
      <c r="H64" s="13">
        <f t="shared" si="4"/>
        <v>19</v>
      </c>
      <c r="I64" s="60">
        <v>3000</v>
      </c>
      <c r="J64" s="95">
        <f t="shared" si="5"/>
        <v>57000</v>
      </c>
      <c r="K64" s="16"/>
    </row>
    <row r="65" spans="1:11">
      <c r="A65" s="265"/>
      <c r="B65" s="13" t="s">
        <v>689</v>
      </c>
      <c r="C65" s="13" t="s">
        <v>672</v>
      </c>
      <c r="D65" s="13" t="s">
        <v>639</v>
      </c>
      <c r="E65" s="13" t="s">
        <v>640</v>
      </c>
      <c r="F65" s="13">
        <v>3</v>
      </c>
      <c r="G65" s="13" t="s">
        <v>240</v>
      </c>
      <c r="H65" s="13">
        <v>3</v>
      </c>
      <c r="I65" s="60">
        <v>171000</v>
      </c>
      <c r="J65" s="95">
        <f t="shared" si="5"/>
        <v>513000</v>
      </c>
      <c r="K65" s="16"/>
    </row>
    <row r="66" spans="1:11">
      <c r="A66" s="265"/>
      <c r="B66" s="13" t="s">
        <v>689</v>
      </c>
      <c r="C66" s="13" t="s">
        <v>672</v>
      </c>
      <c r="D66" s="13" t="s">
        <v>719</v>
      </c>
      <c r="E66" s="13" t="s">
        <v>675</v>
      </c>
      <c r="F66" s="13">
        <v>1</v>
      </c>
      <c r="G66" s="13" t="s">
        <v>643</v>
      </c>
      <c r="H66" s="13">
        <f t="shared" si="4"/>
        <v>1</v>
      </c>
      <c r="I66" s="60">
        <f>(135*2700)+400000</f>
        <v>764500</v>
      </c>
      <c r="J66" s="95">
        <f t="shared" si="5"/>
        <v>764500</v>
      </c>
      <c r="K66" s="16" t="s">
        <v>644</v>
      </c>
    </row>
    <row r="67" spans="1:11">
      <c r="A67" s="265"/>
      <c r="B67" s="13" t="s">
        <v>689</v>
      </c>
      <c r="C67" s="13" t="s">
        <v>672</v>
      </c>
      <c r="D67" s="13" t="s">
        <v>113</v>
      </c>
      <c r="E67" s="13" t="s">
        <v>113</v>
      </c>
      <c r="F67" s="13">
        <v>1</v>
      </c>
      <c r="G67" s="13" t="s">
        <v>240</v>
      </c>
      <c r="H67" s="13">
        <f t="shared" si="4"/>
        <v>1</v>
      </c>
      <c r="I67" s="60">
        <v>13400</v>
      </c>
      <c r="J67" s="95">
        <f t="shared" si="5"/>
        <v>13400</v>
      </c>
      <c r="K67" s="16"/>
    </row>
    <row r="68" spans="1:11">
      <c r="A68" s="265"/>
      <c r="B68" s="13" t="s">
        <v>689</v>
      </c>
      <c r="C68" s="13" t="s">
        <v>672</v>
      </c>
      <c r="D68" s="13" t="s">
        <v>647</v>
      </c>
      <c r="E68" s="13" t="s">
        <v>668</v>
      </c>
      <c r="F68" s="13">
        <v>1</v>
      </c>
      <c r="G68" s="13" t="s">
        <v>680</v>
      </c>
      <c r="H68" s="13">
        <f t="shared" si="4"/>
        <v>1</v>
      </c>
      <c r="I68" s="60">
        <v>3700</v>
      </c>
      <c r="J68" s="95">
        <f t="shared" si="5"/>
        <v>3700</v>
      </c>
      <c r="K68" s="16" t="s">
        <v>646</v>
      </c>
    </row>
    <row r="69" spans="1:11">
      <c r="A69" s="265"/>
      <c r="B69" s="13" t="s">
        <v>689</v>
      </c>
      <c r="C69" s="13" t="s">
        <v>672</v>
      </c>
      <c r="D69" s="13" t="s">
        <v>715</v>
      </c>
      <c r="E69" s="13" t="s">
        <v>714</v>
      </c>
      <c r="F69" s="13">
        <v>1</v>
      </c>
      <c r="G69" s="13" t="s">
        <v>1685</v>
      </c>
      <c r="H69" s="13">
        <f t="shared" si="4"/>
        <v>1</v>
      </c>
      <c r="I69" s="60">
        <v>1700</v>
      </c>
      <c r="J69" s="95">
        <f t="shared" si="5"/>
        <v>1700</v>
      </c>
      <c r="K69" s="16"/>
    </row>
    <row r="70" spans="1:11">
      <c r="A70" s="265"/>
      <c r="B70" s="13" t="s">
        <v>689</v>
      </c>
      <c r="C70" s="13" t="s">
        <v>672</v>
      </c>
      <c r="D70" s="13" t="s">
        <v>1757</v>
      </c>
      <c r="E70" s="13" t="s">
        <v>1760</v>
      </c>
      <c r="F70" s="13">
        <v>1</v>
      </c>
      <c r="G70" s="13" t="s">
        <v>733</v>
      </c>
      <c r="H70" s="13">
        <v>1</v>
      </c>
      <c r="I70" s="314">
        <v>45034</v>
      </c>
      <c r="J70" s="317">
        <f t="shared" si="5"/>
        <v>45034</v>
      </c>
      <c r="K70" s="16"/>
    </row>
    <row r="71" spans="1:11">
      <c r="A71" s="265"/>
      <c r="B71" s="13" t="s">
        <v>689</v>
      </c>
      <c r="C71" s="13" t="s">
        <v>672</v>
      </c>
      <c r="D71" s="13" t="s">
        <v>1758</v>
      </c>
      <c r="E71" s="13" t="s">
        <v>1761</v>
      </c>
      <c r="F71" s="13">
        <v>1</v>
      </c>
      <c r="G71" s="13" t="s">
        <v>733</v>
      </c>
      <c r="H71" s="13">
        <v>1</v>
      </c>
      <c r="I71" s="315"/>
      <c r="J71" s="318"/>
      <c r="K71" s="16"/>
    </row>
    <row r="72" spans="1:11">
      <c r="A72" s="265"/>
      <c r="B72" s="13" t="s">
        <v>689</v>
      </c>
      <c r="C72" s="13" t="s">
        <v>672</v>
      </c>
      <c r="D72" s="13" t="s">
        <v>1759</v>
      </c>
      <c r="E72" s="13" t="s">
        <v>1762</v>
      </c>
      <c r="F72" s="13">
        <v>1</v>
      </c>
      <c r="G72" s="13" t="s">
        <v>733</v>
      </c>
      <c r="H72" s="13">
        <v>1</v>
      </c>
      <c r="I72" s="315"/>
      <c r="J72" s="318"/>
      <c r="K72" s="16"/>
    </row>
    <row r="73" spans="1:11">
      <c r="A73" s="265"/>
      <c r="B73" s="256" t="s">
        <v>689</v>
      </c>
      <c r="C73" s="256" t="s">
        <v>672</v>
      </c>
      <c r="D73" s="361" t="s">
        <v>1772</v>
      </c>
      <c r="E73" s="361" t="s">
        <v>1780</v>
      </c>
      <c r="F73" s="361">
        <v>1</v>
      </c>
      <c r="G73" s="361" t="s">
        <v>733</v>
      </c>
      <c r="H73" s="361">
        <v>1</v>
      </c>
      <c r="I73" s="315"/>
      <c r="J73" s="318"/>
      <c r="K73" s="16"/>
    </row>
    <row r="74" spans="1:11">
      <c r="A74" s="265"/>
      <c r="B74" s="256" t="s">
        <v>689</v>
      </c>
      <c r="C74" s="256" t="s">
        <v>672</v>
      </c>
      <c r="D74" s="361" t="s">
        <v>1774</v>
      </c>
      <c r="E74" s="361" t="s">
        <v>1782</v>
      </c>
      <c r="F74" s="361">
        <v>1</v>
      </c>
      <c r="G74" s="361" t="s">
        <v>733</v>
      </c>
      <c r="H74" s="361">
        <v>1</v>
      </c>
      <c r="I74" s="315"/>
      <c r="J74" s="318"/>
      <c r="K74" s="16"/>
    </row>
    <row r="75" spans="1:11">
      <c r="A75" s="265"/>
      <c r="B75" s="256" t="s">
        <v>689</v>
      </c>
      <c r="C75" s="256" t="s">
        <v>672</v>
      </c>
      <c r="D75" s="361" t="s">
        <v>1768</v>
      </c>
      <c r="E75" s="361" t="s">
        <v>1776</v>
      </c>
      <c r="F75" s="361">
        <v>1</v>
      </c>
      <c r="G75" s="361" t="s">
        <v>733</v>
      </c>
      <c r="H75" s="361">
        <v>1</v>
      </c>
      <c r="I75" s="315"/>
      <c r="J75" s="318"/>
      <c r="K75" s="16"/>
    </row>
    <row r="76" spans="1:11">
      <c r="A76" s="265"/>
      <c r="B76" s="256" t="s">
        <v>689</v>
      </c>
      <c r="C76" s="256" t="s">
        <v>672</v>
      </c>
      <c r="D76" s="361" t="s">
        <v>1770</v>
      </c>
      <c r="E76" s="361" t="s">
        <v>1778</v>
      </c>
      <c r="F76" s="361">
        <v>1</v>
      </c>
      <c r="G76" s="361" t="s">
        <v>733</v>
      </c>
      <c r="H76" s="361">
        <v>1</v>
      </c>
      <c r="I76" s="315"/>
      <c r="J76" s="318"/>
      <c r="K76" s="16"/>
    </row>
    <row r="77" spans="1:11">
      <c r="A77" s="265"/>
      <c r="B77" s="256" t="s">
        <v>689</v>
      </c>
      <c r="C77" s="256" t="s">
        <v>672</v>
      </c>
      <c r="D77" s="361" t="s">
        <v>1769</v>
      </c>
      <c r="E77" s="361" t="s">
        <v>1777</v>
      </c>
      <c r="F77" s="361">
        <v>1</v>
      </c>
      <c r="G77" s="361" t="s">
        <v>733</v>
      </c>
      <c r="H77" s="361">
        <v>1</v>
      </c>
      <c r="I77" s="315"/>
      <c r="J77" s="318"/>
      <c r="K77" s="16"/>
    </row>
    <row r="78" spans="1:11">
      <c r="A78" s="265"/>
      <c r="B78" s="256" t="s">
        <v>689</v>
      </c>
      <c r="C78" s="256" t="s">
        <v>672</v>
      </c>
      <c r="D78" s="361" t="s">
        <v>1771</v>
      </c>
      <c r="E78" s="361" t="s">
        <v>1779</v>
      </c>
      <c r="F78" s="361">
        <v>1</v>
      </c>
      <c r="G78" s="361" t="s">
        <v>733</v>
      </c>
      <c r="H78" s="361">
        <v>1</v>
      </c>
      <c r="I78" s="315"/>
      <c r="J78" s="318"/>
      <c r="K78" s="16"/>
    </row>
    <row r="79" spans="1:11">
      <c r="A79" s="265"/>
      <c r="B79" s="256" t="s">
        <v>689</v>
      </c>
      <c r="C79" s="256" t="s">
        <v>672</v>
      </c>
      <c r="D79" s="13" t="s">
        <v>732</v>
      </c>
      <c r="E79" s="13" t="s">
        <v>751</v>
      </c>
      <c r="F79" s="13">
        <v>2</v>
      </c>
      <c r="G79" s="13" t="s">
        <v>733</v>
      </c>
      <c r="H79" s="13">
        <f t="shared" si="4"/>
        <v>2</v>
      </c>
      <c r="I79" s="316"/>
      <c r="J79" s="319"/>
      <c r="K79" s="16"/>
    </row>
    <row r="80" spans="1:11">
      <c r="A80" s="265"/>
      <c r="B80" s="256" t="s">
        <v>689</v>
      </c>
      <c r="C80" s="256" t="s">
        <v>672</v>
      </c>
      <c r="D80" s="13" t="s">
        <v>648</v>
      </c>
      <c r="E80" s="13" t="s">
        <v>700</v>
      </c>
      <c r="F80" s="13">
        <v>6</v>
      </c>
      <c r="G80" s="13" t="s">
        <v>569</v>
      </c>
      <c r="H80" s="13">
        <f t="shared" si="4"/>
        <v>6</v>
      </c>
      <c r="I80" s="60">
        <v>90</v>
      </c>
      <c r="J80" s="95">
        <f t="shared" si="5"/>
        <v>540</v>
      </c>
      <c r="K80" s="16"/>
    </row>
    <row r="81" spans="1:11">
      <c r="A81" s="265"/>
      <c r="B81" s="13" t="s">
        <v>689</v>
      </c>
      <c r="C81" s="13" t="s">
        <v>672</v>
      </c>
      <c r="D81" s="13" t="s">
        <v>649</v>
      </c>
      <c r="E81" s="13" t="s">
        <v>699</v>
      </c>
      <c r="F81" s="13">
        <v>6</v>
      </c>
      <c r="G81" s="13" t="s">
        <v>569</v>
      </c>
      <c r="H81" s="13">
        <f t="shared" si="4"/>
        <v>6</v>
      </c>
      <c r="I81" s="60">
        <v>90</v>
      </c>
      <c r="J81" s="95">
        <f t="shared" si="5"/>
        <v>540</v>
      </c>
      <c r="K81" s="16"/>
    </row>
    <row r="82" spans="1:11">
      <c r="A82" s="265"/>
      <c r="B82" s="13" t="s">
        <v>689</v>
      </c>
      <c r="C82" s="13" t="s">
        <v>672</v>
      </c>
      <c r="D82" s="13" t="s">
        <v>650</v>
      </c>
      <c r="E82" s="13" t="s">
        <v>753</v>
      </c>
      <c r="F82" s="13">
        <v>1</v>
      </c>
      <c r="G82" s="13" t="s">
        <v>959</v>
      </c>
      <c r="H82" s="13">
        <f t="shared" si="4"/>
        <v>1</v>
      </c>
      <c r="I82" s="60">
        <v>350</v>
      </c>
      <c r="J82" s="95">
        <f t="shared" si="5"/>
        <v>350</v>
      </c>
      <c r="K82" s="16"/>
    </row>
    <row r="83" spans="1:11">
      <c r="A83" s="265"/>
      <c r="B83" s="13" t="s">
        <v>689</v>
      </c>
      <c r="C83" s="13" t="s">
        <v>672</v>
      </c>
      <c r="D83" s="13" t="s">
        <v>701</v>
      </c>
      <c r="E83" s="13" t="s">
        <v>703</v>
      </c>
      <c r="F83" s="13">
        <v>36</v>
      </c>
      <c r="G83" s="13" t="s">
        <v>966</v>
      </c>
      <c r="H83" s="13">
        <f t="shared" si="4"/>
        <v>36</v>
      </c>
      <c r="I83" s="60">
        <v>25</v>
      </c>
      <c r="J83" s="95">
        <f t="shared" si="5"/>
        <v>900</v>
      </c>
      <c r="K83" s="16"/>
    </row>
    <row r="84" spans="1:11">
      <c r="A84" s="265"/>
      <c r="B84" s="13" t="s">
        <v>689</v>
      </c>
      <c r="C84" s="13" t="s">
        <v>672</v>
      </c>
      <c r="D84" s="13" t="s">
        <v>702</v>
      </c>
      <c r="E84" s="13" t="s">
        <v>704</v>
      </c>
      <c r="F84" s="13">
        <v>36</v>
      </c>
      <c r="G84" s="13" t="s">
        <v>967</v>
      </c>
      <c r="H84" s="13">
        <f t="shared" si="4"/>
        <v>36</v>
      </c>
      <c r="I84" s="60">
        <v>38</v>
      </c>
      <c r="J84" s="95">
        <f t="shared" si="5"/>
        <v>1368</v>
      </c>
      <c r="K84" s="16"/>
    </row>
    <row r="85" spans="1:11">
      <c r="A85" s="265"/>
      <c r="B85" s="13" t="s">
        <v>689</v>
      </c>
      <c r="C85" s="13" t="s">
        <v>672</v>
      </c>
      <c r="D85" s="13" t="s">
        <v>724</v>
      </c>
      <c r="E85" s="13" t="s">
        <v>730</v>
      </c>
      <c r="F85" s="13">
        <v>1</v>
      </c>
      <c r="G85" s="13" t="s">
        <v>712</v>
      </c>
      <c r="H85" s="13"/>
      <c r="I85" s="60">
        <v>235</v>
      </c>
      <c r="J85" s="95">
        <f t="shared" si="5"/>
        <v>0</v>
      </c>
      <c r="K85" s="16"/>
    </row>
    <row r="86" spans="1:11">
      <c r="A86" s="265"/>
      <c r="B86" s="13" t="s">
        <v>689</v>
      </c>
      <c r="C86" s="13" t="s">
        <v>672</v>
      </c>
      <c r="D86" s="13" t="s">
        <v>725</v>
      </c>
      <c r="E86" s="13" t="s">
        <v>729</v>
      </c>
      <c r="F86" s="13">
        <v>1</v>
      </c>
      <c r="G86" s="13" t="s">
        <v>727</v>
      </c>
      <c r="H86" s="13"/>
      <c r="I86" s="60">
        <v>285</v>
      </c>
      <c r="J86" s="95">
        <f t="shared" si="5"/>
        <v>0</v>
      </c>
      <c r="K86" s="16"/>
    </row>
    <row r="87" spans="1:11">
      <c r="A87" s="265"/>
      <c r="B87" s="13" t="s">
        <v>689</v>
      </c>
      <c r="C87" s="13" t="s">
        <v>672</v>
      </c>
      <c r="D87" s="13" t="s">
        <v>651</v>
      </c>
      <c r="E87" s="13" t="s">
        <v>669</v>
      </c>
      <c r="F87" s="13">
        <v>36</v>
      </c>
      <c r="G87" s="320" t="s">
        <v>961</v>
      </c>
      <c r="H87" s="320">
        <f t="shared" si="4"/>
        <v>36</v>
      </c>
      <c r="I87" s="314">
        <v>1100</v>
      </c>
      <c r="J87" s="95">
        <f t="shared" si="5"/>
        <v>39600</v>
      </c>
      <c r="K87" s="16"/>
    </row>
    <row r="88" spans="1:11">
      <c r="A88" s="265"/>
      <c r="B88" s="13" t="s">
        <v>689</v>
      </c>
      <c r="C88" s="13" t="s">
        <v>672</v>
      </c>
      <c r="D88" s="13" t="s">
        <v>652</v>
      </c>
      <c r="E88" s="13" t="s">
        <v>638</v>
      </c>
      <c r="F88" s="13">
        <v>36</v>
      </c>
      <c r="G88" s="321"/>
      <c r="H88" s="321">
        <f t="shared" si="4"/>
        <v>36</v>
      </c>
      <c r="I88" s="316"/>
      <c r="J88" s="95">
        <f t="shared" si="5"/>
        <v>0</v>
      </c>
      <c r="K88" s="16"/>
    </row>
    <row r="89" spans="1:11">
      <c r="A89" s="265"/>
      <c r="B89" s="13" t="s">
        <v>689</v>
      </c>
      <c r="C89" s="13" t="s">
        <v>672</v>
      </c>
      <c r="D89" s="13" t="s">
        <v>722</v>
      </c>
      <c r="E89" s="13" t="s">
        <v>723</v>
      </c>
      <c r="F89" s="13">
        <v>1</v>
      </c>
      <c r="G89" s="13" t="s">
        <v>659</v>
      </c>
      <c r="H89" s="13"/>
      <c r="I89" s="60">
        <v>840</v>
      </c>
      <c r="J89" s="95">
        <f t="shared" si="5"/>
        <v>0</v>
      </c>
      <c r="K89" s="16"/>
    </row>
    <row r="90" spans="1:11">
      <c r="A90" s="265"/>
      <c r="B90" s="13" t="s">
        <v>689</v>
      </c>
      <c r="C90" s="13" t="s">
        <v>672</v>
      </c>
      <c r="D90" s="13" t="s">
        <v>717</v>
      </c>
      <c r="E90" s="13" t="s">
        <v>718</v>
      </c>
      <c r="F90" s="13">
        <v>2</v>
      </c>
      <c r="G90" s="13" t="s">
        <v>681</v>
      </c>
      <c r="H90" s="13">
        <f t="shared" si="4"/>
        <v>2</v>
      </c>
      <c r="I90" s="60">
        <v>1800</v>
      </c>
      <c r="J90" s="95">
        <f t="shared" si="5"/>
        <v>3600</v>
      </c>
      <c r="K90" s="16"/>
    </row>
    <row r="91" spans="1:11">
      <c r="A91" s="265"/>
      <c r="B91" s="13" t="s">
        <v>689</v>
      </c>
      <c r="C91" s="13" t="s">
        <v>672</v>
      </c>
      <c r="D91" s="13" t="s">
        <v>1805</v>
      </c>
      <c r="E91" s="13" t="s">
        <v>1806</v>
      </c>
      <c r="F91" s="13">
        <v>27</v>
      </c>
      <c r="G91" s="13" t="s">
        <v>1788</v>
      </c>
      <c r="H91" s="13">
        <v>27</v>
      </c>
      <c r="I91" s="60">
        <v>2700</v>
      </c>
      <c r="J91" s="95">
        <v>72900</v>
      </c>
      <c r="K91" s="16"/>
    </row>
    <row r="92" spans="1:11">
      <c r="A92" s="265"/>
      <c r="B92" s="256" t="s">
        <v>689</v>
      </c>
      <c r="C92" s="256" t="s">
        <v>672</v>
      </c>
      <c r="D92" s="13" t="s">
        <v>1807</v>
      </c>
      <c r="E92" s="13" t="s">
        <v>1808</v>
      </c>
      <c r="F92" s="13">
        <v>27</v>
      </c>
      <c r="G92" s="13" t="s">
        <v>1788</v>
      </c>
      <c r="H92" s="13">
        <v>27</v>
      </c>
      <c r="I92" s="60"/>
      <c r="J92" s="95">
        <v>0</v>
      </c>
      <c r="K92" s="16"/>
    </row>
    <row r="93" spans="1:11">
      <c r="A93" s="265"/>
      <c r="B93" s="256" t="s">
        <v>689</v>
      </c>
      <c r="C93" s="256" t="s">
        <v>672</v>
      </c>
      <c r="D93" s="361" t="s">
        <v>1784</v>
      </c>
      <c r="E93" s="361" t="s">
        <v>1786</v>
      </c>
      <c r="F93" s="361">
        <v>27</v>
      </c>
      <c r="G93" s="361" t="s">
        <v>1788</v>
      </c>
      <c r="H93" s="361">
        <v>27</v>
      </c>
      <c r="I93" s="362"/>
      <c r="J93" s="255">
        <v>0</v>
      </c>
      <c r="K93" s="16"/>
    </row>
    <row r="94" spans="1:11">
      <c r="A94" s="265"/>
      <c r="B94" s="256" t="s">
        <v>689</v>
      </c>
      <c r="C94" s="256" t="s">
        <v>672</v>
      </c>
      <c r="D94" s="13" t="s">
        <v>661</v>
      </c>
      <c r="E94" s="13" t="s">
        <v>663</v>
      </c>
      <c r="F94" s="13">
        <v>3</v>
      </c>
      <c r="G94" s="13" t="s">
        <v>569</v>
      </c>
      <c r="H94" s="13">
        <f t="shared" si="4"/>
        <v>3</v>
      </c>
      <c r="I94" s="60">
        <v>2130</v>
      </c>
      <c r="J94" s="95">
        <f t="shared" si="5"/>
        <v>6390</v>
      </c>
      <c r="K94" s="16"/>
    </row>
    <row r="95" spans="1:11">
      <c r="A95" s="265"/>
      <c r="B95" s="13" t="s">
        <v>689</v>
      </c>
      <c r="C95" s="13" t="s">
        <v>672</v>
      </c>
      <c r="D95" s="13" t="s">
        <v>662</v>
      </c>
      <c r="E95" s="13" t="s">
        <v>664</v>
      </c>
      <c r="F95" s="13">
        <v>3</v>
      </c>
      <c r="G95" s="13" t="s">
        <v>716</v>
      </c>
      <c r="H95" s="13">
        <f t="shared" si="4"/>
        <v>3</v>
      </c>
      <c r="I95" s="60">
        <f>6000+3370</f>
        <v>9370</v>
      </c>
      <c r="J95" s="95">
        <f t="shared" si="5"/>
        <v>28110</v>
      </c>
      <c r="K95" s="16"/>
    </row>
    <row r="96" spans="1:11">
      <c r="A96" s="265"/>
      <c r="B96" s="13" t="s">
        <v>689</v>
      </c>
      <c r="C96" s="13" t="s">
        <v>672</v>
      </c>
      <c r="D96" s="13" t="s">
        <v>682</v>
      </c>
      <c r="E96" s="13" t="s">
        <v>683</v>
      </c>
      <c r="F96" s="13">
        <v>1</v>
      </c>
      <c r="G96" s="13" t="s">
        <v>684</v>
      </c>
      <c r="H96" s="13">
        <f t="shared" si="4"/>
        <v>1</v>
      </c>
      <c r="I96" s="60">
        <v>4300</v>
      </c>
      <c r="J96" s="95">
        <f t="shared" si="5"/>
        <v>4300</v>
      </c>
      <c r="K96" s="16"/>
    </row>
    <row r="97" spans="1:12">
      <c r="A97" s="265"/>
      <c r="B97" s="13" t="s">
        <v>689</v>
      </c>
      <c r="C97" s="13" t="s">
        <v>685</v>
      </c>
      <c r="D97" s="13"/>
      <c r="E97" s="13" t="s">
        <v>948</v>
      </c>
      <c r="F97" s="13">
        <v>1</v>
      </c>
      <c r="G97" s="13" t="s">
        <v>949</v>
      </c>
      <c r="H97" s="13">
        <f t="shared" ref="H97:H98" si="7">$J$4*F97</f>
        <v>1</v>
      </c>
      <c r="I97" s="60">
        <f>23000+3500</f>
        <v>26500</v>
      </c>
      <c r="J97" s="91">
        <f t="shared" si="5"/>
        <v>26500</v>
      </c>
      <c r="K97" s="16"/>
    </row>
    <row r="98" spans="1:12" ht="17.5" thickBot="1">
      <c r="A98" s="265"/>
      <c r="B98" s="13" t="s">
        <v>689</v>
      </c>
      <c r="C98" s="13" t="s">
        <v>685</v>
      </c>
      <c r="D98" s="13"/>
      <c r="E98" s="13" t="s">
        <v>950</v>
      </c>
      <c r="F98" s="13">
        <v>2</v>
      </c>
      <c r="G98" s="13" t="s">
        <v>951</v>
      </c>
      <c r="H98" s="13">
        <f t="shared" si="7"/>
        <v>2</v>
      </c>
      <c r="I98" s="60">
        <v>900</v>
      </c>
      <c r="J98" s="91">
        <f t="shared" si="5"/>
        <v>1800</v>
      </c>
      <c r="K98" s="16"/>
    </row>
    <row r="99" spans="1:12" ht="26" thickBot="1">
      <c r="A99" s="267"/>
      <c r="B99" s="28" t="s">
        <v>689</v>
      </c>
      <c r="C99" s="28" t="s">
        <v>672</v>
      </c>
      <c r="D99" s="28" t="s">
        <v>687</v>
      </c>
      <c r="E99" s="28" t="s">
        <v>688</v>
      </c>
      <c r="F99" s="28">
        <v>1</v>
      </c>
      <c r="G99" s="28" t="s">
        <v>686</v>
      </c>
      <c r="H99" s="28">
        <f t="shared" si="4"/>
        <v>1</v>
      </c>
      <c r="I99" s="78">
        <v>450</v>
      </c>
      <c r="J99" s="96">
        <f t="shared" si="5"/>
        <v>450</v>
      </c>
      <c r="K99" s="90"/>
      <c r="L99" s="97">
        <f>SUM(J55:J99)</f>
        <v>2011782</v>
      </c>
    </row>
    <row r="100" spans="1:12">
      <c r="A100" s="266">
        <v>3</v>
      </c>
      <c r="B100" s="11" t="s">
        <v>674</v>
      </c>
      <c r="C100" s="11" t="s">
        <v>673</v>
      </c>
      <c r="D100" s="11" t="s">
        <v>641</v>
      </c>
      <c r="E100" s="11" t="s">
        <v>694</v>
      </c>
      <c r="F100" s="11">
        <v>1</v>
      </c>
      <c r="G100" s="88" t="s">
        <v>250</v>
      </c>
      <c r="H100" s="88">
        <f>$J$6*F100</f>
        <v>1</v>
      </c>
      <c r="I100" s="54">
        <f>102000</f>
        <v>102000</v>
      </c>
      <c r="J100" s="92">
        <f>H100*I100</f>
        <v>102000</v>
      </c>
      <c r="K100" s="12"/>
    </row>
    <row r="101" spans="1:12">
      <c r="A101" s="265"/>
      <c r="B101" s="13" t="s">
        <v>674</v>
      </c>
      <c r="C101" s="13" t="s">
        <v>673</v>
      </c>
      <c r="D101" s="13" t="s">
        <v>642</v>
      </c>
      <c r="E101" s="13" t="s">
        <v>665</v>
      </c>
      <c r="F101" s="13">
        <v>1</v>
      </c>
      <c r="G101" s="67" t="s">
        <v>250</v>
      </c>
      <c r="H101" s="67">
        <f t="shared" ref="H101:H144" si="8">$J$6*F101</f>
        <v>1</v>
      </c>
      <c r="I101" s="60">
        <v>24000</v>
      </c>
      <c r="J101" s="91">
        <f>H101*I101</f>
        <v>24000</v>
      </c>
      <c r="K101" s="16"/>
    </row>
    <row r="102" spans="1:12">
      <c r="A102" s="265"/>
      <c r="B102" s="13" t="s">
        <v>674</v>
      </c>
      <c r="C102" s="13" t="s">
        <v>673</v>
      </c>
      <c r="D102" s="13" t="s">
        <v>666</v>
      </c>
      <c r="E102" s="13" t="s">
        <v>693</v>
      </c>
      <c r="F102" s="13">
        <v>1</v>
      </c>
      <c r="G102" s="67" t="s">
        <v>250</v>
      </c>
      <c r="H102" s="67">
        <f t="shared" si="8"/>
        <v>1</v>
      </c>
      <c r="I102" s="60">
        <v>6500</v>
      </c>
      <c r="J102" s="91">
        <f t="shared" ref="J102:J144" si="9">H102*I102</f>
        <v>6500</v>
      </c>
      <c r="K102" s="16"/>
    </row>
    <row r="103" spans="1:12">
      <c r="A103" s="265"/>
      <c r="B103" s="13" t="s">
        <v>674</v>
      </c>
      <c r="C103" s="13" t="s">
        <v>673</v>
      </c>
      <c r="D103" s="13" t="s">
        <v>1791</v>
      </c>
      <c r="E103" s="13" t="s">
        <v>1792</v>
      </c>
      <c r="F103" s="13">
        <v>1</v>
      </c>
      <c r="G103" s="13" t="s">
        <v>1793</v>
      </c>
      <c r="H103" s="67">
        <v>1</v>
      </c>
      <c r="I103" s="60">
        <v>55000</v>
      </c>
      <c r="J103" s="91">
        <f t="shared" si="9"/>
        <v>55000</v>
      </c>
      <c r="K103" s="16"/>
    </row>
    <row r="104" spans="1:12">
      <c r="A104" s="265"/>
      <c r="B104" s="256" t="s">
        <v>674</v>
      </c>
      <c r="C104" s="256" t="s">
        <v>673</v>
      </c>
      <c r="D104" s="361" t="s">
        <v>1794</v>
      </c>
      <c r="E104" s="361" t="s">
        <v>1795</v>
      </c>
      <c r="F104" s="361">
        <v>1</v>
      </c>
      <c r="G104" s="361" t="s">
        <v>1793</v>
      </c>
      <c r="H104" s="364">
        <v>1</v>
      </c>
      <c r="I104" s="362"/>
      <c r="J104" s="91">
        <f t="shared" si="9"/>
        <v>0</v>
      </c>
      <c r="K104" s="16"/>
    </row>
    <row r="105" spans="1:12">
      <c r="A105" s="265"/>
      <c r="B105" s="256" t="s">
        <v>674</v>
      </c>
      <c r="C105" s="256" t="s">
        <v>673</v>
      </c>
      <c r="D105" s="361" t="s">
        <v>1796</v>
      </c>
      <c r="E105" s="361" t="s">
        <v>1797</v>
      </c>
      <c r="F105" s="361">
        <v>1</v>
      </c>
      <c r="G105" s="361" t="s">
        <v>1793</v>
      </c>
      <c r="H105" s="364">
        <v>1</v>
      </c>
      <c r="I105" s="362"/>
      <c r="J105" s="91">
        <f t="shared" si="9"/>
        <v>0</v>
      </c>
      <c r="K105" s="16"/>
    </row>
    <row r="106" spans="1:12">
      <c r="A106" s="265"/>
      <c r="B106" s="13" t="s">
        <v>674</v>
      </c>
      <c r="C106" s="13" t="s">
        <v>673</v>
      </c>
      <c r="D106" s="13" t="s">
        <v>728</v>
      </c>
      <c r="E106" s="13" t="s">
        <v>696</v>
      </c>
      <c r="F106" s="13">
        <v>1</v>
      </c>
      <c r="G106" s="13" t="s">
        <v>705</v>
      </c>
      <c r="H106" s="67">
        <f t="shared" si="8"/>
        <v>1</v>
      </c>
      <c r="I106" s="60">
        <v>100000</v>
      </c>
      <c r="J106" s="91">
        <f t="shared" si="9"/>
        <v>100000</v>
      </c>
      <c r="K106" s="16"/>
    </row>
    <row r="107" spans="1:12">
      <c r="A107" s="265"/>
      <c r="B107" s="13" t="s">
        <v>674</v>
      </c>
      <c r="C107" s="13" t="s">
        <v>673</v>
      </c>
      <c r="D107" s="13" t="s">
        <v>1754</v>
      </c>
      <c r="E107" s="13" t="s">
        <v>1755</v>
      </c>
      <c r="F107" s="13">
        <v>36</v>
      </c>
      <c r="G107" s="13" t="s">
        <v>1804</v>
      </c>
      <c r="H107" s="67">
        <v>36</v>
      </c>
      <c r="I107" s="60"/>
      <c r="J107" s="91">
        <v>0</v>
      </c>
      <c r="K107" s="16"/>
    </row>
    <row r="108" spans="1:12">
      <c r="A108" s="265"/>
      <c r="B108" s="256" t="s">
        <v>674</v>
      </c>
      <c r="C108" s="256" t="s">
        <v>673</v>
      </c>
      <c r="D108" s="361" t="s">
        <v>698</v>
      </c>
      <c r="E108" s="361" t="s">
        <v>1756</v>
      </c>
      <c r="F108" s="361">
        <v>18</v>
      </c>
      <c r="G108" s="361" t="s">
        <v>1804</v>
      </c>
      <c r="H108" s="364">
        <v>18</v>
      </c>
      <c r="I108" s="362">
        <v>7700</v>
      </c>
      <c r="J108" s="363">
        <v>138600</v>
      </c>
      <c r="K108" s="16"/>
    </row>
    <row r="109" spans="1:12">
      <c r="A109" s="265"/>
      <c r="B109" s="13" t="s">
        <v>674</v>
      </c>
      <c r="C109" s="13" t="s">
        <v>673</v>
      </c>
      <c r="D109" s="13" t="s">
        <v>667</v>
      </c>
      <c r="E109" s="13" t="s">
        <v>697</v>
      </c>
      <c r="F109" s="13">
        <v>19</v>
      </c>
      <c r="G109" s="13" t="s">
        <v>706</v>
      </c>
      <c r="H109" s="67">
        <f t="shared" si="8"/>
        <v>19</v>
      </c>
      <c r="I109" s="60">
        <v>3000</v>
      </c>
      <c r="J109" s="91">
        <f t="shared" si="9"/>
        <v>57000</v>
      </c>
      <c r="K109" s="16"/>
    </row>
    <row r="110" spans="1:12">
      <c r="A110" s="265"/>
      <c r="B110" s="13" t="s">
        <v>674</v>
      </c>
      <c r="C110" s="13" t="s">
        <v>673</v>
      </c>
      <c r="D110" s="13" t="s">
        <v>720</v>
      </c>
      <c r="E110" s="13" t="s">
        <v>640</v>
      </c>
      <c r="F110" s="13">
        <v>3</v>
      </c>
      <c r="G110" s="13" t="s">
        <v>240</v>
      </c>
      <c r="H110" s="67">
        <v>3</v>
      </c>
      <c r="I110" s="60">
        <v>234200</v>
      </c>
      <c r="J110" s="91">
        <f t="shared" si="9"/>
        <v>702600</v>
      </c>
      <c r="K110" s="16"/>
    </row>
    <row r="111" spans="1:12">
      <c r="A111" s="265"/>
      <c r="B111" s="13" t="s">
        <v>674</v>
      </c>
      <c r="C111" s="13" t="s">
        <v>673</v>
      </c>
      <c r="D111" s="13" t="s">
        <v>721</v>
      </c>
      <c r="E111" s="13" t="s">
        <v>721</v>
      </c>
      <c r="F111" s="13">
        <v>1</v>
      </c>
      <c r="G111" s="13" t="s">
        <v>643</v>
      </c>
      <c r="H111" s="67">
        <f t="shared" si="8"/>
        <v>1</v>
      </c>
      <c r="I111" s="60">
        <f>(162*2700)+400000</f>
        <v>837400</v>
      </c>
      <c r="J111" s="91">
        <f t="shared" si="9"/>
        <v>837400</v>
      </c>
      <c r="K111" s="16" t="s">
        <v>644</v>
      </c>
    </row>
    <row r="112" spans="1:12">
      <c r="A112" s="265"/>
      <c r="B112" s="13" t="s">
        <v>674</v>
      </c>
      <c r="C112" s="13" t="s">
        <v>673</v>
      </c>
      <c r="D112" s="13" t="s">
        <v>113</v>
      </c>
      <c r="E112" s="13" t="s">
        <v>113</v>
      </c>
      <c r="F112" s="13">
        <v>1</v>
      </c>
      <c r="G112" s="13" t="s">
        <v>240</v>
      </c>
      <c r="H112" s="67">
        <f t="shared" si="8"/>
        <v>1</v>
      </c>
      <c r="I112" s="60">
        <v>13400</v>
      </c>
      <c r="J112" s="91">
        <f t="shared" si="9"/>
        <v>13400</v>
      </c>
      <c r="K112" s="16"/>
    </row>
    <row r="113" spans="1:11">
      <c r="A113" s="265"/>
      <c r="B113" s="13" t="s">
        <v>674</v>
      </c>
      <c r="C113" s="13" t="s">
        <v>673</v>
      </c>
      <c r="D113" s="13" t="s">
        <v>647</v>
      </c>
      <c r="E113" s="13" t="s">
        <v>668</v>
      </c>
      <c r="F113" s="13">
        <v>1</v>
      </c>
      <c r="G113" s="13" t="s">
        <v>680</v>
      </c>
      <c r="H113" s="67">
        <f t="shared" si="8"/>
        <v>1</v>
      </c>
      <c r="I113" s="60">
        <v>3700</v>
      </c>
      <c r="J113" s="91">
        <f t="shared" si="9"/>
        <v>3700</v>
      </c>
      <c r="K113" s="16" t="s">
        <v>646</v>
      </c>
    </row>
    <row r="114" spans="1:11">
      <c r="A114" s="265"/>
      <c r="B114" s="13" t="s">
        <v>674</v>
      </c>
      <c r="C114" s="13" t="s">
        <v>673</v>
      </c>
      <c r="D114" s="13" t="s">
        <v>715</v>
      </c>
      <c r="E114" s="13" t="s">
        <v>714</v>
      </c>
      <c r="F114" s="13">
        <v>1</v>
      </c>
      <c r="G114" s="13" t="s">
        <v>1685</v>
      </c>
      <c r="H114" s="67">
        <f t="shared" si="8"/>
        <v>1</v>
      </c>
      <c r="I114" s="60">
        <v>1700</v>
      </c>
      <c r="J114" s="91">
        <f t="shared" si="9"/>
        <v>1700</v>
      </c>
      <c r="K114" s="16"/>
    </row>
    <row r="115" spans="1:11">
      <c r="A115" s="265"/>
      <c r="B115" s="13" t="s">
        <v>674</v>
      </c>
      <c r="C115" s="13" t="s">
        <v>673</v>
      </c>
      <c r="D115" s="13" t="s">
        <v>1757</v>
      </c>
      <c r="E115" s="13" t="s">
        <v>1760</v>
      </c>
      <c r="F115" s="13">
        <v>1</v>
      </c>
      <c r="G115" s="13" t="s">
        <v>733</v>
      </c>
      <c r="H115" s="67">
        <v>1</v>
      </c>
      <c r="I115" s="314">
        <v>45034</v>
      </c>
      <c r="J115" s="317">
        <f t="shared" si="9"/>
        <v>45034</v>
      </c>
      <c r="K115" s="16"/>
    </row>
    <row r="116" spans="1:11">
      <c r="A116" s="265"/>
      <c r="B116" s="13" t="s">
        <v>674</v>
      </c>
      <c r="C116" s="13" t="s">
        <v>673</v>
      </c>
      <c r="D116" s="13" t="s">
        <v>1758</v>
      </c>
      <c r="E116" s="13" t="s">
        <v>1761</v>
      </c>
      <c r="F116" s="13">
        <v>1</v>
      </c>
      <c r="G116" s="13" t="s">
        <v>733</v>
      </c>
      <c r="H116" s="67">
        <v>1</v>
      </c>
      <c r="I116" s="315"/>
      <c r="J116" s="318"/>
      <c r="K116" s="16"/>
    </row>
    <row r="117" spans="1:11">
      <c r="A117" s="265"/>
      <c r="B117" s="13" t="s">
        <v>674</v>
      </c>
      <c r="C117" s="13" t="s">
        <v>673</v>
      </c>
      <c r="D117" s="13" t="s">
        <v>1759</v>
      </c>
      <c r="E117" s="13" t="s">
        <v>1762</v>
      </c>
      <c r="F117" s="13">
        <v>1</v>
      </c>
      <c r="G117" s="13" t="s">
        <v>733</v>
      </c>
      <c r="H117" s="67">
        <v>1</v>
      </c>
      <c r="I117" s="315"/>
      <c r="J117" s="318"/>
      <c r="K117" s="16"/>
    </row>
    <row r="118" spans="1:11">
      <c r="A118" s="265"/>
      <c r="B118" s="256" t="s">
        <v>674</v>
      </c>
      <c r="C118" s="256" t="s">
        <v>673</v>
      </c>
      <c r="D118" s="361" t="s">
        <v>1772</v>
      </c>
      <c r="E118" s="361" t="s">
        <v>1780</v>
      </c>
      <c r="F118" s="361">
        <v>1</v>
      </c>
      <c r="G118" s="361" t="s">
        <v>733</v>
      </c>
      <c r="H118" s="364">
        <v>1</v>
      </c>
      <c r="I118" s="315"/>
      <c r="J118" s="318"/>
      <c r="K118" s="16"/>
    </row>
    <row r="119" spans="1:11">
      <c r="A119" s="265"/>
      <c r="B119" s="256" t="s">
        <v>674</v>
      </c>
      <c r="C119" s="256" t="s">
        <v>673</v>
      </c>
      <c r="D119" s="361" t="s">
        <v>1774</v>
      </c>
      <c r="E119" s="361" t="s">
        <v>1782</v>
      </c>
      <c r="F119" s="361">
        <v>1</v>
      </c>
      <c r="G119" s="361" t="s">
        <v>733</v>
      </c>
      <c r="H119" s="364">
        <v>1</v>
      </c>
      <c r="I119" s="315"/>
      <c r="J119" s="318"/>
      <c r="K119" s="16"/>
    </row>
    <row r="120" spans="1:11">
      <c r="A120" s="265"/>
      <c r="B120" s="256" t="s">
        <v>674</v>
      </c>
      <c r="C120" s="256" t="s">
        <v>673</v>
      </c>
      <c r="D120" s="361" t="s">
        <v>1768</v>
      </c>
      <c r="E120" s="361" t="s">
        <v>1776</v>
      </c>
      <c r="F120" s="361">
        <v>1</v>
      </c>
      <c r="G120" s="361" t="s">
        <v>733</v>
      </c>
      <c r="H120" s="364">
        <v>1</v>
      </c>
      <c r="I120" s="315"/>
      <c r="J120" s="318"/>
      <c r="K120" s="16"/>
    </row>
    <row r="121" spans="1:11">
      <c r="A121" s="265"/>
      <c r="B121" s="256" t="s">
        <v>674</v>
      </c>
      <c r="C121" s="256" t="s">
        <v>673</v>
      </c>
      <c r="D121" s="361" t="s">
        <v>1770</v>
      </c>
      <c r="E121" s="361" t="s">
        <v>1778</v>
      </c>
      <c r="F121" s="361">
        <v>1</v>
      </c>
      <c r="G121" s="361" t="s">
        <v>733</v>
      </c>
      <c r="H121" s="364">
        <v>1</v>
      </c>
      <c r="I121" s="315"/>
      <c r="J121" s="318"/>
      <c r="K121" s="16"/>
    </row>
    <row r="122" spans="1:11">
      <c r="A122" s="265"/>
      <c r="B122" s="256" t="s">
        <v>674</v>
      </c>
      <c r="C122" s="256" t="s">
        <v>673</v>
      </c>
      <c r="D122" s="361" t="s">
        <v>1769</v>
      </c>
      <c r="E122" s="361" t="s">
        <v>1777</v>
      </c>
      <c r="F122" s="361">
        <v>1</v>
      </c>
      <c r="G122" s="361" t="s">
        <v>733</v>
      </c>
      <c r="H122" s="364">
        <v>1</v>
      </c>
      <c r="I122" s="315"/>
      <c r="J122" s="318"/>
      <c r="K122" s="16"/>
    </row>
    <row r="123" spans="1:11">
      <c r="A123" s="265"/>
      <c r="B123" s="256" t="s">
        <v>674</v>
      </c>
      <c r="C123" s="256" t="s">
        <v>673</v>
      </c>
      <c r="D123" s="361" t="s">
        <v>1771</v>
      </c>
      <c r="E123" s="361" t="s">
        <v>1779</v>
      </c>
      <c r="F123" s="361">
        <v>1</v>
      </c>
      <c r="G123" s="361" t="s">
        <v>733</v>
      </c>
      <c r="H123" s="364">
        <v>1</v>
      </c>
      <c r="I123" s="315"/>
      <c r="J123" s="318"/>
      <c r="K123" s="16"/>
    </row>
    <row r="124" spans="1:11">
      <c r="A124" s="265"/>
      <c r="B124" s="256" t="s">
        <v>674</v>
      </c>
      <c r="C124" s="256" t="s">
        <v>673</v>
      </c>
      <c r="D124" s="13" t="s">
        <v>732</v>
      </c>
      <c r="E124" s="13" t="s">
        <v>751</v>
      </c>
      <c r="F124" s="13">
        <v>2</v>
      </c>
      <c r="G124" s="13" t="s">
        <v>733</v>
      </c>
      <c r="H124" s="67">
        <f t="shared" si="8"/>
        <v>2</v>
      </c>
      <c r="I124" s="316"/>
      <c r="J124" s="319"/>
      <c r="K124" s="16"/>
    </row>
    <row r="125" spans="1:11">
      <c r="A125" s="265"/>
      <c r="B125" s="256" t="s">
        <v>674</v>
      </c>
      <c r="C125" s="256" t="s">
        <v>673</v>
      </c>
      <c r="D125" s="13" t="s">
        <v>648</v>
      </c>
      <c r="E125" s="13" t="s">
        <v>700</v>
      </c>
      <c r="F125" s="13">
        <v>6</v>
      </c>
      <c r="G125" s="13" t="s">
        <v>569</v>
      </c>
      <c r="H125" s="67">
        <f t="shared" si="8"/>
        <v>6</v>
      </c>
      <c r="I125" s="60">
        <v>90</v>
      </c>
      <c r="J125" s="91">
        <f t="shared" si="9"/>
        <v>540</v>
      </c>
      <c r="K125" s="16"/>
    </row>
    <row r="126" spans="1:11">
      <c r="A126" s="265"/>
      <c r="B126" s="13" t="s">
        <v>674</v>
      </c>
      <c r="C126" s="13" t="s">
        <v>673</v>
      </c>
      <c r="D126" s="13" t="s">
        <v>649</v>
      </c>
      <c r="E126" s="13" t="s">
        <v>699</v>
      </c>
      <c r="F126" s="13">
        <v>6</v>
      </c>
      <c r="G126" s="13" t="s">
        <v>569</v>
      </c>
      <c r="H126" s="67">
        <f t="shared" si="8"/>
        <v>6</v>
      </c>
      <c r="I126" s="60">
        <v>90</v>
      </c>
      <c r="J126" s="91">
        <f t="shared" si="9"/>
        <v>540</v>
      </c>
      <c r="K126" s="16"/>
    </row>
    <row r="127" spans="1:11">
      <c r="A127" s="265"/>
      <c r="B127" s="13" t="s">
        <v>674</v>
      </c>
      <c r="C127" s="13" t="s">
        <v>673</v>
      </c>
      <c r="D127" s="13" t="s">
        <v>650</v>
      </c>
      <c r="E127" s="13" t="s">
        <v>753</v>
      </c>
      <c r="F127" s="13">
        <v>1</v>
      </c>
      <c r="G127" s="13" t="s">
        <v>1685</v>
      </c>
      <c r="H127" s="67">
        <f t="shared" si="8"/>
        <v>1</v>
      </c>
      <c r="I127" s="60">
        <v>350</v>
      </c>
      <c r="J127" s="91">
        <f t="shared" si="9"/>
        <v>350</v>
      </c>
      <c r="K127" s="16"/>
    </row>
    <row r="128" spans="1:11">
      <c r="A128" s="265"/>
      <c r="B128" s="13" t="s">
        <v>674</v>
      </c>
      <c r="C128" s="13" t="s">
        <v>673</v>
      </c>
      <c r="D128" s="13" t="s">
        <v>701</v>
      </c>
      <c r="E128" s="13" t="s">
        <v>703</v>
      </c>
      <c r="F128" s="13">
        <v>36</v>
      </c>
      <c r="G128" s="13" t="s">
        <v>966</v>
      </c>
      <c r="H128" s="67">
        <f t="shared" si="8"/>
        <v>36</v>
      </c>
      <c r="I128" s="60">
        <v>25</v>
      </c>
      <c r="J128" s="91">
        <f t="shared" si="9"/>
        <v>900</v>
      </c>
      <c r="K128" s="16"/>
    </row>
    <row r="129" spans="1:12">
      <c r="A129" s="265"/>
      <c r="B129" s="13" t="s">
        <v>674</v>
      </c>
      <c r="C129" s="13" t="s">
        <v>673</v>
      </c>
      <c r="D129" s="13" t="s">
        <v>702</v>
      </c>
      <c r="E129" s="13" t="s">
        <v>704</v>
      </c>
      <c r="F129" s="13">
        <v>36</v>
      </c>
      <c r="G129" s="13" t="s">
        <v>967</v>
      </c>
      <c r="H129" s="67">
        <f t="shared" si="8"/>
        <v>36</v>
      </c>
      <c r="I129" s="60">
        <v>38</v>
      </c>
      <c r="J129" s="91">
        <f t="shared" si="9"/>
        <v>1368</v>
      </c>
      <c r="K129" s="16"/>
    </row>
    <row r="130" spans="1:12">
      <c r="A130" s="265"/>
      <c r="B130" s="13" t="s">
        <v>674</v>
      </c>
      <c r="C130" s="13" t="s">
        <v>673</v>
      </c>
      <c r="D130" s="13" t="s">
        <v>724</v>
      </c>
      <c r="E130" s="13" t="s">
        <v>730</v>
      </c>
      <c r="F130" s="13">
        <v>1</v>
      </c>
      <c r="G130" s="13" t="s">
        <v>712</v>
      </c>
      <c r="H130" s="67">
        <f t="shared" si="8"/>
        <v>1</v>
      </c>
      <c r="I130" s="60">
        <v>235</v>
      </c>
      <c r="J130" s="91">
        <f t="shared" si="9"/>
        <v>235</v>
      </c>
      <c r="K130" s="16"/>
    </row>
    <row r="131" spans="1:12">
      <c r="A131" s="265"/>
      <c r="B131" s="13" t="s">
        <v>674</v>
      </c>
      <c r="C131" s="13" t="s">
        <v>673</v>
      </c>
      <c r="D131" s="13" t="s">
        <v>725</v>
      </c>
      <c r="E131" s="13" t="s">
        <v>729</v>
      </c>
      <c r="F131" s="13">
        <v>1</v>
      </c>
      <c r="G131" s="13" t="s">
        <v>727</v>
      </c>
      <c r="H131" s="67">
        <f t="shared" si="8"/>
        <v>1</v>
      </c>
      <c r="I131" s="60">
        <v>285</v>
      </c>
      <c r="J131" s="91">
        <f t="shared" si="9"/>
        <v>285</v>
      </c>
      <c r="K131" s="16"/>
    </row>
    <row r="132" spans="1:12">
      <c r="A132" s="265"/>
      <c r="B132" s="13" t="s">
        <v>674</v>
      </c>
      <c r="C132" s="13" t="s">
        <v>673</v>
      </c>
      <c r="D132" s="13" t="s">
        <v>651</v>
      </c>
      <c r="E132" s="13" t="s">
        <v>669</v>
      </c>
      <c r="F132" s="13">
        <v>36</v>
      </c>
      <c r="G132" s="320" t="s">
        <v>961</v>
      </c>
      <c r="H132" s="67">
        <f t="shared" si="8"/>
        <v>36</v>
      </c>
      <c r="I132" s="314">
        <v>1100</v>
      </c>
      <c r="J132" s="91">
        <f t="shared" si="9"/>
        <v>39600</v>
      </c>
      <c r="K132" s="16"/>
    </row>
    <row r="133" spans="1:12">
      <c r="A133" s="265"/>
      <c r="B133" s="13" t="s">
        <v>674</v>
      </c>
      <c r="C133" s="13" t="s">
        <v>673</v>
      </c>
      <c r="D133" s="13" t="s">
        <v>652</v>
      </c>
      <c r="E133" s="13" t="s">
        <v>638</v>
      </c>
      <c r="F133" s="13">
        <v>36</v>
      </c>
      <c r="G133" s="321"/>
      <c r="H133" s="67">
        <f t="shared" si="8"/>
        <v>36</v>
      </c>
      <c r="I133" s="316"/>
      <c r="J133" s="91">
        <f t="shared" si="9"/>
        <v>0</v>
      </c>
      <c r="K133" s="16"/>
    </row>
    <row r="134" spans="1:12">
      <c r="A134" s="265"/>
      <c r="B134" s="13" t="s">
        <v>674</v>
      </c>
      <c r="C134" s="13" t="s">
        <v>673</v>
      </c>
      <c r="D134" s="13" t="s">
        <v>722</v>
      </c>
      <c r="E134" s="13" t="s">
        <v>723</v>
      </c>
      <c r="F134" s="13">
        <v>1</v>
      </c>
      <c r="G134" s="13" t="s">
        <v>659</v>
      </c>
      <c r="H134" s="67">
        <f t="shared" si="8"/>
        <v>1</v>
      </c>
      <c r="I134" s="60">
        <v>840</v>
      </c>
      <c r="J134" s="91">
        <f t="shared" si="9"/>
        <v>840</v>
      </c>
      <c r="K134" s="16"/>
    </row>
    <row r="135" spans="1:12">
      <c r="A135" s="265"/>
      <c r="B135" s="13" t="s">
        <v>674</v>
      </c>
      <c r="C135" s="13" t="s">
        <v>673</v>
      </c>
      <c r="D135" s="13" t="s">
        <v>717</v>
      </c>
      <c r="E135" s="13" t="s">
        <v>718</v>
      </c>
      <c r="F135" s="13">
        <v>2</v>
      </c>
      <c r="G135" s="13" t="s">
        <v>681</v>
      </c>
      <c r="H135" s="67">
        <f t="shared" si="8"/>
        <v>2</v>
      </c>
      <c r="I135" s="60">
        <v>1800</v>
      </c>
      <c r="J135" s="91">
        <f t="shared" si="9"/>
        <v>3600</v>
      </c>
      <c r="K135" s="16"/>
    </row>
    <row r="136" spans="1:12">
      <c r="A136" s="265"/>
      <c r="B136" s="13" t="s">
        <v>674</v>
      </c>
      <c r="C136" s="13" t="s">
        <v>673</v>
      </c>
      <c r="D136" s="13" t="s">
        <v>1805</v>
      </c>
      <c r="E136" s="13" t="s">
        <v>1806</v>
      </c>
      <c r="F136" s="13">
        <v>27</v>
      </c>
      <c r="G136" s="13" t="s">
        <v>1788</v>
      </c>
      <c r="H136" s="67">
        <v>27</v>
      </c>
      <c r="I136" s="60">
        <v>2700</v>
      </c>
      <c r="J136" s="91">
        <v>72900</v>
      </c>
      <c r="K136" s="16"/>
    </row>
    <row r="137" spans="1:12">
      <c r="A137" s="265"/>
      <c r="B137" s="13" t="s">
        <v>674</v>
      </c>
      <c r="C137" s="13" t="s">
        <v>673</v>
      </c>
      <c r="D137" s="13" t="s">
        <v>1807</v>
      </c>
      <c r="E137" s="13" t="s">
        <v>1808</v>
      </c>
      <c r="F137" s="13">
        <v>27</v>
      </c>
      <c r="G137" s="13" t="s">
        <v>1788</v>
      </c>
      <c r="H137" s="67">
        <v>27</v>
      </c>
      <c r="I137" s="60"/>
      <c r="J137" s="91">
        <v>0</v>
      </c>
      <c r="K137" s="16"/>
    </row>
    <row r="138" spans="1:12">
      <c r="A138" s="265"/>
      <c r="B138" s="256" t="s">
        <v>674</v>
      </c>
      <c r="C138" s="256" t="s">
        <v>673</v>
      </c>
      <c r="D138" s="361" t="s">
        <v>1784</v>
      </c>
      <c r="E138" s="361" t="s">
        <v>1786</v>
      </c>
      <c r="F138" s="361">
        <v>27</v>
      </c>
      <c r="G138" s="361" t="s">
        <v>1788</v>
      </c>
      <c r="H138" s="364">
        <v>27</v>
      </c>
      <c r="I138" s="362"/>
      <c r="J138" s="363">
        <v>0</v>
      </c>
      <c r="K138" s="16"/>
    </row>
    <row r="139" spans="1:12">
      <c r="A139" s="265"/>
      <c r="B139" s="256" t="s">
        <v>674</v>
      </c>
      <c r="C139" s="256" t="s">
        <v>673</v>
      </c>
      <c r="D139" s="13" t="s">
        <v>661</v>
      </c>
      <c r="E139" s="13" t="s">
        <v>663</v>
      </c>
      <c r="F139" s="13">
        <v>3</v>
      </c>
      <c r="G139" s="13" t="s">
        <v>569</v>
      </c>
      <c r="H139" s="67">
        <f t="shared" si="8"/>
        <v>3</v>
      </c>
      <c r="I139" s="60">
        <v>2130</v>
      </c>
      <c r="J139" s="91">
        <f t="shared" si="9"/>
        <v>6390</v>
      </c>
      <c r="K139" s="16"/>
    </row>
    <row r="140" spans="1:12">
      <c r="A140" s="265"/>
      <c r="B140" s="13" t="s">
        <v>674</v>
      </c>
      <c r="C140" s="13" t="s">
        <v>673</v>
      </c>
      <c r="D140" s="13" t="s">
        <v>662</v>
      </c>
      <c r="E140" s="13" t="s">
        <v>664</v>
      </c>
      <c r="F140" s="13">
        <v>3</v>
      </c>
      <c r="G140" s="13" t="s">
        <v>716</v>
      </c>
      <c r="H140" s="67">
        <f t="shared" si="8"/>
        <v>3</v>
      </c>
      <c r="I140" s="60">
        <f>6000+3370</f>
        <v>9370</v>
      </c>
      <c r="J140" s="91">
        <f t="shared" si="9"/>
        <v>28110</v>
      </c>
      <c r="K140" s="16"/>
    </row>
    <row r="141" spans="1:12">
      <c r="A141" s="265"/>
      <c r="B141" s="13" t="s">
        <v>674</v>
      </c>
      <c r="C141" s="13" t="s">
        <v>673</v>
      </c>
      <c r="D141" s="13" t="s">
        <v>682</v>
      </c>
      <c r="E141" s="13" t="s">
        <v>683</v>
      </c>
      <c r="F141" s="13">
        <v>1</v>
      </c>
      <c r="G141" s="13" t="s">
        <v>684</v>
      </c>
      <c r="H141" s="67">
        <f t="shared" si="8"/>
        <v>1</v>
      </c>
      <c r="I141" s="60">
        <v>4300</v>
      </c>
      <c r="J141" s="91">
        <f t="shared" si="9"/>
        <v>4300</v>
      </c>
      <c r="K141" s="16"/>
    </row>
    <row r="142" spans="1:12">
      <c r="A142" s="265"/>
      <c r="B142" s="13" t="s">
        <v>689</v>
      </c>
      <c r="C142" s="13" t="s">
        <v>685</v>
      </c>
      <c r="D142" s="13"/>
      <c r="E142" s="13" t="s">
        <v>948</v>
      </c>
      <c r="F142" s="13">
        <v>1</v>
      </c>
      <c r="G142" s="13" t="s">
        <v>949</v>
      </c>
      <c r="H142" s="13">
        <f t="shared" ref="H142:H143" si="10">$J$4*F142</f>
        <v>1</v>
      </c>
      <c r="I142" s="60">
        <f>23000+3500</f>
        <v>26500</v>
      </c>
      <c r="J142" s="91">
        <f t="shared" si="9"/>
        <v>26500</v>
      </c>
      <c r="K142" s="16"/>
    </row>
    <row r="143" spans="1:12" ht="17.5" thickBot="1">
      <c r="A143" s="265"/>
      <c r="B143" s="13" t="s">
        <v>689</v>
      </c>
      <c r="C143" s="13" t="s">
        <v>685</v>
      </c>
      <c r="D143" s="13"/>
      <c r="E143" s="13" t="s">
        <v>950</v>
      </c>
      <c r="F143" s="13">
        <v>2</v>
      </c>
      <c r="G143" s="13" t="s">
        <v>951</v>
      </c>
      <c r="H143" s="13">
        <f t="shared" si="10"/>
        <v>2</v>
      </c>
      <c r="I143" s="60">
        <v>900</v>
      </c>
      <c r="J143" s="91">
        <f t="shared" si="9"/>
        <v>1800</v>
      </c>
      <c r="K143" s="16"/>
    </row>
    <row r="144" spans="1:12" ht="26" thickBot="1">
      <c r="A144" s="267"/>
      <c r="B144" s="28" t="s">
        <v>674</v>
      </c>
      <c r="C144" s="28" t="s">
        <v>673</v>
      </c>
      <c r="D144" s="28" t="s">
        <v>687</v>
      </c>
      <c r="E144" s="28" t="s">
        <v>688</v>
      </c>
      <c r="F144" s="28">
        <v>1</v>
      </c>
      <c r="G144" s="28" t="s">
        <v>686</v>
      </c>
      <c r="H144" s="89">
        <f t="shared" si="8"/>
        <v>1</v>
      </c>
      <c r="I144" s="78">
        <v>450</v>
      </c>
      <c r="J144" s="93">
        <f t="shared" si="9"/>
        <v>450</v>
      </c>
      <c r="K144" s="90"/>
      <c r="L144" s="97">
        <f>SUM(J100:J144)</f>
        <v>2275642</v>
      </c>
    </row>
    <row r="145" spans="1:11">
      <c r="A145" s="266">
        <v>4</v>
      </c>
      <c r="B145" s="11"/>
      <c r="C145" s="11" t="s">
        <v>1669</v>
      </c>
      <c r="D145" s="11" t="s">
        <v>641</v>
      </c>
      <c r="E145" s="11" t="s">
        <v>694</v>
      </c>
      <c r="F145" s="11">
        <v>1</v>
      </c>
      <c r="G145" s="88" t="s">
        <v>250</v>
      </c>
      <c r="H145" s="88">
        <f>$J$6*F145</f>
        <v>1</v>
      </c>
      <c r="I145" s="54">
        <f>102000</f>
        <v>102000</v>
      </c>
      <c r="J145" s="92">
        <f>H145*I145</f>
        <v>102000</v>
      </c>
      <c r="K145" s="12"/>
    </row>
    <row r="146" spans="1:11">
      <c r="A146" s="265"/>
      <c r="B146" s="13"/>
      <c r="C146" s="13" t="s">
        <v>1668</v>
      </c>
      <c r="D146" s="13" t="s">
        <v>642</v>
      </c>
      <c r="E146" s="13" t="s">
        <v>665</v>
      </c>
      <c r="F146" s="13">
        <v>1</v>
      </c>
      <c r="G146" s="67" t="s">
        <v>250</v>
      </c>
      <c r="H146" s="67">
        <f t="shared" ref="H146:H154" si="11">$J$6*F146</f>
        <v>1</v>
      </c>
      <c r="I146" s="60">
        <v>24000</v>
      </c>
      <c r="J146" s="91">
        <f>H146*I146</f>
        <v>24000</v>
      </c>
      <c r="K146" s="16"/>
    </row>
    <row r="147" spans="1:11">
      <c r="A147" s="265"/>
      <c r="B147" s="13"/>
      <c r="C147" s="13" t="s">
        <v>1668</v>
      </c>
      <c r="D147" s="13" t="s">
        <v>666</v>
      </c>
      <c r="E147" s="13" t="s">
        <v>693</v>
      </c>
      <c r="F147" s="13">
        <v>1</v>
      </c>
      <c r="G147" s="67" t="s">
        <v>250</v>
      </c>
      <c r="H147" s="67">
        <f t="shared" si="11"/>
        <v>1</v>
      </c>
      <c r="I147" s="60">
        <v>6500</v>
      </c>
      <c r="J147" s="91">
        <f t="shared" ref="J147:J160" si="12">H147*I147</f>
        <v>6500</v>
      </c>
      <c r="K147" s="16"/>
    </row>
    <row r="148" spans="1:11">
      <c r="A148" s="265"/>
      <c r="B148" s="13"/>
      <c r="C148" s="13" t="s">
        <v>1668</v>
      </c>
      <c r="D148" s="13" t="s">
        <v>1791</v>
      </c>
      <c r="E148" s="13" t="s">
        <v>1792</v>
      </c>
      <c r="F148" s="13">
        <v>1</v>
      </c>
      <c r="G148" s="13" t="s">
        <v>1793</v>
      </c>
      <c r="H148" s="67">
        <v>1</v>
      </c>
      <c r="I148" s="60">
        <v>55000</v>
      </c>
      <c r="J148" s="91">
        <f t="shared" si="12"/>
        <v>55000</v>
      </c>
      <c r="K148" s="16"/>
    </row>
    <row r="149" spans="1:11">
      <c r="A149" s="265"/>
      <c r="B149" s="361"/>
      <c r="C149" s="256" t="s">
        <v>1668</v>
      </c>
      <c r="D149" s="361" t="s">
        <v>1794</v>
      </c>
      <c r="E149" s="361" t="s">
        <v>1795</v>
      </c>
      <c r="F149" s="361">
        <v>1</v>
      </c>
      <c r="G149" s="361" t="s">
        <v>1793</v>
      </c>
      <c r="H149" s="364">
        <v>1</v>
      </c>
      <c r="I149" s="362"/>
      <c r="J149" s="91">
        <f t="shared" si="12"/>
        <v>0</v>
      </c>
      <c r="K149" s="16"/>
    </row>
    <row r="150" spans="1:11">
      <c r="A150" s="265"/>
      <c r="B150" s="361"/>
      <c r="C150" s="256" t="s">
        <v>1668</v>
      </c>
      <c r="D150" s="361" t="s">
        <v>1796</v>
      </c>
      <c r="E150" s="361" t="s">
        <v>1797</v>
      </c>
      <c r="F150" s="361">
        <v>1</v>
      </c>
      <c r="G150" s="361" t="s">
        <v>1793</v>
      </c>
      <c r="H150" s="364">
        <v>1</v>
      </c>
      <c r="I150" s="362"/>
      <c r="J150" s="91">
        <f t="shared" si="12"/>
        <v>0</v>
      </c>
      <c r="K150" s="16"/>
    </row>
    <row r="151" spans="1:11">
      <c r="A151" s="265"/>
      <c r="B151" s="13"/>
      <c r="C151" s="13" t="s">
        <v>1668</v>
      </c>
      <c r="D151" s="13" t="s">
        <v>728</v>
      </c>
      <c r="E151" s="13" t="s">
        <v>696</v>
      </c>
      <c r="F151" s="13">
        <v>1</v>
      </c>
      <c r="G151" s="13" t="s">
        <v>705</v>
      </c>
      <c r="H151" s="67">
        <f t="shared" si="11"/>
        <v>1</v>
      </c>
      <c r="I151" s="60">
        <v>100000</v>
      </c>
      <c r="J151" s="91">
        <f t="shared" si="12"/>
        <v>100000</v>
      </c>
      <c r="K151" s="16"/>
    </row>
    <row r="152" spans="1:11">
      <c r="A152" s="265"/>
      <c r="B152" s="13"/>
      <c r="C152" s="13" t="s">
        <v>1668</v>
      </c>
      <c r="D152" s="13" t="s">
        <v>1754</v>
      </c>
      <c r="E152" s="13" t="s">
        <v>1755</v>
      </c>
      <c r="F152" s="13">
        <v>36</v>
      </c>
      <c r="G152" s="13" t="s">
        <v>1804</v>
      </c>
      <c r="H152" s="67">
        <v>36</v>
      </c>
      <c r="I152" s="60"/>
      <c r="J152" s="91">
        <v>0</v>
      </c>
      <c r="K152" s="16"/>
    </row>
    <row r="153" spans="1:11">
      <c r="A153" s="265"/>
      <c r="B153" s="361"/>
      <c r="C153" s="256" t="s">
        <v>1668</v>
      </c>
      <c r="D153" s="361" t="s">
        <v>698</v>
      </c>
      <c r="E153" s="361" t="s">
        <v>1756</v>
      </c>
      <c r="F153" s="361">
        <v>18</v>
      </c>
      <c r="G153" s="361" t="s">
        <v>1804</v>
      </c>
      <c r="H153" s="364">
        <v>18</v>
      </c>
      <c r="I153" s="362">
        <v>7700</v>
      </c>
      <c r="J153" s="363">
        <v>138600</v>
      </c>
      <c r="K153" s="16"/>
    </row>
    <row r="154" spans="1:11">
      <c r="A154" s="265"/>
      <c r="B154" s="13"/>
      <c r="C154" s="13" t="s">
        <v>1668</v>
      </c>
      <c r="D154" s="13" t="s">
        <v>667</v>
      </c>
      <c r="E154" s="13" t="s">
        <v>697</v>
      </c>
      <c r="F154" s="13">
        <v>19</v>
      </c>
      <c r="G154" s="13" t="s">
        <v>706</v>
      </c>
      <c r="H154" s="67">
        <f t="shared" si="11"/>
        <v>19</v>
      </c>
      <c r="I154" s="60">
        <v>3000</v>
      </c>
      <c r="J154" s="91">
        <f t="shared" si="12"/>
        <v>57000</v>
      </c>
      <c r="K154" s="16"/>
    </row>
    <row r="155" spans="1:11">
      <c r="A155" s="265"/>
      <c r="B155" s="13"/>
      <c r="C155" s="13" t="s">
        <v>1668</v>
      </c>
      <c r="D155" s="13" t="s">
        <v>1670</v>
      </c>
      <c r="E155" s="13" t="s">
        <v>640</v>
      </c>
      <c r="F155" s="13">
        <v>1</v>
      </c>
      <c r="G155" s="13" t="s">
        <v>1671</v>
      </c>
      <c r="H155" s="67">
        <v>1</v>
      </c>
      <c r="I155" s="60">
        <v>250000</v>
      </c>
      <c r="J155" s="91">
        <f t="shared" si="12"/>
        <v>250000</v>
      </c>
      <c r="K155" s="16"/>
    </row>
    <row r="156" spans="1:11">
      <c r="A156" s="265"/>
      <c r="B156" s="13"/>
      <c r="C156" s="13" t="s">
        <v>1668</v>
      </c>
      <c r="D156" s="13" t="s">
        <v>721</v>
      </c>
      <c r="E156" s="13" t="s">
        <v>721</v>
      </c>
      <c r="F156" s="13">
        <v>1</v>
      </c>
      <c r="G156" s="13" t="s">
        <v>643</v>
      </c>
      <c r="H156" s="67">
        <f t="shared" ref="H156:H186" si="13">$J$6*F156</f>
        <v>1</v>
      </c>
      <c r="I156" s="60">
        <f>(162*2700)+400000</f>
        <v>837400</v>
      </c>
      <c r="J156" s="91">
        <f t="shared" si="12"/>
        <v>837400</v>
      </c>
      <c r="K156" s="16" t="s">
        <v>644</v>
      </c>
    </row>
    <row r="157" spans="1:11">
      <c r="A157" s="265"/>
      <c r="B157" s="13"/>
      <c r="C157" s="13" t="s">
        <v>1668</v>
      </c>
      <c r="D157" s="13" t="s">
        <v>113</v>
      </c>
      <c r="E157" s="13" t="s">
        <v>113</v>
      </c>
      <c r="F157" s="13">
        <v>1</v>
      </c>
      <c r="G157" s="13" t="s">
        <v>240</v>
      </c>
      <c r="H157" s="67">
        <f t="shared" si="13"/>
        <v>1</v>
      </c>
      <c r="I157" s="60">
        <v>13400</v>
      </c>
      <c r="J157" s="91">
        <f t="shared" si="12"/>
        <v>13400</v>
      </c>
      <c r="K157" s="16"/>
    </row>
    <row r="158" spans="1:11">
      <c r="A158" s="265"/>
      <c r="B158" s="13"/>
      <c r="C158" s="13" t="s">
        <v>1668</v>
      </c>
      <c r="D158" s="13" t="s">
        <v>647</v>
      </c>
      <c r="E158" s="13" t="s">
        <v>668</v>
      </c>
      <c r="F158" s="13">
        <v>1</v>
      </c>
      <c r="G158" s="13" t="s">
        <v>680</v>
      </c>
      <c r="H158" s="67">
        <f t="shared" si="13"/>
        <v>1</v>
      </c>
      <c r="I158" s="60">
        <v>3700</v>
      </c>
      <c r="J158" s="91">
        <f t="shared" si="12"/>
        <v>3700</v>
      </c>
      <c r="K158" s="16" t="s">
        <v>646</v>
      </c>
    </row>
    <row r="159" spans="1:11">
      <c r="A159" s="265"/>
      <c r="B159" s="13"/>
      <c r="C159" s="13" t="s">
        <v>1668</v>
      </c>
      <c r="D159" s="13" t="s">
        <v>715</v>
      </c>
      <c r="E159" s="13" t="s">
        <v>714</v>
      </c>
      <c r="F159" s="13">
        <v>1</v>
      </c>
      <c r="G159" s="13" t="s">
        <v>1685</v>
      </c>
      <c r="H159" s="67">
        <f t="shared" si="13"/>
        <v>1</v>
      </c>
      <c r="I159" s="60">
        <v>1700</v>
      </c>
      <c r="J159" s="91">
        <f t="shared" si="12"/>
        <v>1700</v>
      </c>
      <c r="K159" s="16"/>
    </row>
    <row r="160" spans="1:11">
      <c r="A160" s="265"/>
      <c r="B160" s="13"/>
      <c r="C160" s="13" t="s">
        <v>1668</v>
      </c>
      <c r="D160" s="13" t="s">
        <v>1757</v>
      </c>
      <c r="E160" s="13" t="s">
        <v>1760</v>
      </c>
      <c r="F160" s="13">
        <v>1</v>
      </c>
      <c r="G160" s="13" t="s">
        <v>733</v>
      </c>
      <c r="H160" s="67">
        <v>1</v>
      </c>
      <c r="I160" s="314">
        <v>45034</v>
      </c>
      <c r="J160" s="317">
        <f t="shared" si="12"/>
        <v>45034</v>
      </c>
      <c r="K160" s="16"/>
    </row>
    <row r="161" spans="1:11">
      <c r="A161" s="265"/>
      <c r="B161" s="13"/>
      <c r="C161" s="13" t="s">
        <v>1668</v>
      </c>
      <c r="D161" s="13" t="s">
        <v>1758</v>
      </c>
      <c r="E161" s="13" t="s">
        <v>1761</v>
      </c>
      <c r="F161" s="13">
        <v>1</v>
      </c>
      <c r="G161" s="13" t="s">
        <v>733</v>
      </c>
      <c r="H161" s="67">
        <v>1</v>
      </c>
      <c r="I161" s="315"/>
      <c r="J161" s="318"/>
      <c r="K161" s="16"/>
    </row>
    <row r="162" spans="1:11">
      <c r="A162" s="265"/>
      <c r="B162" s="13"/>
      <c r="C162" s="13" t="s">
        <v>1668</v>
      </c>
      <c r="D162" s="13" t="s">
        <v>1759</v>
      </c>
      <c r="E162" s="13" t="s">
        <v>1762</v>
      </c>
      <c r="F162" s="13">
        <v>1</v>
      </c>
      <c r="G162" s="13" t="s">
        <v>733</v>
      </c>
      <c r="H162" s="67">
        <v>1</v>
      </c>
      <c r="I162" s="315"/>
      <c r="J162" s="318"/>
      <c r="K162" s="16"/>
    </row>
    <row r="163" spans="1:11">
      <c r="A163" s="265"/>
      <c r="B163" s="361"/>
      <c r="C163" s="256" t="s">
        <v>1668</v>
      </c>
      <c r="D163" s="361" t="s">
        <v>1772</v>
      </c>
      <c r="E163" s="361" t="s">
        <v>1780</v>
      </c>
      <c r="F163" s="361">
        <v>1</v>
      </c>
      <c r="G163" s="361" t="s">
        <v>733</v>
      </c>
      <c r="H163" s="364">
        <v>1</v>
      </c>
      <c r="I163" s="315"/>
      <c r="J163" s="318"/>
      <c r="K163" s="16"/>
    </row>
    <row r="164" spans="1:11">
      <c r="A164" s="265"/>
      <c r="B164" s="361"/>
      <c r="C164" s="256" t="s">
        <v>1668</v>
      </c>
      <c r="D164" s="361" t="s">
        <v>1774</v>
      </c>
      <c r="E164" s="361" t="s">
        <v>1782</v>
      </c>
      <c r="F164" s="361">
        <v>1</v>
      </c>
      <c r="G164" s="361" t="s">
        <v>733</v>
      </c>
      <c r="H164" s="364">
        <v>1</v>
      </c>
      <c r="I164" s="315"/>
      <c r="J164" s="318"/>
      <c r="K164" s="16"/>
    </row>
    <row r="165" spans="1:11">
      <c r="A165" s="265"/>
      <c r="B165" s="361"/>
      <c r="C165" s="256" t="s">
        <v>1668</v>
      </c>
      <c r="D165" s="361" t="s">
        <v>1768</v>
      </c>
      <c r="E165" s="361" t="s">
        <v>1776</v>
      </c>
      <c r="F165" s="361">
        <v>1</v>
      </c>
      <c r="G165" s="361" t="s">
        <v>733</v>
      </c>
      <c r="H165" s="364">
        <v>1</v>
      </c>
      <c r="I165" s="315"/>
      <c r="J165" s="318"/>
      <c r="K165" s="16"/>
    </row>
    <row r="166" spans="1:11">
      <c r="A166" s="265"/>
      <c r="B166" s="361"/>
      <c r="C166" s="256" t="s">
        <v>1668</v>
      </c>
      <c r="D166" s="361" t="s">
        <v>1770</v>
      </c>
      <c r="E166" s="361" t="s">
        <v>1778</v>
      </c>
      <c r="F166" s="361">
        <v>1</v>
      </c>
      <c r="G166" s="361" t="s">
        <v>733</v>
      </c>
      <c r="H166" s="364">
        <v>1</v>
      </c>
      <c r="I166" s="315"/>
      <c r="J166" s="318"/>
      <c r="K166" s="16"/>
    </row>
    <row r="167" spans="1:11">
      <c r="A167" s="265"/>
      <c r="B167" s="361"/>
      <c r="C167" s="256" t="s">
        <v>1668</v>
      </c>
      <c r="D167" s="361" t="s">
        <v>1769</v>
      </c>
      <c r="E167" s="361" t="s">
        <v>1777</v>
      </c>
      <c r="F167" s="361">
        <v>1</v>
      </c>
      <c r="G167" s="361" t="s">
        <v>733</v>
      </c>
      <c r="H167" s="364">
        <v>1</v>
      </c>
      <c r="I167" s="315"/>
      <c r="J167" s="318"/>
      <c r="K167" s="16"/>
    </row>
    <row r="168" spans="1:11">
      <c r="A168" s="265"/>
      <c r="B168" s="361"/>
      <c r="C168" s="256" t="s">
        <v>1668</v>
      </c>
      <c r="D168" s="361" t="s">
        <v>1771</v>
      </c>
      <c r="E168" s="361" t="s">
        <v>1779</v>
      </c>
      <c r="F168" s="361">
        <v>1</v>
      </c>
      <c r="G168" s="361" t="s">
        <v>733</v>
      </c>
      <c r="H168" s="364">
        <v>1</v>
      </c>
      <c r="I168" s="315"/>
      <c r="J168" s="318"/>
      <c r="K168" s="16"/>
    </row>
    <row r="169" spans="1:11">
      <c r="A169" s="265"/>
      <c r="B169" s="13"/>
      <c r="C169" s="256" t="s">
        <v>1668</v>
      </c>
      <c r="D169" s="13" t="s">
        <v>732</v>
      </c>
      <c r="E169" s="13" t="s">
        <v>751</v>
      </c>
      <c r="F169" s="13">
        <v>2</v>
      </c>
      <c r="G169" s="13" t="s">
        <v>733</v>
      </c>
      <c r="H169" s="67">
        <f t="shared" si="13"/>
        <v>2</v>
      </c>
      <c r="I169" s="316"/>
      <c r="J169" s="319"/>
      <c r="K169" s="16"/>
    </row>
    <row r="170" spans="1:11">
      <c r="A170" s="265"/>
      <c r="B170" s="13"/>
      <c r="C170" s="256" t="s">
        <v>1668</v>
      </c>
      <c r="D170" s="13" t="s">
        <v>648</v>
      </c>
      <c r="E170" s="13" t="s">
        <v>700</v>
      </c>
      <c r="F170" s="13">
        <v>6</v>
      </c>
      <c r="G170" s="13" t="s">
        <v>569</v>
      </c>
      <c r="H170" s="67">
        <f t="shared" si="13"/>
        <v>6</v>
      </c>
      <c r="I170" s="60">
        <v>90</v>
      </c>
      <c r="J170" s="91">
        <f t="shared" ref="J170:J189" si="14">H170*I170</f>
        <v>540</v>
      </c>
      <c r="K170" s="16"/>
    </row>
    <row r="171" spans="1:11">
      <c r="A171" s="265"/>
      <c r="B171" s="13"/>
      <c r="C171" s="13" t="s">
        <v>1668</v>
      </c>
      <c r="D171" s="13" t="s">
        <v>649</v>
      </c>
      <c r="E171" s="13" t="s">
        <v>699</v>
      </c>
      <c r="F171" s="13">
        <v>6</v>
      </c>
      <c r="G171" s="13" t="s">
        <v>569</v>
      </c>
      <c r="H171" s="67">
        <f t="shared" si="13"/>
        <v>6</v>
      </c>
      <c r="I171" s="60">
        <v>90</v>
      </c>
      <c r="J171" s="91">
        <f t="shared" si="14"/>
        <v>540</v>
      </c>
      <c r="K171" s="16"/>
    </row>
    <row r="172" spans="1:11">
      <c r="A172" s="265"/>
      <c r="B172" s="13"/>
      <c r="C172" s="13" t="s">
        <v>1668</v>
      </c>
      <c r="D172" s="13" t="s">
        <v>650</v>
      </c>
      <c r="E172" s="13" t="s">
        <v>753</v>
      </c>
      <c r="F172" s="13">
        <v>1</v>
      </c>
      <c r="G172" s="13" t="s">
        <v>959</v>
      </c>
      <c r="H172" s="67">
        <f t="shared" si="13"/>
        <v>1</v>
      </c>
      <c r="I172" s="60">
        <v>350</v>
      </c>
      <c r="J172" s="91">
        <f t="shared" si="14"/>
        <v>350</v>
      </c>
      <c r="K172" s="16"/>
    </row>
    <row r="173" spans="1:11">
      <c r="A173" s="265"/>
      <c r="B173" s="13"/>
      <c r="C173" s="13" t="s">
        <v>1668</v>
      </c>
      <c r="D173" s="13" t="s">
        <v>701</v>
      </c>
      <c r="E173" s="13" t="s">
        <v>703</v>
      </c>
      <c r="F173" s="13">
        <v>36</v>
      </c>
      <c r="G173" s="13" t="s">
        <v>966</v>
      </c>
      <c r="H173" s="67">
        <f t="shared" si="13"/>
        <v>36</v>
      </c>
      <c r="I173" s="60">
        <v>25</v>
      </c>
      <c r="J173" s="91">
        <f t="shared" si="14"/>
        <v>900</v>
      </c>
      <c r="K173" s="16"/>
    </row>
    <row r="174" spans="1:11">
      <c r="A174" s="265"/>
      <c r="B174" s="13"/>
      <c r="C174" s="13" t="s">
        <v>1668</v>
      </c>
      <c r="D174" s="13" t="s">
        <v>702</v>
      </c>
      <c r="E174" s="13" t="s">
        <v>704</v>
      </c>
      <c r="F174" s="13">
        <v>36</v>
      </c>
      <c r="G174" s="13" t="s">
        <v>967</v>
      </c>
      <c r="H174" s="67">
        <f t="shared" si="13"/>
        <v>36</v>
      </c>
      <c r="I174" s="60">
        <v>38</v>
      </c>
      <c r="J174" s="91">
        <f t="shared" si="14"/>
        <v>1368</v>
      </c>
      <c r="K174" s="16"/>
    </row>
    <row r="175" spans="1:11">
      <c r="A175" s="265"/>
      <c r="B175" s="13"/>
      <c r="C175" s="13" t="s">
        <v>1668</v>
      </c>
      <c r="D175" s="13" t="s">
        <v>724</v>
      </c>
      <c r="E175" s="13" t="s">
        <v>730</v>
      </c>
      <c r="F175" s="13">
        <v>1</v>
      </c>
      <c r="G175" s="13" t="s">
        <v>712</v>
      </c>
      <c r="H175" s="67">
        <f t="shared" si="13"/>
        <v>1</v>
      </c>
      <c r="I175" s="60">
        <v>235</v>
      </c>
      <c r="J175" s="91">
        <f t="shared" si="14"/>
        <v>235</v>
      </c>
      <c r="K175" s="16"/>
    </row>
    <row r="176" spans="1:11">
      <c r="A176" s="265"/>
      <c r="B176" s="13"/>
      <c r="C176" s="13" t="s">
        <v>1668</v>
      </c>
      <c r="D176" s="13" t="s">
        <v>725</v>
      </c>
      <c r="E176" s="13" t="s">
        <v>729</v>
      </c>
      <c r="F176" s="13">
        <v>1</v>
      </c>
      <c r="G176" s="13" t="s">
        <v>727</v>
      </c>
      <c r="H176" s="67">
        <f t="shared" si="13"/>
        <v>1</v>
      </c>
      <c r="I176" s="60">
        <v>285</v>
      </c>
      <c r="J176" s="91">
        <f t="shared" si="14"/>
        <v>285</v>
      </c>
      <c r="K176" s="16"/>
    </row>
    <row r="177" spans="1:12">
      <c r="A177" s="265"/>
      <c r="B177" s="13"/>
      <c r="C177" s="13" t="s">
        <v>1668</v>
      </c>
      <c r="D177" s="13" t="s">
        <v>651</v>
      </c>
      <c r="E177" s="13" t="s">
        <v>669</v>
      </c>
      <c r="F177" s="13">
        <v>36</v>
      </c>
      <c r="G177" s="320" t="s">
        <v>961</v>
      </c>
      <c r="H177" s="67">
        <f t="shared" si="13"/>
        <v>36</v>
      </c>
      <c r="I177" s="314">
        <v>1100</v>
      </c>
      <c r="J177" s="91">
        <f t="shared" si="14"/>
        <v>39600</v>
      </c>
      <c r="K177" s="16"/>
    </row>
    <row r="178" spans="1:12">
      <c r="A178" s="265"/>
      <c r="B178" s="13"/>
      <c r="C178" s="13" t="s">
        <v>1668</v>
      </c>
      <c r="D178" s="13" t="s">
        <v>652</v>
      </c>
      <c r="E178" s="13" t="s">
        <v>638</v>
      </c>
      <c r="F178" s="13">
        <v>36</v>
      </c>
      <c r="G178" s="321"/>
      <c r="H178" s="67">
        <f t="shared" si="13"/>
        <v>36</v>
      </c>
      <c r="I178" s="316"/>
      <c r="J178" s="91">
        <f t="shared" si="14"/>
        <v>0</v>
      </c>
      <c r="K178" s="16"/>
    </row>
    <row r="179" spans="1:12">
      <c r="A179" s="265"/>
      <c r="B179" s="13"/>
      <c r="C179" s="13" t="s">
        <v>1668</v>
      </c>
      <c r="D179" s="13" t="s">
        <v>722</v>
      </c>
      <c r="E179" s="13" t="s">
        <v>723</v>
      </c>
      <c r="F179" s="13">
        <v>1</v>
      </c>
      <c r="G179" s="13" t="s">
        <v>659</v>
      </c>
      <c r="H179" s="67">
        <f t="shared" si="13"/>
        <v>1</v>
      </c>
      <c r="I179" s="60">
        <v>840</v>
      </c>
      <c r="J179" s="91">
        <f t="shared" si="14"/>
        <v>840</v>
      </c>
      <c r="K179" s="16"/>
    </row>
    <row r="180" spans="1:12">
      <c r="A180" s="265"/>
      <c r="B180" s="13"/>
      <c r="C180" s="13" t="s">
        <v>1668</v>
      </c>
      <c r="D180" s="13" t="s">
        <v>717</v>
      </c>
      <c r="E180" s="13" t="s">
        <v>718</v>
      </c>
      <c r="F180" s="13">
        <v>2</v>
      </c>
      <c r="G180" s="13" t="s">
        <v>681</v>
      </c>
      <c r="H180" s="67">
        <f t="shared" si="13"/>
        <v>2</v>
      </c>
      <c r="I180" s="60">
        <v>1800</v>
      </c>
      <c r="J180" s="91">
        <f t="shared" si="14"/>
        <v>3600</v>
      </c>
      <c r="K180" s="16"/>
    </row>
    <row r="181" spans="1:12">
      <c r="A181" s="265"/>
      <c r="B181" s="13"/>
      <c r="C181" s="13" t="s">
        <v>1668</v>
      </c>
      <c r="D181" s="13" t="s">
        <v>1805</v>
      </c>
      <c r="E181" s="13" t="s">
        <v>1806</v>
      </c>
      <c r="F181" s="13">
        <v>27</v>
      </c>
      <c r="G181" s="13" t="s">
        <v>1788</v>
      </c>
      <c r="H181" s="67">
        <v>27</v>
      </c>
      <c r="I181" s="60">
        <v>2700</v>
      </c>
      <c r="J181" s="91">
        <v>72900</v>
      </c>
      <c r="K181" s="16"/>
    </row>
    <row r="182" spans="1:12">
      <c r="A182" s="265"/>
      <c r="B182" s="13"/>
      <c r="C182" s="13" t="s">
        <v>1668</v>
      </c>
      <c r="D182" s="13" t="s">
        <v>1807</v>
      </c>
      <c r="E182" s="13" t="s">
        <v>1808</v>
      </c>
      <c r="F182" s="13">
        <v>27</v>
      </c>
      <c r="G182" s="13" t="s">
        <v>1788</v>
      </c>
      <c r="H182" s="67">
        <v>27</v>
      </c>
      <c r="I182" s="60"/>
      <c r="J182" s="91">
        <v>0</v>
      </c>
      <c r="K182" s="16"/>
    </row>
    <row r="183" spans="1:12">
      <c r="A183" s="265"/>
      <c r="B183" s="361"/>
      <c r="C183" s="256" t="s">
        <v>1668</v>
      </c>
      <c r="D183" s="361" t="s">
        <v>1784</v>
      </c>
      <c r="E183" s="361" t="s">
        <v>1786</v>
      </c>
      <c r="F183" s="361">
        <v>27</v>
      </c>
      <c r="G183" s="361" t="s">
        <v>1788</v>
      </c>
      <c r="H183" s="364">
        <v>27</v>
      </c>
      <c r="I183" s="362"/>
      <c r="J183" s="363">
        <v>0</v>
      </c>
      <c r="K183" s="16"/>
    </row>
    <row r="184" spans="1:12">
      <c r="A184" s="265"/>
      <c r="B184" s="13"/>
      <c r="C184" s="256" t="s">
        <v>1668</v>
      </c>
      <c r="D184" s="13" t="s">
        <v>661</v>
      </c>
      <c r="E184" s="13" t="s">
        <v>663</v>
      </c>
      <c r="F184" s="13">
        <v>3</v>
      </c>
      <c r="G184" s="13" t="s">
        <v>569</v>
      </c>
      <c r="H184" s="67">
        <f t="shared" si="13"/>
        <v>3</v>
      </c>
      <c r="I184" s="60">
        <v>2130</v>
      </c>
      <c r="J184" s="91">
        <f t="shared" si="14"/>
        <v>6390</v>
      </c>
      <c r="K184" s="16"/>
    </row>
    <row r="185" spans="1:12">
      <c r="A185" s="265"/>
      <c r="B185" s="13"/>
      <c r="C185" s="13" t="s">
        <v>1668</v>
      </c>
      <c r="D185" s="13" t="s">
        <v>662</v>
      </c>
      <c r="E185" s="13" t="s">
        <v>664</v>
      </c>
      <c r="F185" s="13">
        <v>3</v>
      </c>
      <c r="G185" s="13" t="s">
        <v>716</v>
      </c>
      <c r="H185" s="67">
        <f t="shared" si="13"/>
        <v>3</v>
      </c>
      <c r="I185" s="60">
        <f>6000+3370</f>
        <v>9370</v>
      </c>
      <c r="J185" s="91">
        <f t="shared" si="14"/>
        <v>28110</v>
      </c>
      <c r="K185" s="16"/>
    </row>
    <row r="186" spans="1:12">
      <c r="A186" s="265"/>
      <c r="B186" s="13"/>
      <c r="C186" s="13" t="s">
        <v>1668</v>
      </c>
      <c r="D186" s="13" t="s">
        <v>682</v>
      </c>
      <c r="E186" s="13" t="s">
        <v>683</v>
      </c>
      <c r="F186" s="13">
        <v>1</v>
      </c>
      <c r="G186" s="13" t="s">
        <v>684</v>
      </c>
      <c r="H186" s="67">
        <f t="shared" si="13"/>
        <v>1</v>
      </c>
      <c r="I186" s="60">
        <v>4300</v>
      </c>
      <c r="J186" s="91">
        <f t="shared" si="14"/>
        <v>4300</v>
      </c>
      <c r="K186" s="16"/>
    </row>
    <row r="187" spans="1:12">
      <c r="A187" s="265"/>
      <c r="B187" s="13"/>
      <c r="C187" s="13" t="s">
        <v>1668</v>
      </c>
      <c r="D187" s="13"/>
      <c r="E187" s="13" t="s">
        <v>948</v>
      </c>
      <c r="F187" s="13">
        <v>1</v>
      </c>
      <c r="G187" s="13" t="s">
        <v>949</v>
      </c>
      <c r="H187" s="13">
        <f t="shared" ref="H187:H188" si="15">$J$4*F187</f>
        <v>1</v>
      </c>
      <c r="I187" s="60">
        <f>23000+3500</f>
        <v>26500</v>
      </c>
      <c r="J187" s="91">
        <f t="shared" si="14"/>
        <v>26500</v>
      </c>
      <c r="K187" s="16"/>
    </row>
    <row r="188" spans="1:12" ht="17.5" thickBot="1">
      <c r="A188" s="265"/>
      <c r="B188" s="13"/>
      <c r="C188" s="13" t="s">
        <v>1668</v>
      </c>
      <c r="D188" s="13"/>
      <c r="E188" s="13" t="s">
        <v>950</v>
      </c>
      <c r="F188" s="13">
        <v>2</v>
      </c>
      <c r="G188" s="13" t="s">
        <v>951</v>
      </c>
      <c r="H188" s="13">
        <f t="shared" si="15"/>
        <v>2</v>
      </c>
      <c r="I188" s="60">
        <v>900</v>
      </c>
      <c r="J188" s="91">
        <f t="shared" si="14"/>
        <v>1800</v>
      </c>
      <c r="K188" s="16"/>
    </row>
    <row r="189" spans="1:12" ht="26" thickBot="1">
      <c r="A189" s="267"/>
      <c r="B189" s="28"/>
      <c r="C189" s="28" t="s">
        <v>1668</v>
      </c>
      <c r="D189" s="28" t="s">
        <v>687</v>
      </c>
      <c r="E189" s="28" t="s">
        <v>688</v>
      </c>
      <c r="F189" s="28">
        <v>1</v>
      </c>
      <c r="G189" s="28" t="s">
        <v>686</v>
      </c>
      <c r="H189" s="89">
        <f t="shared" ref="H189" si="16">$J$6*F189</f>
        <v>1</v>
      </c>
      <c r="I189" s="78">
        <v>450</v>
      </c>
      <c r="J189" s="93">
        <f t="shared" si="14"/>
        <v>450</v>
      </c>
      <c r="K189" s="90"/>
      <c r="L189" s="97">
        <f>SUM(J145:J189)</f>
        <v>1823042</v>
      </c>
    </row>
    <row r="190" spans="1:12" ht="15.75" customHeight="1"/>
    <row r="191" spans="1:12" ht="15.75" customHeight="1"/>
    <row r="192" spans="1:12" ht="15.75" customHeight="1"/>
    <row r="193" spans="3:10" ht="17.5" thickBot="1"/>
    <row r="194" spans="3:10" ht="27" customHeight="1" thickBot="1">
      <c r="C194" s="119"/>
      <c r="D194" s="120"/>
      <c r="E194" s="275"/>
      <c r="F194" s="270"/>
      <c r="G194" s="120" t="s">
        <v>763</v>
      </c>
      <c r="H194" s="276" t="s">
        <v>764</v>
      </c>
      <c r="I194" s="276"/>
      <c r="J194" s="277"/>
    </row>
    <row r="195" spans="3:10" ht="27" customHeight="1">
      <c r="C195" s="117" t="s">
        <v>760</v>
      </c>
      <c r="D195" s="121">
        <v>3000000</v>
      </c>
      <c r="E195" s="278" t="s">
        <v>762</v>
      </c>
      <c r="F195" s="279"/>
      <c r="G195" s="122">
        <f>D195/22</f>
        <v>136363.63636363635</v>
      </c>
      <c r="H195" s="280" t="s">
        <v>771</v>
      </c>
      <c r="I195" s="280"/>
      <c r="J195" s="281"/>
    </row>
    <row r="196" spans="3:10" ht="27" customHeight="1" thickBot="1">
      <c r="C196" s="118" t="s">
        <v>761</v>
      </c>
      <c r="D196" s="123">
        <v>3500000</v>
      </c>
      <c r="E196" s="282" t="s">
        <v>762</v>
      </c>
      <c r="F196" s="283"/>
      <c r="G196" s="124">
        <f>D196/22</f>
        <v>159090.90909090909</v>
      </c>
      <c r="H196" s="284" t="s">
        <v>772</v>
      </c>
      <c r="I196" s="284"/>
      <c r="J196" s="285"/>
    </row>
    <row r="197" spans="3:10" ht="27" customHeight="1" thickBot="1">
      <c r="C197" s="268" t="s">
        <v>265</v>
      </c>
      <c r="D197" s="269"/>
      <c r="E197" s="269"/>
      <c r="F197" s="270"/>
      <c r="G197" s="125">
        <f>SUM(G195:G196)</f>
        <v>295454.54545454541</v>
      </c>
      <c r="H197" s="271">
        <f>484849+565656</f>
        <v>1050505</v>
      </c>
      <c r="I197" s="272"/>
      <c r="J197" s="273"/>
    </row>
  </sheetData>
  <autoFilter ref="A9:L189"/>
  <mergeCells count="42">
    <mergeCell ref="C197:F197"/>
    <mergeCell ref="H197:J197"/>
    <mergeCell ref="E194:F194"/>
    <mergeCell ref="H194:J194"/>
    <mergeCell ref="E195:F195"/>
    <mergeCell ref="H195:J195"/>
    <mergeCell ref="E196:F196"/>
    <mergeCell ref="H196:J196"/>
    <mergeCell ref="A55:A99"/>
    <mergeCell ref="A100:A144"/>
    <mergeCell ref="G132:G133"/>
    <mergeCell ref="I132:I133"/>
    <mergeCell ref="G87:G88"/>
    <mergeCell ref="H87:H88"/>
    <mergeCell ref="I87:I88"/>
    <mergeCell ref="I70:I79"/>
    <mergeCell ref="I115:I124"/>
    <mergeCell ref="J3:K3"/>
    <mergeCell ref="J4:K4"/>
    <mergeCell ref="J5:K5"/>
    <mergeCell ref="J6:K6"/>
    <mergeCell ref="J7:K7"/>
    <mergeCell ref="E1:I1"/>
    <mergeCell ref="A10:A54"/>
    <mergeCell ref="E3:I3"/>
    <mergeCell ref="E4:I4"/>
    <mergeCell ref="E5:I5"/>
    <mergeCell ref="E6:I6"/>
    <mergeCell ref="I42:I43"/>
    <mergeCell ref="H42:H43"/>
    <mergeCell ref="G42:G43"/>
    <mergeCell ref="I25:I34"/>
    <mergeCell ref="J25:J34"/>
    <mergeCell ref="J42:J43"/>
    <mergeCell ref="J115:J124"/>
    <mergeCell ref="J70:J79"/>
    <mergeCell ref="E7:I7"/>
    <mergeCell ref="A145:A189"/>
    <mergeCell ref="I160:I169"/>
    <mergeCell ref="J160:J169"/>
    <mergeCell ref="G177:G178"/>
    <mergeCell ref="I177:I178"/>
  </mergeCells>
  <phoneticPr fontId="1" type="noConversion"/>
  <pageMargins left="0.51181102362204722" right="0" top="0.55118110236220474" bottom="0.55118110236220474" header="0.31496062992125984" footer="0.31496062992125984"/>
  <pageSetup paperSize="9" scale="45" orientation="portrait" horizontalDpi="1200" verticalDpi="1200" r:id="rId1"/>
  <headerFooter>
    <oddFooter>&amp;C(주)매그나텍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2"/>
  <sheetViews>
    <sheetView zoomScale="70" zoomScaleNormal="70" workbookViewId="0">
      <selection activeCell="C91" sqref="C91:C94"/>
    </sheetView>
  </sheetViews>
  <sheetFormatPr defaultColWidth="9" defaultRowHeight="17"/>
  <cols>
    <col min="1" max="1" width="3.33203125" style="1" customWidth="1"/>
    <col min="2" max="2" width="10.58203125" style="1" customWidth="1"/>
    <col min="3" max="3" width="20.83203125" style="1" bestFit="1" customWidth="1"/>
    <col min="4" max="4" width="27.33203125" style="1" customWidth="1"/>
    <col min="5" max="5" width="40" style="1" customWidth="1"/>
    <col min="6" max="6" width="5.08203125" style="1" customWidth="1"/>
    <col min="7" max="7" width="20.83203125" style="1" customWidth="1"/>
    <col min="8" max="8" width="7.25" style="1" customWidth="1"/>
    <col min="9" max="9" width="10.25" style="59" bestFit="1" customWidth="1"/>
    <col min="10" max="10" width="23.83203125" style="1" customWidth="1"/>
    <col min="11" max="11" width="21.83203125" style="1" customWidth="1"/>
    <col min="12" max="12" width="17" style="1" customWidth="1"/>
    <col min="13" max="16384" width="9" style="1"/>
  </cols>
  <sheetData>
    <row r="1" spans="1:11" ht="44">
      <c r="E1" s="260" t="s">
        <v>823</v>
      </c>
      <c r="F1" s="260"/>
      <c r="G1" s="260"/>
      <c r="H1" s="260"/>
      <c r="I1" s="260"/>
      <c r="J1" s="3"/>
    </row>
    <row r="3" spans="1:11" s="52" customFormat="1" ht="16.5" hidden="1" customHeight="1">
      <c r="E3" s="322" t="s">
        <v>257</v>
      </c>
      <c r="F3" s="322"/>
      <c r="G3" s="322"/>
      <c r="H3" s="322"/>
      <c r="I3" s="322"/>
      <c r="J3" s="323" t="s">
        <v>258</v>
      </c>
      <c r="K3" s="324"/>
    </row>
    <row r="4" spans="1:11" s="52" customFormat="1" ht="16.5" hidden="1" customHeight="1">
      <c r="E4" s="322" t="s">
        <v>807</v>
      </c>
      <c r="F4" s="322"/>
      <c r="G4" s="322"/>
      <c r="H4" s="322"/>
      <c r="I4" s="322"/>
      <c r="J4" s="323">
        <v>1</v>
      </c>
      <c r="K4" s="324"/>
    </row>
    <row r="5" spans="1:11" s="52" customFormat="1" ht="16.5" hidden="1" customHeight="1">
      <c r="E5" s="322" t="s">
        <v>815</v>
      </c>
      <c r="F5" s="322"/>
      <c r="G5" s="322"/>
      <c r="H5" s="322"/>
      <c r="I5" s="322"/>
      <c r="J5" s="323">
        <v>1</v>
      </c>
      <c r="K5" s="324"/>
    </row>
    <row r="6" spans="1:11" s="52" customFormat="1" ht="16.5" hidden="1" customHeight="1">
      <c r="E6" s="322" t="s">
        <v>820</v>
      </c>
      <c r="F6" s="322"/>
      <c r="G6" s="322"/>
      <c r="H6" s="322"/>
      <c r="I6" s="322"/>
      <c r="J6" s="323">
        <v>1</v>
      </c>
      <c r="K6" s="324"/>
    </row>
    <row r="7" spans="1:11" s="52" customFormat="1" ht="16.5" hidden="1" customHeight="1">
      <c r="E7" s="322" t="s">
        <v>822</v>
      </c>
      <c r="F7" s="322"/>
      <c r="G7" s="322"/>
      <c r="H7" s="322"/>
      <c r="I7" s="322"/>
      <c r="J7" s="323">
        <v>1</v>
      </c>
      <c r="K7" s="324"/>
    </row>
    <row r="8" spans="1:11" s="52" customFormat="1" ht="16.5" hidden="1" customHeight="1">
      <c r="E8" s="322" t="s">
        <v>265</v>
      </c>
      <c r="F8" s="322"/>
      <c r="G8" s="322"/>
      <c r="H8" s="322"/>
      <c r="I8" s="322"/>
      <c r="J8" s="323">
        <f>SUM(J4:K7)</f>
        <v>4</v>
      </c>
      <c r="K8" s="324"/>
    </row>
    <row r="9" spans="1:11" ht="17.5" thickBot="1"/>
    <row r="10" spans="1:11" ht="17.5" thickBot="1">
      <c r="A10" s="62" t="s">
        <v>80</v>
      </c>
      <c r="B10" s="63" t="s">
        <v>0</v>
      </c>
      <c r="C10" s="63" t="s">
        <v>142</v>
      </c>
      <c r="D10" s="63" t="s">
        <v>103</v>
      </c>
      <c r="E10" s="63" t="s">
        <v>104</v>
      </c>
      <c r="F10" s="63" t="s">
        <v>83</v>
      </c>
      <c r="G10" s="63" t="s">
        <v>84</v>
      </c>
      <c r="H10" s="63" t="s">
        <v>255</v>
      </c>
      <c r="I10" s="94" t="s">
        <v>85</v>
      </c>
      <c r="J10" s="63" t="s">
        <v>256</v>
      </c>
      <c r="K10" s="64" t="s">
        <v>79</v>
      </c>
    </row>
    <row r="11" spans="1:11">
      <c r="A11" s="257">
        <v>1</v>
      </c>
      <c r="B11" s="11"/>
      <c r="C11" s="11" t="s">
        <v>807</v>
      </c>
      <c r="D11" s="11" t="s">
        <v>1737</v>
      </c>
      <c r="E11" s="11" t="s">
        <v>825</v>
      </c>
      <c r="F11" s="11">
        <v>1</v>
      </c>
      <c r="G11" s="88" t="s">
        <v>250</v>
      </c>
      <c r="H11" s="88">
        <f>$J$4*F11</f>
        <v>1</v>
      </c>
      <c r="I11" s="54">
        <v>100000</v>
      </c>
      <c r="J11" s="92">
        <f>H11*I11</f>
        <v>100000</v>
      </c>
      <c r="K11" s="12"/>
    </row>
    <row r="12" spans="1:11">
      <c r="A12" s="258"/>
      <c r="B12" s="13"/>
      <c r="C12" s="13" t="s">
        <v>806</v>
      </c>
      <c r="D12" s="13" t="s">
        <v>1738</v>
      </c>
      <c r="E12" s="13" t="s">
        <v>827</v>
      </c>
      <c r="F12" s="13">
        <v>1</v>
      </c>
      <c r="G12" s="67" t="s">
        <v>250</v>
      </c>
      <c r="H12" s="67">
        <f t="shared" ref="H12:H54" si="0">$J$4*F12</f>
        <v>1</v>
      </c>
      <c r="I12" s="60">
        <v>23000</v>
      </c>
      <c r="J12" s="91">
        <f t="shared" ref="J12:J54" si="1">H12*I12</f>
        <v>23000</v>
      </c>
      <c r="K12" s="16"/>
    </row>
    <row r="13" spans="1:11">
      <c r="A13" s="258"/>
      <c r="B13" s="13"/>
      <c r="C13" s="13" t="s">
        <v>806</v>
      </c>
      <c r="D13" s="13" t="s">
        <v>666</v>
      </c>
      <c r="E13" s="13" t="s">
        <v>693</v>
      </c>
      <c r="F13" s="13">
        <v>1</v>
      </c>
      <c r="G13" s="13" t="s">
        <v>250</v>
      </c>
      <c r="H13" s="67">
        <f t="shared" si="0"/>
        <v>1</v>
      </c>
      <c r="I13" s="133">
        <v>5200</v>
      </c>
      <c r="J13" s="91">
        <f t="shared" si="1"/>
        <v>5200</v>
      </c>
      <c r="K13" s="16"/>
    </row>
    <row r="14" spans="1:11">
      <c r="A14" s="258"/>
      <c r="B14" s="13"/>
      <c r="C14" s="13" t="s">
        <v>806</v>
      </c>
      <c r="D14" s="13" t="s">
        <v>1744</v>
      </c>
      <c r="E14" s="13" t="s">
        <v>1747</v>
      </c>
      <c r="F14" s="13">
        <v>1</v>
      </c>
      <c r="G14" s="13" t="s">
        <v>705</v>
      </c>
      <c r="H14" s="67">
        <f t="shared" si="0"/>
        <v>1</v>
      </c>
      <c r="I14" s="133">
        <v>50000</v>
      </c>
      <c r="J14" s="91">
        <f t="shared" si="1"/>
        <v>50000</v>
      </c>
      <c r="K14" s="16"/>
    </row>
    <row r="15" spans="1:11">
      <c r="A15" s="258"/>
      <c r="B15" s="13"/>
      <c r="C15" s="13" t="s">
        <v>806</v>
      </c>
      <c r="D15" s="13" t="s">
        <v>1745</v>
      </c>
      <c r="E15" s="13" t="s">
        <v>1748</v>
      </c>
      <c r="F15" s="13">
        <v>1</v>
      </c>
      <c r="G15" s="13" t="s">
        <v>705</v>
      </c>
      <c r="H15" s="67">
        <f t="shared" si="0"/>
        <v>1</v>
      </c>
      <c r="I15" s="133"/>
      <c r="J15" s="91">
        <f t="shared" si="1"/>
        <v>0</v>
      </c>
      <c r="K15" s="16"/>
    </row>
    <row r="16" spans="1:11">
      <c r="A16" s="258"/>
      <c r="B16" s="13"/>
      <c r="C16" s="13" t="s">
        <v>806</v>
      </c>
      <c r="D16" s="13" t="s">
        <v>1746</v>
      </c>
      <c r="E16" s="13" t="s">
        <v>1749</v>
      </c>
      <c r="F16" s="13">
        <v>1</v>
      </c>
      <c r="G16" s="13" t="s">
        <v>705</v>
      </c>
      <c r="H16" s="67">
        <f t="shared" si="0"/>
        <v>1</v>
      </c>
      <c r="I16" s="133"/>
      <c r="J16" s="91">
        <f t="shared" si="1"/>
        <v>0</v>
      </c>
      <c r="K16" s="16"/>
    </row>
    <row r="17" spans="1:11">
      <c r="A17" s="258"/>
      <c r="B17" s="13"/>
      <c r="C17" s="13" t="s">
        <v>806</v>
      </c>
      <c r="D17" s="13" t="s">
        <v>1750</v>
      </c>
      <c r="E17" s="13" t="s">
        <v>829</v>
      </c>
      <c r="F17" s="13">
        <v>1</v>
      </c>
      <c r="G17" s="13" t="s">
        <v>705</v>
      </c>
      <c r="H17" s="67">
        <f t="shared" si="0"/>
        <v>1</v>
      </c>
      <c r="I17" s="133">
        <v>95000</v>
      </c>
      <c r="J17" s="91">
        <f t="shared" si="1"/>
        <v>95000</v>
      </c>
      <c r="K17" s="16"/>
    </row>
    <row r="18" spans="1:11">
      <c r="A18" s="258"/>
      <c r="B18" s="13"/>
      <c r="C18" s="13" t="s">
        <v>806</v>
      </c>
      <c r="D18" s="13" t="s">
        <v>1754</v>
      </c>
      <c r="E18" s="13" t="s">
        <v>1755</v>
      </c>
      <c r="F18" s="13">
        <v>24</v>
      </c>
      <c r="G18" s="13" t="s">
        <v>1684</v>
      </c>
      <c r="H18" s="67">
        <f t="shared" si="0"/>
        <v>24</v>
      </c>
      <c r="I18" s="133"/>
      <c r="J18" s="91">
        <f t="shared" si="1"/>
        <v>0</v>
      </c>
      <c r="K18" s="16"/>
    </row>
    <row r="19" spans="1:11">
      <c r="A19" s="258"/>
      <c r="B19" s="256"/>
      <c r="C19" s="256" t="s">
        <v>806</v>
      </c>
      <c r="D19" s="256" t="s">
        <v>698</v>
      </c>
      <c r="E19" s="256" t="s">
        <v>1756</v>
      </c>
      <c r="F19" s="256">
        <v>12</v>
      </c>
      <c r="G19" s="256" t="s">
        <v>1684</v>
      </c>
      <c r="H19" s="67">
        <f t="shared" si="0"/>
        <v>12</v>
      </c>
      <c r="I19" s="133">
        <v>7700</v>
      </c>
      <c r="J19" s="91">
        <f t="shared" si="1"/>
        <v>92400</v>
      </c>
      <c r="K19" s="16"/>
    </row>
    <row r="20" spans="1:11">
      <c r="A20" s="258"/>
      <c r="B20" s="13"/>
      <c r="C20" s="13" t="s">
        <v>806</v>
      </c>
      <c r="D20" s="13" t="s">
        <v>667</v>
      </c>
      <c r="E20" s="13" t="s">
        <v>808</v>
      </c>
      <c r="F20" s="13">
        <v>17</v>
      </c>
      <c r="G20" s="13" t="s">
        <v>706</v>
      </c>
      <c r="H20" s="67">
        <f t="shared" si="0"/>
        <v>17</v>
      </c>
      <c r="I20" s="60">
        <v>2000</v>
      </c>
      <c r="J20" s="91">
        <f t="shared" si="1"/>
        <v>34000</v>
      </c>
      <c r="K20" s="16"/>
    </row>
    <row r="21" spans="1:11">
      <c r="A21" s="258"/>
      <c r="B21" s="109"/>
      <c r="C21" s="109" t="s">
        <v>806</v>
      </c>
      <c r="D21" s="109" t="s">
        <v>810</v>
      </c>
      <c r="E21" s="109" t="s">
        <v>640</v>
      </c>
      <c r="F21" s="109">
        <v>1</v>
      </c>
      <c r="G21" s="109" t="s">
        <v>809</v>
      </c>
      <c r="H21" s="114">
        <f t="shared" si="0"/>
        <v>1</v>
      </c>
      <c r="I21" s="115">
        <v>70000</v>
      </c>
      <c r="J21" s="116">
        <f t="shared" si="1"/>
        <v>70000</v>
      </c>
      <c r="K21" s="126"/>
    </row>
    <row r="22" spans="1:11">
      <c r="A22" s="258"/>
      <c r="B22" s="109"/>
      <c r="C22" s="109" t="s">
        <v>806</v>
      </c>
      <c r="D22" s="109" t="s">
        <v>813</v>
      </c>
      <c r="E22" s="128" t="s">
        <v>953</v>
      </c>
      <c r="F22" s="109">
        <v>1</v>
      </c>
      <c r="G22" s="109" t="s">
        <v>643</v>
      </c>
      <c r="H22" s="114">
        <f t="shared" si="0"/>
        <v>1</v>
      </c>
      <c r="I22" s="127">
        <f>(60*2700)+300000</f>
        <v>462000</v>
      </c>
      <c r="J22" s="116">
        <f t="shared" si="1"/>
        <v>462000</v>
      </c>
      <c r="K22" s="126" t="s">
        <v>644</v>
      </c>
    </row>
    <row r="23" spans="1:11">
      <c r="A23" s="258"/>
      <c r="B23" s="13"/>
      <c r="C23" s="13" t="s">
        <v>806</v>
      </c>
      <c r="D23" s="13" t="s">
        <v>113</v>
      </c>
      <c r="E23" s="13" t="s">
        <v>113</v>
      </c>
      <c r="F23" s="13">
        <v>1</v>
      </c>
      <c r="G23" s="13" t="s">
        <v>240</v>
      </c>
      <c r="H23" s="67">
        <f t="shared" si="0"/>
        <v>1</v>
      </c>
      <c r="I23" s="60">
        <v>13400</v>
      </c>
      <c r="J23" s="91">
        <f t="shared" si="1"/>
        <v>13400</v>
      </c>
      <c r="K23" s="16"/>
    </row>
    <row r="24" spans="1:11">
      <c r="A24" s="258"/>
      <c r="B24" s="13"/>
      <c r="C24" s="13" t="s">
        <v>806</v>
      </c>
      <c r="D24" s="13" t="s">
        <v>647</v>
      </c>
      <c r="E24" s="13" t="s">
        <v>830</v>
      </c>
      <c r="F24" s="13">
        <v>1</v>
      </c>
      <c r="G24" s="13" t="s">
        <v>680</v>
      </c>
      <c r="H24" s="67">
        <f t="shared" si="0"/>
        <v>1</v>
      </c>
      <c r="I24" s="60">
        <v>2500</v>
      </c>
      <c r="J24" s="91">
        <f t="shared" si="1"/>
        <v>2500</v>
      </c>
      <c r="K24" s="16" t="s">
        <v>646</v>
      </c>
    </row>
    <row r="25" spans="1:11">
      <c r="A25" s="258"/>
      <c r="B25" s="13"/>
      <c r="C25" s="13" t="s">
        <v>806</v>
      </c>
      <c r="D25" s="13" t="s">
        <v>812</v>
      </c>
      <c r="E25" s="13" t="s">
        <v>811</v>
      </c>
      <c r="F25" s="13">
        <v>1</v>
      </c>
      <c r="G25" s="13" t="s">
        <v>1685</v>
      </c>
      <c r="H25" s="67">
        <f t="shared" si="0"/>
        <v>1</v>
      </c>
      <c r="I25" s="133">
        <v>1700</v>
      </c>
      <c r="J25" s="91">
        <f t="shared" si="1"/>
        <v>1700</v>
      </c>
      <c r="K25" s="16"/>
    </row>
    <row r="26" spans="1:11">
      <c r="A26" s="258"/>
      <c r="B26" s="13"/>
      <c r="C26" s="13" t="s">
        <v>806</v>
      </c>
      <c r="D26" s="256" t="s">
        <v>1766</v>
      </c>
      <c r="E26" s="256" t="s">
        <v>1767</v>
      </c>
      <c r="F26" s="13">
        <v>1</v>
      </c>
      <c r="G26" s="13" t="s">
        <v>707</v>
      </c>
      <c r="H26" s="67">
        <f t="shared" si="0"/>
        <v>1</v>
      </c>
      <c r="I26" s="325">
        <v>45034</v>
      </c>
      <c r="J26" s="317">
        <f t="shared" si="1"/>
        <v>45034</v>
      </c>
      <c r="K26" s="16"/>
    </row>
    <row r="27" spans="1:11">
      <c r="A27" s="258"/>
      <c r="B27" s="256"/>
      <c r="C27" s="256" t="s">
        <v>806</v>
      </c>
      <c r="D27" s="13" t="s">
        <v>1763</v>
      </c>
      <c r="E27" s="256" t="s">
        <v>1761</v>
      </c>
      <c r="F27" s="256">
        <v>1</v>
      </c>
      <c r="G27" s="256" t="s">
        <v>707</v>
      </c>
      <c r="H27" s="67">
        <f t="shared" si="0"/>
        <v>1</v>
      </c>
      <c r="I27" s="326"/>
      <c r="J27" s="318"/>
      <c r="K27" s="16"/>
    </row>
    <row r="28" spans="1:11">
      <c r="A28" s="258"/>
      <c r="B28" s="256"/>
      <c r="C28" s="256" t="s">
        <v>806</v>
      </c>
      <c r="D28" s="256" t="s">
        <v>1764</v>
      </c>
      <c r="E28" s="256" t="s">
        <v>1762</v>
      </c>
      <c r="F28" s="256">
        <v>1</v>
      </c>
      <c r="G28" s="256" t="s">
        <v>707</v>
      </c>
      <c r="H28" s="67">
        <f t="shared" si="0"/>
        <v>1</v>
      </c>
      <c r="I28" s="326"/>
      <c r="J28" s="318"/>
      <c r="K28" s="16"/>
    </row>
    <row r="29" spans="1:11">
      <c r="A29" s="258"/>
      <c r="B29" s="13"/>
      <c r="C29" s="13" t="s">
        <v>806</v>
      </c>
      <c r="D29" s="13" t="s">
        <v>1772</v>
      </c>
      <c r="E29" s="13" t="s">
        <v>1780</v>
      </c>
      <c r="F29" s="13">
        <v>1</v>
      </c>
      <c r="G29" s="13" t="s">
        <v>707</v>
      </c>
      <c r="H29" s="67">
        <f t="shared" si="0"/>
        <v>1</v>
      </c>
      <c r="I29" s="326"/>
      <c r="J29" s="318"/>
      <c r="K29" s="16"/>
    </row>
    <row r="30" spans="1:11">
      <c r="A30" s="258"/>
      <c r="B30" s="13"/>
      <c r="C30" s="13" t="s">
        <v>806</v>
      </c>
      <c r="D30" s="13" t="s">
        <v>1774</v>
      </c>
      <c r="E30" s="13" t="s">
        <v>1782</v>
      </c>
      <c r="F30" s="13">
        <v>1</v>
      </c>
      <c r="G30" s="13" t="s">
        <v>707</v>
      </c>
      <c r="H30" s="67">
        <f t="shared" si="0"/>
        <v>1</v>
      </c>
      <c r="I30" s="326"/>
      <c r="J30" s="318"/>
      <c r="K30" s="16"/>
    </row>
    <row r="31" spans="1:11">
      <c r="A31" s="258"/>
      <c r="B31" s="256"/>
      <c r="C31" s="256" t="s">
        <v>806</v>
      </c>
      <c r="D31" s="256" t="s">
        <v>1768</v>
      </c>
      <c r="E31" s="256" t="s">
        <v>1776</v>
      </c>
      <c r="F31" s="256">
        <v>1</v>
      </c>
      <c r="G31" s="256" t="s">
        <v>707</v>
      </c>
      <c r="H31" s="67">
        <f t="shared" ref="H31:H34" si="2">$J$4*F31</f>
        <v>1</v>
      </c>
      <c r="I31" s="326"/>
      <c r="J31" s="318"/>
      <c r="K31" s="16"/>
    </row>
    <row r="32" spans="1:11">
      <c r="A32" s="258"/>
      <c r="B32" s="256"/>
      <c r="C32" s="256" t="s">
        <v>806</v>
      </c>
      <c r="D32" s="256" t="s">
        <v>1770</v>
      </c>
      <c r="E32" s="256" t="s">
        <v>1778</v>
      </c>
      <c r="F32" s="256">
        <v>1</v>
      </c>
      <c r="G32" s="256" t="s">
        <v>707</v>
      </c>
      <c r="H32" s="67">
        <f t="shared" si="2"/>
        <v>1</v>
      </c>
      <c r="I32" s="326"/>
      <c r="J32" s="318"/>
      <c r="K32" s="16"/>
    </row>
    <row r="33" spans="1:11">
      <c r="A33" s="258"/>
      <c r="B33" s="256"/>
      <c r="C33" s="256" t="s">
        <v>806</v>
      </c>
      <c r="D33" s="256" t="s">
        <v>1769</v>
      </c>
      <c r="E33" s="256" t="s">
        <v>1777</v>
      </c>
      <c r="F33" s="256">
        <v>1</v>
      </c>
      <c r="G33" s="256" t="s">
        <v>707</v>
      </c>
      <c r="H33" s="67">
        <f t="shared" si="2"/>
        <v>1</v>
      </c>
      <c r="I33" s="326"/>
      <c r="J33" s="318"/>
      <c r="K33" s="16"/>
    </row>
    <row r="34" spans="1:11">
      <c r="A34" s="258"/>
      <c r="B34" s="256"/>
      <c r="C34" s="256" t="s">
        <v>806</v>
      </c>
      <c r="D34" s="256" t="s">
        <v>1771</v>
      </c>
      <c r="E34" s="256" t="s">
        <v>1779</v>
      </c>
      <c r="F34" s="256">
        <v>1</v>
      </c>
      <c r="G34" s="256" t="s">
        <v>707</v>
      </c>
      <c r="H34" s="67">
        <f t="shared" si="2"/>
        <v>1</v>
      </c>
      <c r="I34" s="326"/>
      <c r="J34" s="318"/>
      <c r="K34" s="16"/>
    </row>
    <row r="35" spans="1:11">
      <c r="A35" s="258"/>
      <c r="B35" s="13"/>
      <c r="C35" s="13" t="s">
        <v>806</v>
      </c>
      <c r="D35" s="13" t="s">
        <v>732</v>
      </c>
      <c r="E35" s="13" t="s">
        <v>752</v>
      </c>
      <c r="F35" s="13">
        <v>2</v>
      </c>
      <c r="G35" s="13" t="s">
        <v>733</v>
      </c>
      <c r="H35" s="67">
        <f t="shared" si="0"/>
        <v>2</v>
      </c>
      <c r="I35" s="327"/>
      <c r="J35" s="319"/>
      <c r="K35" s="16"/>
    </row>
    <row r="36" spans="1:11">
      <c r="A36" s="258"/>
      <c r="B36" s="13"/>
      <c r="C36" s="13" t="s">
        <v>806</v>
      </c>
      <c r="D36" s="13" t="s">
        <v>945</v>
      </c>
      <c r="E36" s="13" t="s">
        <v>946</v>
      </c>
      <c r="F36" s="13">
        <v>6</v>
      </c>
      <c r="G36" s="13" t="s">
        <v>1685</v>
      </c>
      <c r="H36" s="67">
        <f t="shared" si="0"/>
        <v>6</v>
      </c>
      <c r="I36" s="133">
        <v>70</v>
      </c>
      <c r="J36" s="91">
        <f t="shared" si="1"/>
        <v>420</v>
      </c>
      <c r="K36" s="16"/>
    </row>
    <row r="37" spans="1:11">
      <c r="A37" s="258"/>
      <c r="B37" s="13"/>
      <c r="C37" s="13" t="s">
        <v>806</v>
      </c>
      <c r="D37" s="13" t="s">
        <v>650</v>
      </c>
      <c r="E37" s="13" t="s">
        <v>754</v>
      </c>
      <c r="F37" s="13">
        <v>1</v>
      </c>
      <c r="G37" s="13" t="s">
        <v>713</v>
      </c>
      <c r="H37" s="13">
        <f t="shared" si="0"/>
        <v>1</v>
      </c>
      <c r="I37" s="60">
        <v>468</v>
      </c>
      <c r="J37" s="91">
        <f t="shared" si="1"/>
        <v>468</v>
      </c>
      <c r="K37" s="16"/>
    </row>
    <row r="38" spans="1:11">
      <c r="A38" s="258"/>
      <c r="B38" s="13"/>
      <c r="C38" s="13" t="s">
        <v>806</v>
      </c>
      <c r="D38" s="13" t="s">
        <v>701</v>
      </c>
      <c r="E38" s="13" t="s">
        <v>703</v>
      </c>
      <c r="F38" s="13">
        <v>24</v>
      </c>
      <c r="G38" s="13" t="s">
        <v>709</v>
      </c>
      <c r="H38" s="13">
        <f t="shared" si="0"/>
        <v>24</v>
      </c>
      <c r="I38" s="60">
        <v>30</v>
      </c>
      <c r="J38" s="91">
        <f t="shared" si="1"/>
        <v>720</v>
      </c>
      <c r="K38" s="16"/>
    </row>
    <row r="39" spans="1:11">
      <c r="A39" s="258"/>
      <c r="B39" s="13"/>
      <c r="C39" s="13" t="s">
        <v>806</v>
      </c>
      <c r="D39" s="13" t="s">
        <v>702</v>
      </c>
      <c r="E39" s="13" t="s">
        <v>704</v>
      </c>
      <c r="F39" s="13">
        <v>24</v>
      </c>
      <c r="G39" s="13" t="s">
        <v>708</v>
      </c>
      <c r="H39" s="13">
        <f t="shared" si="0"/>
        <v>24</v>
      </c>
      <c r="I39" s="60">
        <v>60</v>
      </c>
      <c r="J39" s="91">
        <f t="shared" si="1"/>
        <v>1440</v>
      </c>
      <c r="K39" s="16"/>
    </row>
    <row r="40" spans="1:11">
      <c r="A40" s="258"/>
      <c r="B40" s="13"/>
      <c r="C40" s="13" t="s">
        <v>806</v>
      </c>
      <c r="D40" s="13" t="s">
        <v>724</v>
      </c>
      <c r="E40" s="128" t="s">
        <v>730</v>
      </c>
      <c r="F40" s="13">
        <v>1</v>
      </c>
      <c r="G40" s="13" t="s">
        <v>713</v>
      </c>
      <c r="H40" s="13">
        <f t="shared" si="0"/>
        <v>1</v>
      </c>
      <c r="I40" s="60">
        <v>295</v>
      </c>
      <c r="J40" s="91">
        <f t="shared" si="1"/>
        <v>295</v>
      </c>
      <c r="K40" s="16"/>
    </row>
    <row r="41" spans="1:11">
      <c r="A41" s="258"/>
      <c r="B41" s="13"/>
      <c r="C41" s="13" t="s">
        <v>806</v>
      </c>
      <c r="D41" s="13" t="s">
        <v>726</v>
      </c>
      <c r="E41" s="128" t="s">
        <v>729</v>
      </c>
      <c r="F41" s="13">
        <v>1</v>
      </c>
      <c r="G41" s="13" t="s">
        <v>713</v>
      </c>
      <c r="H41" s="15">
        <f t="shared" si="0"/>
        <v>1</v>
      </c>
      <c r="I41" s="55">
        <v>357</v>
      </c>
      <c r="J41" s="91">
        <f t="shared" si="1"/>
        <v>357</v>
      </c>
      <c r="K41" s="16"/>
    </row>
    <row r="42" spans="1:11">
      <c r="A42" s="258"/>
      <c r="B42" s="13"/>
      <c r="C42" s="13" t="s">
        <v>806</v>
      </c>
      <c r="D42" s="13" t="s">
        <v>651</v>
      </c>
      <c r="E42" s="13" t="s">
        <v>669</v>
      </c>
      <c r="F42" s="13">
        <v>24</v>
      </c>
      <c r="G42" s="320" t="s">
        <v>710</v>
      </c>
      <c r="H42" s="320">
        <f t="shared" si="0"/>
        <v>24</v>
      </c>
      <c r="I42" s="314">
        <v>1280</v>
      </c>
      <c r="J42" s="317">
        <f t="shared" si="1"/>
        <v>30720</v>
      </c>
      <c r="K42" s="16"/>
    </row>
    <row r="43" spans="1:11">
      <c r="A43" s="258"/>
      <c r="B43" s="13"/>
      <c r="C43" s="13" t="s">
        <v>806</v>
      </c>
      <c r="D43" s="13" t="s">
        <v>652</v>
      </c>
      <c r="E43" s="13" t="s">
        <v>638</v>
      </c>
      <c r="F43" s="13">
        <v>24</v>
      </c>
      <c r="G43" s="321"/>
      <c r="H43" s="321">
        <f t="shared" si="0"/>
        <v>24</v>
      </c>
      <c r="I43" s="316"/>
      <c r="J43" s="319"/>
      <c r="K43" s="16"/>
    </row>
    <row r="44" spans="1:11">
      <c r="A44" s="258"/>
      <c r="B44" s="13"/>
      <c r="C44" s="13" t="s">
        <v>806</v>
      </c>
      <c r="D44" s="13" t="s">
        <v>722</v>
      </c>
      <c r="E44" s="13" t="s">
        <v>755</v>
      </c>
      <c r="F44" s="13">
        <v>1</v>
      </c>
      <c r="G44" s="13" t="s">
        <v>659</v>
      </c>
      <c r="H44" s="13">
        <f t="shared" si="0"/>
        <v>1</v>
      </c>
      <c r="I44" s="60">
        <v>1200</v>
      </c>
      <c r="J44" s="91">
        <f t="shared" si="1"/>
        <v>1200</v>
      </c>
      <c r="K44" s="16"/>
    </row>
    <row r="45" spans="1:11">
      <c r="A45" s="258"/>
      <c r="B45" s="13"/>
      <c r="C45" s="13" t="s">
        <v>806</v>
      </c>
      <c r="D45" s="13" t="s">
        <v>717</v>
      </c>
      <c r="E45" s="13" t="s">
        <v>718</v>
      </c>
      <c r="F45" s="13">
        <v>2</v>
      </c>
      <c r="G45" s="13" t="s">
        <v>681</v>
      </c>
      <c r="H45" s="13">
        <f t="shared" si="0"/>
        <v>2</v>
      </c>
      <c r="I45" s="60">
        <v>1800</v>
      </c>
      <c r="J45" s="91">
        <f t="shared" si="1"/>
        <v>3600</v>
      </c>
      <c r="K45" s="16"/>
    </row>
    <row r="46" spans="1:11">
      <c r="A46" s="258"/>
      <c r="B46" s="13"/>
      <c r="C46" s="13" t="s">
        <v>806</v>
      </c>
      <c r="D46" s="13" t="s">
        <v>653</v>
      </c>
      <c r="E46" s="13" t="s">
        <v>670</v>
      </c>
      <c r="F46" s="13">
        <v>18</v>
      </c>
      <c r="G46" s="13" t="s">
        <v>711</v>
      </c>
      <c r="H46" s="13">
        <f t="shared" si="0"/>
        <v>18</v>
      </c>
      <c r="I46" s="60">
        <v>2700</v>
      </c>
      <c r="J46" s="91">
        <f t="shared" si="1"/>
        <v>48600</v>
      </c>
      <c r="K46" s="16"/>
    </row>
    <row r="47" spans="1:11">
      <c r="A47" s="258"/>
      <c r="B47" s="13"/>
      <c r="C47" s="13" t="s">
        <v>806</v>
      </c>
      <c r="D47" s="13" t="s">
        <v>654</v>
      </c>
      <c r="E47" s="13" t="s">
        <v>671</v>
      </c>
      <c r="F47" s="13">
        <v>18</v>
      </c>
      <c r="G47" s="13" t="s">
        <v>711</v>
      </c>
      <c r="H47" s="13">
        <f t="shared" si="0"/>
        <v>18</v>
      </c>
      <c r="I47" s="60"/>
      <c r="J47" s="91">
        <f t="shared" si="1"/>
        <v>0</v>
      </c>
      <c r="K47" s="16"/>
    </row>
    <row r="48" spans="1:11">
      <c r="A48" s="258"/>
      <c r="B48" s="361"/>
      <c r="C48" s="256" t="s">
        <v>806</v>
      </c>
      <c r="D48" s="256" t="s">
        <v>1790</v>
      </c>
      <c r="E48" s="256" t="s">
        <v>1787</v>
      </c>
      <c r="F48" s="256">
        <v>18</v>
      </c>
      <c r="G48" s="256" t="s">
        <v>711</v>
      </c>
      <c r="H48" s="256">
        <f t="shared" ref="H48" si="3">$J$4*F48</f>
        <v>18</v>
      </c>
      <c r="I48" s="60"/>
      <c r="J48" s="91">
        <f t="shared" si="1"/>
        <v>0</v>
      </c>
      <c r="K48" s="16"/>
    </row>
    <row r="49" spans="1:12">
      <c r="A49" s="258"/>
      <c r="B49" s="13"/>
      <c r="C49" s="13" t="s">
        <v>806</v>
      </c>
      <c r="D49" s="13" t="s">
        <v>661</v>
      </c>
      <c r="E49" s="13" t="s">
        <v>663</v>
      </c>
      <c r="F49" s="13">
        <v>2</v>
      </c>
      <c r="G49" s="13" t="s">
        <v>569</v>
      </c>
      <c r="H49" s="13">
        <f t="shared" si="0"/>
        <v>2</v>
      </c>
      <c r="I49" s="60">
        <v>2130</v>
      </c>
      <c r="J49" s="91">
        <f t="shared" si="1"/>
        <v>4260</v>
      </c>
      <c r="K49" s="16"/>
    </row>
    <row r="50" spans="1:12">
      <c r="A50" s="258"/>
      <c r="B50" s="13"/>
      <c r="C50" s="13" t="s">
        <v>806</v>
      </c>
      <c r="D50" s="13" t="s">
        <v>662</v>
      </c>
      <c r="E50" s="13" t="s">
        <v>664</v>
      </c>
      <c r="F50" s="13">
        <v>2</v>
      </c>
      <c r="G50" s="13" t="s">
        <v>716</v>
      </c>
      <c r="H50" s="13">
        <f t="shared" si="0"/>
        <v>2</v>
      </c>
      <c r="I50" s="60">
        <f>6000+3370</f>
        <v>9370</v>
      </c>
      <c r="J50" s="91">
        <f t="shared" si="1"/>
        <v>18740</v>
      </c>
      <c r="K50" s="16"/>
    </row>
    <row r="51" spans="1:12">
      <c r="A51" s="258"/>
      <c r="B51" s="13"/>
      <c r="C51" s="13" t="s">
        <v>806</v>
      </c>
      <c r="D51" s="13" t="s">
        <v>682</v>
      </c>
      <c r="E51" s="13" t="s">
        <v>683</v>
      </c>
      <c r="F51" s="13">
        <v>1</v>
      </c>
      <c r="G51" s="13" t="s">
        <v>684</v>
      </c>
      <c r="H51" s="13">
        <f t="shared" si="0"/>
        <v>1</v>
      </c>
      <c r="I51" s="60">
        <v>4300</v>
      </c>
      <c r="J51" s="91">
        <f t="shared" si="1"/>
        <v>4300</v>
      </c>
      <c r="K51" s="16"/>
    </row>
    <row r="52" spans="1:12">
      <c r="A52" s="264"/>
      <c r="B52" s="13"/>
      <c r="C52" s="13" t="s">
        <v>806</v>
      </c>
      <c r="D52" s="13"/>
      <c r="E52" s="13" t="s">
        <v>968</v>
      </c>
      <c r="F52" s="13">
        <v>1</v>
      </c>
      <c r="G52" s="13" t="s">
        <v>970</v>
      </c>
      <c r="H52" s="13">
        <f t="shared" si="0"/>
        <v>1</v>
      </c>
      <c r="I52" s="60">
        <f>21000+6000</f>
        <v>27000</v>
      </c>
      <c r="J52" s="91">
        <f t="shared" si="1"/>
        <v>27000</v>
      </c>
      <c r="K52" s="16"/>
    </row>
    <row r="53" spans="1:12" ht="17.5" thickBot="1">
      <c r="A53" s="264"/>
      <c r="B53" s="13"/>
      <c r="C53" s="13" t="s">
        <v>806</v>
      </c>
      <c r="D53" s="13"/>
      <c r="E53" s="13" t="s">
        <v>969</v>
      </c>
      <c r="F53" s="13">
        <v>2</v>
      </c>
      <c r="G53" s="13" t="s">
        <v>971</v>
      </c>
      <c r="H53" s="13">
        <f t="shared" si="0"/>
        <v>2</v>
      </c>
      <c r="I53" s="60">
        <v>900</v>
      </c>
      <c r="J53" s="91">
        <f t="shared" si="1"/>
        <v>1800</v>
      </c>
      <c r="K53" s="16"/>
    </row>
    <row r="54" spans="1:12" ht="26" thickBot="1">
      <c r="A54" s="259"/>
      <c r="B54" s="28"/>
      <c r="C54" s="28" t="s">
        <v>806</v>
      </c>
      <c r="D54" s="28" t="s">
        <v>687</v>
      </c>
      <c r="E54" s="28" t="s">
        <v>688</v>
      </c>
      <c r="F54" s="28">
        <v>1</v>
      </c>
      <c r="G54" s="28" t="s">
        <v>686</v>
      </c>
      <c r="H54" s="28">
        <f t="shared" si="0"/>
        <v>1</v>
      </c>
      <c r="I54" s="78">
        <v>900</v>
      </c>
      <c r="J54" s="96">
        <f t="shared" si="1"/>
        <v>900</v>
      </c>
      <c r="K54" s="90"/>
      <c r="L54" s="97">
        <f>SUM(J11:J54)</f>
        <v>1139054</v>
      </c>
    </row>
    <row r="55" spans="1:12">
      <c r="A55" s="257">
        <v>2</v>
      </c>
      <c r="B55" s="11"/>
      <c r="C55" s="11" t="s">
        <v>815</v>
      </c>
      <c r="D55" s="11" t="s">
        <v>641</v>
      </c>
      <c r="E55" s="11" t="s">
        <v>824</v>
      </c>
      <c r="F55" s="11">
        <v>1</v>
      </c>
      <c r="G55" s="88" t="s">
        <v>250</v>
      </c>
      <c r="H55" s="88">
        <f>$J$4*F55</f>
        <v>1</v>
      </c>
      <c r="I55" s="54">
        <v>100000</v>
      </c>
      <c r="J55" s="92">
        <f>H55*I55</f>
        <v>100000</v>
      </c>
      <c r="K55" s="12"/>
    </row>
    <row r="56" spans="1:12">
      <c r="A56" s="258"/>
      <c r="B56" s="13"/>
      <c r="C56" s="13" t="s">
        <v>814</v>
      </c>
      <c r="D56" s="13" t="s">
        <v>642</v>
      </c>
      <c r="E56" s="13" t="s">
        <v>826</v>
      </c>
      <c r="F56" s="13">
        <v>1</v>
      </c>
      <c r="G56" s="67" t="s">
        <v>250</v>
      </c>
      <c r="H56" s="67">
        <f t="shared" ref="H56:H98" si="4">$J$4*F56</f>
        <v>1</v>
      </c>
      <c r="I56" s="60">
        <v>23000</v>
      </c>
      <c r="J56" s="91">
        <f t="shared" ref="J56:J70" si="5">H56*I56</f>
        <v>23000</v>
      </c>
      <c r="K56" s="16"/>
    </row>
    <row r="57" spans="1:12">
      <c r="A57" s="258"/>
      <c r="B57" s="13"/>
      <c r="C57" s="13" t="s">
        <v>814</v>
      </c>
      <c r="D57" s="13" t="s">
        <v>666</v>
      </c>
      <c r="E57" s="13" t="s">
        <v>831</v>
      </c>
      <c r="F57" s="13">
        <v>1</v>
      </c>
      <c r="G57" s="67" t="s">
        <v>250</v>
      </c>
      <c r="H57" s="67">
        <f t="shared" si="4"/>
        <v>1</v>
      </c>
      <c r="I57" s="133">
        <v>5200</v>
      </c>
      <c r="J57" s="91">
        <f t="shared" si="5"/>
        <v>5200</v>
      </c>
      <c r="K57" s="16"/>
    </row>
    <row r="58" spans="1:12">
      <c r="A58" s="258"/>
      <c r="B58" s="13"/>
      <c r="C58" s="13" t="s">
        <v>814</v>
      </c>
      <c r="D58" s="13" t="s">
        <v>1798</v>
      </c>
      <c r="E58" s="13" t="s">
        <v>1799</v>
      </c>
      <c r="F58" s="13">
        <v>1</v>
      </c>
      <c r="G58" s="13" t="s">
        <v>1793</v>
      </c>
      <c r="H58" s="67">
        <v>1</v>
      </c>
      <c r="I58" s="133">
        <v>50000</v>
      </c>
      <c r="J58" s="91">
        <f t="shared" si="5"/>
        <v>50000</v>
      </c>
      <c r="K58" s="16"/>
    </row>
    <row r="59" spans="1:12">
      <c r="A59" s="258"/>
      <c r="B59" s="361"/>
      <c r="C59" s="256" t="s">
        <v>814</v>
      </c>
      <c r="D59" s="361" t="s">
        <v>1800</v>
      </c>
      <c r="E59" s="361" t="s">
        <v>1801</v>
      </c>
      <c r="F59" s="361">
        <v>1</v>
      </c>
      <c r="G59" s="361" t="s">
        <v>1793</v>
      </c>
      <c r="H59" s="364">
        <v>1</v>
      </c>
      <c r="I59" s="365"/>
      <c r="J59" s="91">
        <f t="shared" si="5"/>
        <v>0</v>
      </c>
      <c r="K59" s="16"/>
    </row>
    <row r="60" spans="1:12">
      <c r="A60" s="258"/>
      <c r="B60" s="361"/>
      <c r="C60" s="256" t="s">
        <v>814</v>
      </c>
      <c r="D60" s="361" t="s">
        <v>1802</v>
      </c>
      <c r="E60" s="361" t="s">
        <v>1803</v>
      </c>
      <c r="F60" s="361">
        <v>1</v>
      </c>
      <c r="G60" s="361" t="s">
        <v>1793</v>
      </c>
      <c r="H60" s="364">
        <v>1</v>
      </c>
      <c r="I60" s="365"/>
      <c r="J60" s="91">
        <f t="shared" si="5"/>
        <v>0</v>
      </c>
      <c r="K60" s="16"/>
    </row>
    <row r="61" spans="1:12">
      <c r="A61" s="258"/>
      <c r="B61" s="13"/>
      <c r="C61" s="13" t="s">
        <v>814</v>
      </c>
      <c r="D61" s="13" t="s">
        <v>695</v>
      </c>
      <c r="E61" s="13" t="s">
        <v>828</v>
      </c>
      <c r="F61" s="13">
        <v>1</v>
      </c>
      <c r="G61" s="13" t="s">
        <v>705</v>
      </c>
      <c r="H61" s="67">
        <f t="shared" si="4"/>
        <v>1</v>
      </c>
      <c r="I61" s="133">
        <v>95000</v>
      </c>
      <c r="J61" s="91">
        <f t="shared" si="5"/>
        <v>95000</v>
      </c>
      <c r="K61" s="16"/>
    </row>
    <row r="62" spans="1:12">
      <c r="A62" s="258"/>
      <c r="B62" s="13"/>
      <c r="C62" s="256" t="s">
        <v>814</v>
      </c>
      <c r="D62" s="13" t="s">
        <v>1754</v>
      </c>
      <c r="E62" s="13" t="s">
        <v>1755</v>
      </c>
      <c r="F62" s="13">
        <v>24</v>
      </c>
      <c r="G62" s="13" t="s">
        <v>1804</v>
      </c>
      <c r="H62" s="67">
        <v>24</v>
      </c>
      <c r="I62" s="133"/>
      <c r="J62" s="91">
        <v>0</v>
      </c>
      <c r="K62" s="16"/>
    </row>
    <row r="63" spans="1:12">
      <c r="A63" s="258"/>
      <c r="B63" s="361"/>
      <c r="C63" s="256" t="s">
        <v>814</v>
      </c>
      <c r="D63" s="361" t="s">
        <v>698</v>
      </c>
      <c r="E63" s="361" t="s">
        <v>1756</v>
      </c>
      <c r="F63" s="361">
        <v>12</v>
      </c>
      <c r="G63" s="361" t="s">
        <v>1804</v>
      </c>
      <c r="H63" s="364">
        <v>12</v>
      </c>
      <c r="I63" s="365">
        <v>7700</v>
      </c>
      <c r="J63" s="363">
        <v>92400</v>
      </c>
      <c r="K63" s="16"/>
    </row>
    <row r="64" spans="1:12">
      <c r="A64" s="258"/>
      <c r="B64" s="13"/>
      <c r="C64" s="256" t="s">
        <v>814</v>
      </c>
      <c r="D64" s="13" t="s">
        <v>667</v>
      </c>
      <c r="E64" s="13" t="s">
        <v>808</v>
      </c>
      <c r="F64" s="13">
        <v>17</v>
      </c>
      <c r="G64" s="13" t="s">
        <v>706</v>
      </c>
      <c r="H64" s="67">
        <f t="shared" si="4"/>
        <v>17</v>
      </c>
      <c r="I64" s="60">
        <v>2000</v>
      </c>
      <c r="J64" s="91">
        <f t="shared" si="5"/>
        <v>34000</v>
      </c>
      <c r="K64" s="16"/>
    </row>
    <row r="65" spans="1:11">
      <c r="A65" s="258"/>
      <c r="B65" s="109"/>
      <c r="C65" s="109" t="s">
        <v>814</v>
      </c>
      <c r="D65" s="109" t="s">
        <v>817</v>
      </c>
      <c r="E65" s="109" t="s">
        <v>640</v>
      </c>
      <c r="F65" s="109">
        <v>1</v>
      </c>
      <c r="G65" s="109" t="s">
        <v>809</v>
      </c>
      <c r="H65" s="114">
        <f t="shared" si="4"/>
        <v>1</v>
      </c>
      <c r="I65" s="115">
        <v>105000</v>
      </c>
      <c r="J65" s="116">
        <f t="shared" si="5"/>
        <v>105000</v>
      </c>
      <c r="K65" s="126"/>
    </row>
    <row r="66" spans="1:11">
      <c r="A66" s="258"/>
      <c r="B66" s="109"/>
      <c r="C66" s="109" t="s">
        <v>814</v>
      </c>
      <c r="D66" s="109" t="s">
        <v>816</v>
      </c>
      <c r="E66" s="109" t="s">
        <v>816</v>
      </c>
      <c r="F66" s="109">
        <v>1</v>
      </c>
      <c r="G66" s="109" t="s">
        <v>643</v>
      </c>
      <c r="H66" s="114">
        <f t="shared" si="4"/>
        <v>1</v>
      </c>
      <c r="I66" s="127">
        <f>(72*2700)+300000</f>
        <v>494400</v>
      </c>
      <c r="J66" s="116">
        <f t="shared" si="5"/>
        <v>494400</v>
      </c>
      <c r="K66" s="126" t="s">
        <v>644</v>
      </c>
    </row>
    <row r="67" spans="1:11">
      <c r="A67" s="258"/>
      <c r="B67" s="13"/>
      <c r="C67" s="13" t="s">
        <v>814</v>
      </c>
      <c r="D67" s="13" t="s">
        <v>113</v>
      </c>
      <c r="E67" s="13" t="s">
        <v>113</v>
      </c>
      <c r="F67" s="13">
        <v>1</v>
      </c>
      <c r="G67" s="13" t="s">
        <v>240</v>
      </c>
      <c r="H67" s="67">
        <f t="shared" si="4"/>
        <v>1</v>
      </c>
      <c r="I67" s="60">
        <v>13400</v>
      </c>
      <c r="J67" s="91">
        <f t="shared" si="5"/>
        <v>13400</v>
      </c>
      <c r="K67" s="16"/>
    </row>
    <row r="68" spans="1:11">
      <c r="A68" s="258"/>
      <c r="B68" s="13"/>
      <c r="C68" s="13" t="s">
        <v>814</v>
      </c>
      <c r="D68" s="13" t="s">
        <v>647</v>
      </c>
      <c r="E68" s="13" t="s">
        <v>830</v>
      </c>
      <c r="F68" s="13">
        <v>1</v>
      </c>
      <c r="G68" s="13" t="s">
        <v>680</v>
      </c>
      <c r="H68" s="67">
        <f t="shared" si="4"/>
        <v>1</v>
      </c>
      <c r="I68" s="60">
        <v>2500</v>
      </c>
      <c r="J68" s="91">
        <f t="shared" si="5"/>
        <v>2500</v>
      </c>
      <c r="K68" s="16" t="s">
        <v>646</v>
      </c>
    </row>
    <row r="69" spans="1:11">
      <c r="A69" s="258"/>
      <c r="B69" s="13"/>
      <c r="C69" s="13" t="s">
        <v>814</v>
      </c>
      <c r="D69" s="13" t="s">
        <v>812</v>
      </c>
      <c r="E69" s="13" t="s">
        <v>811</v>
      </c>
      <c r="F69" s="13">
        <v>1</v>
      </c>
      <c r="G69" s="13" t="s">
        <v>1685</v>
      </c>
      <c r="H69" s="67">
        <f t="shared" si="4"/>
        <v>1</v>
      </c>
      <c r="I69" s="133">
        <v>1700</v>
      </c>
      <c r="J69" s="91">
        <f t="shared" si="5"/>
        <v>1700</v>
      </c>
      <c r="K69" s="16"/>
    </row>
    <row r="70" spans="1:11">
      <c r="A70" s="258"/>
      <c r="B70" s="13"/>
      <c r="C70" s="13" t="s">
        <v>814</v>
      </c>
      <c r="D70" s="13" t="s">
        <v>1765</v>
      </c>
      <c r="E70" s="13" t="s">
        <v>1760</v>
      </c>
      <c r="F70" s="13">
        <v>1</v>
      </c>
      <c r="G70" s="13" t="s">
        <v>733</v>
      </c>
      <c r="H70" s="67">
        <v>1</v>
      </c>
      <c r="I70" s="325">
        <v>45034</v>
      </c>
      <c r="J70" s="317">
        <f t="shared" si="5"/>
        <v>45034</v>
      </c>
      <c r="K70" s="16"/>
    </row>
    <row r="71" spans="1:11">
      <c r="A71" s="258"/>
      <c r="B71" s="13"/>
      <c r="C71" s="13" t="s">
        <v>814</v>
      </c>
      <c r="D71" s="13" t="s">
        <v>1763</v>
      </c>
      <c r="E71" s="13" t="s">
        <v>1761</v>
      </c>
      <c r="F71" s="13">
        <v>1</v>
      </c>
      <c r="G71" s="13" t="s">
        <v>733</v>
      </c>
      <c r="H71" s="67">
        <v>1</v>
      </c>
      <c r="I71" s="326"/>
      <c r="J71" s="318"/>
      <c r="K71" s="16"/>
    </row>
    <row r="72" spans="1:11">
      <c r="A72" s="258"/>
      <c r="B72" s="13"/>
      <c r="C72" s="256" t="s">
        <v>814</v>
      </c>
      <c r="D72" s="13" t="s">
        <v>1764</v>
      </c>
      <c r="E72" s="13" t="s">
        <v>1762</v>
      </c>
      <c r="F72" s="13">
        <v>1</v>
      </c>
      <c r="G72" s="13" t="s">
        <v>733</v>
      </c>
      <c r="H72" s="67">
        <v>1</v>
      </c>
      <c r="I72" s="326"/>
      <c r="J72" s="318"/>
      <c r="K72" s="16"/>
    </row>
    <row r="73" spans="1:11">
      <c r="A73" s="258"/>
      <c r="B73" s="361"/>
      <c r="C73" s="256" t="s">
        <v>814</v>
      </c>
      <c r="D73" s="361" t="s">
        <v>1772</v>
      </c>
      <c r="E73" s="361" t="s">
        <v>1780</v>
      </c>
      <c r="F73" s="361">
        <v>1</v>
      </c>
      <c r="G73" s="361" t="s">
        <v>733</v>
      </c>
      <c r="H73" s="364">
        <v>1</v>
      </c>
      <c r="I73" s="326"/>
      <c r="J73" s="318"/>
      <c r="K73" s="16"/>
    </row>
    <row r="74" spans="1:11">
      <c r="A74" s="258"/>
      <c r="B74" s="361"/>
      <c r="C74" s="256" t="s">
        <v>814</v>
      </c>
      <c r="D74" s="361" t="s">
        <v>1774</v>
      </c>
      <c r="E74" s="361" t="s">
        <v>1782</v>
      </c>
      <c r="F74" s="361">
        <v>1</v>
      </c>
      <c r="G74" s="361" t="s">
        <v>733</v>
      </c>
      <c r="H74" s="364">
        <v>1</v>
      </c>
      <c r="I74" s="326"/>
      <c r="J74" s="318"/>
      <c r="K74" s="16"/>
    </row>
    <row r="75" spans="1:11">
      <c r="A75" s="258"/>
      <c r="B75" s="361"/>
      <c r="C75" s="256" t="s">
        <v>814</v>
      </c>
      <c r="D75" s="361" t="s">
        <v>1768</v>
      </c>
      <c r="E75" s="361" t="s">
        <v>1776</v>
      </c>
      <c r="F75" s="361">
        <v>1</v>
      </c>
      <c r="G75" s="361" t="s">
        <v>733</v>
      </c>
      <c r="H75" s="364">
        <v>1</v>
      </c>
      <c r="I75" s="326"/>
      <c r="J75" s="318"/>
      <c r="K75" s="16"/>
    </row>
    <row r="76" spans="1:11">
      <c r="A76" s="258"/>
      <c r="B76" s="361"/>
      <c r="C76" s="256" t="s">
        <v>814</v>
      </c>
      <c r="D76" s="361" t="s">
        <v>1770</v>
      </c>
      <c r="E76" s="361" t="s">
        <v>1778</v>
      </c>
      <c r="F76" s="361">
        <v>1</v>
      </c>
      <c r="G76" s="361" t="s">
        <v>733</v>
      </c>
      <c r="H76" s="364">
        <v>1</v>
      </c>
      <c r="I76" s="326"/>
      <c r="J76" s="318"/>
      <c r="K76" s="16"/>
    </row>
    <row r="77" spans="1:11">
      <c r="A77" s="258"/>
      <c r="B77" s="361"/>
      <c r="C77" s="256" t="s">
        <v>814</v>
      </c>
      <c r="D77" s="361" t="s">
        <v>1769</v>
      </c>
      <c r="E77" s="361" t="s">
        <v>1777</v>
      </c>
      <c r="F77" s="361">
        <v>1</v>
      </c>
      <c r="G77" s="361" t="s">
        <v>733</v>
      </c>
      <c r="H77" s="364">
        <v>1</v>
      </c>
      <c r="I77" s="326"/>
      <c r="J77" s="318"/>
      <c r="K77" s="16"/>
    </row>
    <row r="78" spans="1:11">
      <c r="A78" s="258"/>
      <c r="B78" s="361"/>
      <c r="C78" s="256" t="s">
        <v>814</v>
      </c>
      <c r="D78" s="361" t="s">
        <v>1771</v>
      </c>
      <c r="E78" s="361" t="s">
        <v>1779</v>
      </c>
      <c r="F78" s="361">
        <v>1</v>
      </c>
      <c r="G78" s="361" t="s">
        <v>733</v>
      </c>
      <c r="H78" s="364">
        <v>1</v>
      </c>
      <c r="I78" s="326"/>
      <c r="J78" s="318"/>
      <c r="K78" s="16"/>
    </row>
    <row r="79" spans="1:11">
      <c r="A79" s="258"/>
      <c r="B79" s="13"/>
      <c r="C79" s="256" t="s">
        <v>814</v>
      </c>
      <c r="D79" s="13" t="s">
        <v>732</v>
      </c>
      <c r="E79" s="13" t="s">
        <v>752</v>
      </c>
      <c r="F79" s="13">
        <v>2</v>
      </c>
      <c r="G79" s="13" t="s">
        <v>733</v>
      </c>
      <c r="H79" s="67">
        <f t="shared" si="4"/>
        <v>2</v>
      </c>
      <c r="I79" s="327"/>
      <c r="J79" s="319"/>
      <c r="K79" s="16"/>
    </row>
    <row r="80" spans="1:11">
      <c r="A80" s="258"/>
      <c r="B80" s="13"/>
      <c r="C80" s="256" t="s">
        <v>814</v>
      </c>
      <c r="D80" s="13" t="s">
        <v>945</v>
      </c>
      <c r="E80" s="13" t="s">
        <v>946</v>
      </c>
      <c r="F80" s="13">
        <v>6</v>
      </c>
      <c r="G80" s="13" t="s">
        <v>1685</v>
      </c>
      <c r="H80" s="67">
        <f t="shared" si="4"/>
        <v>6</v>
      </c>
      <c r="I80" s="133">
        <v>70</v>
      </c>
      <c r="J80" s="91">
        <f t="shared" ref="J80" si="6">H80*I80</f>
        <v>420</v>
      </c>
      <c r="K80" s="16"/>
    </row>
    <row r="81" spans="1:11">
      <c r="A81" s="258"/>
      <c r="B81" s="13"/>
      <c r="C81" s="256" t="s">
        <v>814</v>
      </c>
      <c r="D81" s="13" t="s">
        <v>650</v>
      </c>
      <c r="E81" s="13" t="s">
        <v>754</v>
      </c>
      <c r="F81" s="13">
        <v>1</v>
      </c>
      <c r="G81" s="13" t="s">
        <v>713</v>
      </c>
      <c r="H81" s="13">
        <f t="shared" si="4"/>
        <v>1</v>
      </c>
      <c r="I81" s="60">
        <v>468</v>
      </c>
      <c r="J81" s="91">
        <f t="shared" ref="J81:J86" si="7">H81*I81</f>
        <v>468</v>
      </c>
      <c r="K81" s="16"/>
    </row>
    <row r="82" spans="1:11">
      <c r="A82" s="258"/>
      <c r="B82" s="13"/>
      <c r="C82" s="256" t="s">
        <v>814</v>
      </c>
      <c r="D82" s="13" t="s">
        <v>701</v>
      </c>
      <c r="E82" s="13" t="s">
        <v>703</v>
      </c>
      <c r="F82" s="13">
        <v>24</v>
      </c>
      <c r="G82" s="13" t="s">
        <v>709</v>
      </c>
      <c r="H82" s="13">
        <f t="shared" si="4"/>
        <v>24</v>
      </c>
      <c r="I82" s="60">
        <v>30</v>
      </c>
      <c r="J82" s="91">
        <f t="shared" si="7"/>
        <v>720</v>
      </c>
      <c r="K82" s="16"/>
    </row>
    <row r="83" spans="1:11">
      <c r="A83" s="258"/>
      <c r="B83" s="13"/>
      <c r="C83" s="13" t="s">
        <v>814</v>
      </c>
      <c r="D83" s="13" t="s">
        <v>702</v>
      </c>
      <c r="E83" s="13" t="s">
        <v>704</v>
      </c>
      <c r="F83" s="13">
        <v>24</v>
      </c>
      <c r="G83" s="13" t="s">
        <v>708</v>
      </c>
      <c r="H83" s="13">
        <f t="shared" si="4"/>
        <v>24</v>
      </c>
      <c r="I83" s="60">
        <v>60</v>
      </c>
      <c r="J83" s="91">
        <f t="shared" si="7"/>
        <v>1440</v>
      </c>
      <c r="K83" s="16"/>
    </row>
    <row r="84" spans="1:11">
      <c r="A84" s="258"/>
      <c r="B84" s="13"/>
      <c r="C84" s="13" t="s">
        <v>814</v>
      </c>
      <c r="D84" s="13" t="s">
        <v>724</v>
      </c>
      <c r="E84" s="13" t="s">
        <v>730</v>
      </c>
      <c r="F84" s="13">
        <v>1</v>
      </c>
      <c r="G84" s="13" t="s">
        <v>713</v>
      </c>
      <c r="H84" s="13">
        <f t="shared" si="4"/>
        <v>1</v>
      </c>
      <c r="I84" s="60">
        <v>295</v>
      </c>
      <c r="J84" s="91">
        <f t="shared" si="7"/>
        <v>295</v>
      </c>
      <c r="K84" s="16"/>
    </row>
    <row r="85" spans="1:11">
      <c r="A85" s="258"/>
      <c r="B85" s="13"/>
      <c r="C85" s="13" t="s">
        <v>814</v>
      </c>
      <c r="D85" s="13" t="s">
        <v>726</v>
      </c>
      <c r="E85" s="13" t="s">
        <v>729</v>
      </c>
      <c r="F85" s="13">
        <v>1</v>
      </c>
      <c r="G85" s="13" t="s">
        <v>713</v>
      </c>
      <c r="H85" s="15">
        <f t="shared" si="4"/>
        <v>1</v>
      </c>
      <c r="I85" s="55">
        <v>357</v>
      </c>
      <c r="J85" s="91">
        <f t="shared" si="7"/>
        <v>357</v>
      </c>
      <c r="K85" s="16"/>
    </row>
    <row r="86" spans="1:11">
      <c r="A86" s="258"/>
      <c r="B86" s="13"/>
      <c r="C86" s="13" t="s">
        <v>814</v>
      </c>
      <c r="D86" s="13" t="s">
        <v>651</v>
      </c>
      <c r="E86" s="13" t="s">
        <v>669</v>
      </c>
      <c r="F86" s="13">
        <v>24</v>
      </c>
      <c r="G86" s="320" t="s">
        <v>710</v>
      </c>
      <c r="H86" s="320">
        <f t="shared" si="4"/>
        <v>24</v>
      </c>
      <c r="I86" s="314">
        <v>1280</v>
      </c>
      <c r="J86" s="317">
        <f t="shared" si="7"/>
        <v>30720</v>
      </c>
      <c r="K86" s="16"/>
    </row>
    <row r="87" spans="1:11">
      <c r="A87" s="258"/>
      <c r="B87" s="13"/>
      <c r="C87" s="13" t="s">
        <v>814</v>
      </c>
      <c r="D87" s="13" t="s">
        <v>652</v>
      </c>
      <c r="E87" s="13" t="s">
        <v>638</v>
      </c>
      <c r="F87" s="13">
        <v>24</v>
      </c>
      <c r="G87" s="321"/>
      <c r="H87" s="321">
        <f t="shared" si="4"/>
        <v>24</v>
      </c>
      <c r="I87" s="316"/>
      <c r="J87" s="319"/>
      <c r="K87" s="16"/>
    </row>
    <row r="88" spans="1:11">
      <c r="A88" s="258"/>
      <c r="B88" s="13"/>
      <c r="C88" s="13" t="s">
        <v>814</v>
      </c>
      <c r="D88" s="13" t="s">
        <v>722</v>
      </c>
      <c r="E88" s="13" t="s">
        <v>755</v>
      </c>
      <c r="F88" s="13">
        <v>1</v>
      </c>
      <c r="G88" s="13" t="s">
        <v>659</v>
      </c>
      <c r="H88" s="13">
        <f t="shared" si="4"/>
        <v>1</v>
      </c>
      <c r="I88" s="60">
        <v>1200</v>
      </c>
      <c r="J88" s="91">
        <f t="shared" ref="J88:J98" si="8">H88*I88</f>
        <v>1200</v>
      </c>
      <c r="K88" s="16"/>
    </row>
    <row r="89" spans="1:11">
      <c r="A89" s="258"/>
      <c r="B89" s="13"/>
      <c r="C89" s="13" t="s">
        <v>814</v>
      </c>
      <c r="D89" s="13" t="s">
        <v>717</v>
      </c>
      <c r="E89" s="13" t="s">
        <v>718</v>
      </c>
      <c r="F89" s="13">
        <v>2</v>
      </c>
      <c r="G89" s="13" t="s">
        <v>681</v>
      </c>
      <c r="H89" s="13">
        <f t="shared" si="4"/>
        <v>2</v>
      </c>
      <c r="I89" s="60">
        <v>1800</v>
      </c>
      <c r="J89" s="91">
        <f t="shared" si="8"/>
        <v>3600</v>
      </c>
      <c r="K89" s="16"/>
    </row>
    <row r="90" spans="1:11">
      <c r="A90" s="258"/>
      <c r="B90" s="13"/>
      <c r="C90" s="13" t="s">
        <v>814</v>
      </c>
      <c r="D90" s="13" t="s">
        <v>1805</v>
      </c>
      <c r="E90" s="13" t="s">
        <v>1806</v>
      </c>
      <c r="F90" s="13">
        <v>18</v>
      </c>
      <c r="G90" s="13" t="s">
        <v>1809</v>
      </c>
      <c r="H90" s="13">
        <v>18</v>
      </c>
      <c r="I90" s="60">
        <v>2700</v>
      </c>
      <c r="J90" s="91">
        <v>48600</v>
      </c>
      <c r="K90" s="16"/>
    </row>
    <row r="91" spans="1:11">
      <c r="A91" s="258"/>
      <c r="B91" s="13"/>
      <c r="C91" s="13" t="s">
        <v>814</v>
      </c>
      <c r="D91" s="13" t="s">
        <v>1807</v>
      </c>
      <c r="E91" s="13" t="s">
        <v>1808</v>
      </c>
      <c r="F91" s="13">
        <v>18</v>
      </c>
      <c r="G91" s="13" t="s">
        <v>1809</v>
      </c>
      <c r="H91" s="13">
        <v>18</v>
      </c>
      <c r="I91" s="60"/>
      <c r="J91" s="91">
        <v>0</v>
      </c>
      <c r="K91" s="16"/>
    </row>
    <row r="92" spans="1:11">
      <c r="A92" s="258"/>
      <c r="B92" s="361"/>
      <c r="C92" s="256" t="s">
        <v>814</v>
      </c>
      <c r="D92" s="361" t="s">
        <v>1784</v>
      </c>
      <c r="E92" s="361" t="s">
        <v>1786</v>
      </c>
      <c r="F92" s="361">
        <v>18</v>
      </c>
      <c r="G92" s="361" t="s">
        <v>1809</v>
      </c>
      <c r="H92" s="361">
        <v>18</v>
      </c>
      <c r="I92" s="362"/>
      <c r="J92" s="363">
        <v>0</v>
      </c>
      <c r="K92" s="16"/>
    </row>
    <row r="93" spans="1:11">
      <c r="A93" s="258"/>
      <c r="B93" s="13"/>
      <c r="C93" s="256" t="s">
        <v>814</v>
      </c>
      <c r="D93" s="13" t="s">
        <v>661</v>
      </c>
      <c r="E93" s="13" t="s">
        <v>663</v>
      </c>
      <c r="F93" s="13">
        <v>2</v>
      </c>
      <c r="G93" s="13" t="s">
        <v>569</v>
      </c>
      <c r="H93" s="13">
        <f t="shared" si="4"/>
        <v>2</v>
      </c>
      <c r="I93" s="60">
        <v>2130</v>
      </c>
      <c r="J93" s="91">
        <f t="shared" si="8"/>
        <v>4260</v>
      </c>
      <c r="K93" s="16"/>
    </row>
    <row r="94" spans="1:11">
      <c r="A94" s="258"/>
      <c r="B94" s="13"/>
      <c r="C94" s="256" t="s">
        <v>814</v>
      </c>
      <c r="D94" s="13" t="s">
        <v>662</v>
      </c>
      <c r="E94" s="13" t="s">
        <v>664</v>
      </c>
      <c r="F94" s="13">
        <v>2</v>
      </c>
      <c r="G94" s="13" t="s">
        <v>716</v>
      </c>
      <c r="H94" s="13">
        <f t="shared" si="4"/>
        <v>2</v>
      </c>
      <c r="I94" s="60">
        <f>6000+3370</f>
        <v>9370</v>
      </c>
      <c r="J94" s="91">
        <f t="shared" si="8"/>
        <v>18740</v>
      </c>
      <c r="K94" s="16"/>
    </row>
    <row r="95" spans="1:11">
      <c r="A95" s="258"/>
      <c r="B95" s="13"/>
      <c r="C95" s="13" t="s">
        <v>814</v>
      </c>
      <c r="D95" s="13" t="s">
        <v>682</v>
      </c>
      <c r="E95" s="13" t="s">
        <v>683</v>
      </c>
      <c r="F95" s="13">
        <v>1</v>
      </c>
      <c r="G95" s="13" t="s">
        <v>684</v>
      </c>
      <c r="H95" s="13">
        <f t="shared" si="4"/>
        <v>1</v>
      </c>
      <c r="I95" s="60">
        <v>4300</v>
      </c>
      <c r="J95" s="91">
        <f t="shared" si="8"/>
        <v>4300</v>
      </c>
      <c r="K95" s="16"/>
    </row>
    <row r="96" spans="1:11">
      <c r="A96" s="264"/>
      <c r="B96" s="13"/>
      <c r="C96" s="13" t="s">
        <v>814</v>
      </c>
      <c r="D96" s="13"/>
      <c r="E96" s="13" t="s">
        <v>968</v>
      </c>
      <c r="F96" s="13">
        <v>1</v>
      </c>
      <c r="G96" s="13" t="s">
        <v>970</v>
      </c>
      <c r="H96" s="13">
        <f t="shared" si="4"/>
        <v>1</v>
      </c>
      <c r="I96" s="60">
        <f>21000+6000</f>
        <v>27000</v>
      </c>
      <c r="J96" s="91">
        <f t="shared" si="8"/>
        <v>27000</v>
      </c>
      <c r="K96" s="16"/>
    </row>
    <row r="97" spans="1:12" ht="17.5" thickBot="1">
      <c r="A97" s="264"/>
      <c r="B97" s="13"/>
      <c r="C97" s="13" t="s">
        <v>814</v>
      </c>
      <c r="D97" s="13"/>
      <c r="E97" s="13" t="s">
        <v>969</v>
      </c>
      <c r="F97" s="13">
        <v>2</v>
      </c>
      <c r="G97" s="13" t="s">
        <v>971</v>
      </c>
      <c r="H97" s="13">
        <f t="shared" si="4"/>
        <v>2</v>
      </c>
      <c r="I97" s="60">
        <v>900</v>
      </c>
      <c r="J97" s="91">
        <f t="shared" si="8"/>
        <v>1800</v>
      </c>
      <c r="K97" s="16"/>
    </row>
    <row r="98" spans="1:12" ht="26" thickBot="1">
      <c r="A98" s="259"/>
      <c r="B98" s="28"/>
      <c r="C98" s="28" t="s">
        <v>814</v>
      </c>
      <c r="D98" s="28" t="s">
        <v>687</v>
      </c>
      <c r="E98" s="28" t="s">
        <v>688</v>
      </c>
      <c r="F98" s="28">
        <v>1</v>
      </c>
      <c r="G98" s="28" t="s">
        <v>686</v>
      </c>
      <c r="H98" s="28">
        <f t="shared" si="4"/>
        <v>1</v>
      </c>
      <c r="I98" s="78">
        <v>900</v>
      </c>
      <c r="J98" s="93">
        <f t="shared" si="8"/>
        <v>900</v>
      </c>
      <c r="K98" s="90"/>
      <c r="L98" s="97">
        <f>SUM(J55:J98)</f>
        <v>1206454</v>
      </c>
    </row>
    <row r="99" spans="1:12">
      <c r="A99" s="257">
        <v>3</v>
      </c>
      <c r="B99" s="11"/>
      <c r="C99" s="11" t="s">
        <v>820</v>
      </c>
      <c r="D99" s="11" t="s">
        <v>641</v>
      </c>
      <c r="E99" s="11" t="s">
        <v>824</v>
      </c>
      <c r="F99" s="11">
        <v>1</v>
      </c>
      <c r="G99" s="88" t="s">
        <v>250</v>
      </c>
      <c r="H99" s="88">
        <f>$J$4*F99</f>
        <v>1</v>
      </c>
      <c r="I99" s="54">
        <v>100000</v>
      </c>
      <c r="J99" s="92">
        <f>H99*I99</f>
        <v>100000</v>
      </c>
      <c r="K99" s="12"/>
    </row>
    <row r="100" spans="1:12">
      <c r="A100" s="258"/>
      <c r="B100" s="13"/>
      <c r="C100" s="13" t="s">
        <v>819</v>
      </c>
      <c r="D100" s="13" t="s">
        <v>642</v>
      </c>
      <c r="E100" s="13" t="s">
        <v>826</v>
      </c>
      <c r="F100" s="13">
        <v>1</v>
      </c>
      <c r="G100" s="67" t="s">
        <v>250</v>
      </c>
      <c r="H100" s="67">
        <f t="shared" ref="H100:H142" si="9">$J$4*F100</f>
        <v>1</v>
      </c>
      <c r="I100" s="60">
        <v>23000</v>
      </c>
      <c r="J100" s="91">
        <f t="shared" ref="J100:J114" si="10">H100*I100</f>
        <v>23000</v>
      </c>
      <c r="K100" s="16"/>
    </row>
    <row r="101" spans="1:12">
      <c r="A101" s="258"/>
      <c r="B101" s="13"/>
      <c r="C101" s="13" t="s">
        <v>819</v>
      </c>
      <c r="D101" s="13" t="s">
        <v>666</v>
      </c>
      <c r="E101" s="13" t="s">
        <v>831</v>
      </c>
      <c r="F101" s="13">
        <v>1</v>
      </c>
      <c r="G101" s="67" t="s">
        <v>250</v>
      </c>
      <c r="H101" s="67">
        <f t="shared" si="9"/>
        <v>1</v>
      </c>
      <c r="I101" s="133">
        <v>5200</v>
      </c>
      <c r="J101" s="91">
        <f t="shared" si="10"/>
        <v>5200</v>
      </c>
      <c r="K101" s="16"/>
    </row>
    <row r="102" spans="1:12">
      <c r="A102" s="258"/>
      <c r="B102" s="13"/>
      <c r="C102" s="13" t="s">
        <v>819</v>
      </c>
      <c r="D102" s="13" t="s">
        <v>1798</v>
      </c>
      <c r="E102" s="13" t="s">
        <v>1799</v>
      </c>
      <c r="F102" s="13">
        <v>1</v>
      </c>
      <c r="G102" s="13" t="s">
        <v>1793</v>
      </c>
      <c r="H102" s="67">
        <v>1</v>
      </c>
      <c r="I102" s="133">
        <v>50000</v>
      </c>
      <c r="J102" s="91">
        <f t="shared" si="10"/>
        <v>50000</v>
      </c>
      <c r="K102" s="16"/>
    </row>
    <row r="103" spans="1:12">
      <c r="A103" s="258"/>
      <c r="B103" s="361"/>
      <c r="C103" s="256" t="s">
        <v>819</v>
      </c>
      <c r="D103" s="361" t="s">
        <v>1800</v>
      </c>
      <c r="E103" s="361" t="s">
        <v>1801</v>
      </c>
      <c r="F103" s="361">
        <v>1</v>
      </c>
      <c r="G103" s="361" t="s">
        <v>1793</v>
      </c>
      <c r="H103" s="364">
        <v>1</v>
      </c>
      <c r="I103" s="365"/>
      <c r="J103" s="91">
        <f t="shared" si="10"/>
        <v>0</v>
      </c>
      <c r="K103" s="16"/>
    </row>
    <row r="104" spans="1:12">
      <c r="A104" s="258"/>
      <c r="B104" s="361"/>
      <c r="C104" s="256" t="s">
        <v>819</v>
      </c>
      <c r="D104" s="361" t="s">
        <v>1802</v>
      </c>
      <c r="E104" s="361" t="s">
        <v>1803</v>
      </c>
      <c r="F104" s="361">
        <v>1</v>
      </c>
      <c r="G104" s="361" t="s">
        <v>1793</v>
      </c>
      <c r="H104" s="364">
        <v>1</v>
      </c>
      <c r="I104" s="365"/>
      <c r="J104" s="91">
        <f t="shared" si="10"/>
        <v>0</v>
      </c>
      <c r="K104" s="16"/>
    </row>
    <row r="105" spans="1:12">
      <c r="A105" s="258"/>
      <c r="B105" s="13"/>
      <c r="C105" s="13" t="s">
        <v>819</v>
      </c>
      <c r="D105" s="13" t="s">
        <v>695</v>
      </c>
      <c r="E105" s="13" t="s">
        <v>828</v>
      </c>
      <c r="F105" s="13">
        <v>1</v>
      </c>
      <c r="G105" s="13" t="s">
        <v>705</v>
      </c>
      <c r="H105" s="67">
        <f t="shared" si="9"/>
        <v>1</v>
      </c>
      <c r="I105" s="133">
        <v>95000</v>
      </c>
      <c r="J105" s="91">
        <f t="shared" si="10"/>
        <v>95000</v>
      </c>
      <c r="K105" s="16"/>
    </row>
    <row r="106" spans="1:12">
      <c r="A106" s="258"/>
      <c r="B106" s="13"/>
      <c r="C106" s="13" t="s">
        <v>819</v>
      </c>
      <c r="D106" s="13" t="s">
        <v>1754</v>
      </c>
      <c r="E106" s="13" t="s">
        <v>1755</v>
      </c>
      <c r="F106" s="13">
        <v>24</v>
      </c>
      <c r="G106" s="13" t="s">
        <v>1804</v>
      </c>
      <c r="H106" s="67">
        <v>24</v>
      </c>
      <c r="I106" s="133"/>
      <c r="J106" s="91">
        <v>0</v>
      </c>
      <c r="K106" s="16"/>
    </row>
    <row r="107" spans="1:12">
      <c r="A107" s="258"/>
      <c r="B107" s="361"/>
      <c r="C107" s="256" t="s">
        <v>819</v>
      </c>
      <c r="D107" s="361" t="s">
        <v>698</v>
      </c>
      <c r="E107" s="361" t="s">
        <v>1756</v>
      </c>
      <c r="F107" s="361">
        <v>12</v>
      </c>
      <c r="G107" s="361" t="s">
        <v>1804</v>
      </c>
      <c r="H107" s="364">
        <v>12</v>
      </c>
      <c r="I107" s="365">
        <v>7700</v>
      </c>
      <c r="J107" s="363">
        <v>92400</v>
      </c>
      <c r="K107" s="16"/>
    </row>
    <row r="108" spans="1:12">
      <c r="A108" s="258"/>
      <c r="B108" s="13"/>
      <c r="C108" s="256" t="s">
        <v>819</v>
      </c>
      <c r="D108" s="13" t="s">
        <v>667</v>
      </c>
      <c r="E108" s="13" t="s">
        <v>808</v>
      </c>
      <c r="F108" s="13">
        <v>17</v>
      </c>
      <c r="G108" s="13" t="s">
        <v>706</v>
      </c>
      <c r="H108" s="67">
        <f t="shared" si="9"/>
        <v>17</v>
      </c>
      <c r="I108" s="60">
        <v>2000</v>
      </c>
      <c r="J108" s="91">
        <f t="shared" si="10"/>
        <v>34000</v>
      </c>
      <c r="K108" s="16"/>
    </row>
    <row r="109" spans="1:12">
      <c r="A109" s="258"/>
      <c r="B109" s="109"/>
      <c r="C109" s="256" t="s">
        <v>819</v>
      </c>
      <c r="D109" s="109" t="s">
        <v>817</v>
      </c>
      <c r="E109" s="109" t="s">
        <v>640</v>
      </c>
      <c r="F109" s="109">
        <v>1</v>
      </c>
      <c r="G109" s="109" t="s">
        <v>809</v>
      </c>
      <c r="H109" s="114">
        <f t="shared" si="9"/>
        <v>1</v>
      </c>
      <c r="I109" s="115">
        <v>105000</v>
      </c>
      <c r="J109" s="116">
        <f t="shared" si="10"/>
        <v>105000</v>
      </c>
      <c r="K109" s="126"/>
    </row>
    <row r="110" spans="1:12">
      <c r="A110" s="258"/>
      <c r="B110" s="109"/>
      <c r="C110" s="256" t="s">
        <v>819</v>
      </c>
      <c r="D110" s="109" t="s">
        <v>818</v>
      </c>
      <c r="E110" s="109" t="s">
        <v>818</v>
      </c>
      <c r="F110" s="109">
        <v>1</v>
      </c>
      <c r="G110" s="109" t="s">
        <v>643</v>
      </c>
      <c r="H110" s="114">
        <f t="shared" si="9"/>
        <v>1</v>
      </c>
      <c r="I110" s="127">
        <f>(90*2700)+300000</f>
        <v>543000</v>
      </c>
      <c r="J110" s="116">
        <f t="shared" si="10"/>
        <v>543000</v>
      </c>
      <c r="K110" s="126" t="s">
        <v>644</v>
      </c>
    </row>
    <row r="111" spans="1:12">
      <c r="A111" s="258"/>
      <c r="B111" s="13"/>
      <c r="C111" s="13" t="s">
        <v>819</v>
      </c>
      <c r="D111" s="13" t="s">
        <v>113</v>
      </c>
      <c r="E111" s="13" t="s">
        <v>113</v>
      </c>
      <c r="F111" s="13">
        <v>1</v>
      </c>
      <c r="G111" s="13" t="s">
        <v>240</v>
      </c>
      <c r="H111" s="67">
        <f t="shared" si="9"/>
        <v>1</v>
      </c>
      <c r="I111" s="60">
        <v>13400</v>
      </c>
      <c r="J111" s="91">
        <f t="shared" si="10"/>
        <v>13400</v>
      </c>
      <c r="K111" s="16"/>
    </row>
    <row r="112" spans="1:12">
      <c r="A112" s="258"/>
      <c r="B112" s="13"/>
      <c r="C112" s="13" t="s">
        <v>819</v>
      </c>
      <c r="D112" s="13" t="s">
        <v>647</v>
      </c>
      <c r="E112" s="13" t="s">
        <v>830</v>
      </c>
      <c r="F112" s="13">
        <v>1</v>
      </c>
      <c r="G112" s="13" t="s">
        <v>680</v>
      </c>
      <c r="H112" s="67">
        <f t="shared" si="9"/>
        <v>1</v>
      </c>
      <c r="I112" s="60">
        <v>2500</v>
      </c>
      <c r="J112" s="91">
        <f t="shared" si="10"/>
        <v>2500</v>
      </c>
      <c r="K112" s="16" t="s">
        <v>646</v>
      </c>
    </row>
    <row r="113" spans="1:11">
      <c r="A113" s="258"/>
      <c r="B113" s="13"/>
      <c r="C113" s="13" t="s">
        <v>819</v>
      </c>
      <c r="D113" s="13" t="s">
        <v>812</v>
      </c>
      <c r="E113" s="13" t="s">
        <v>811</v>
      </c>
      <c r="F113" s="13">
        <v>1</v>
      </c>
      <c r="G113" s="13" t="s">
        <v>1685</v>
      </c>
      <c r="H113" s="67">
        <f t="shared" si="9"/>
        <v>1</v>
      </c>
      <c r="I113" s="133">
        <v>1700</v>
      </c>
      <c r="J113" s="91">
        <f t="shared" si="10"/>
        <v>1700</v>
      </c>
      <c r="K113" s="16"/>
    </row>
    <row r="114" spans="1:11">
      <c r="A114" s="258"/>
      <c r="B114" s="13"/>
      <c r="C114" s="13" t="s">
        <v>819</v>
      </c>
      <c r="D114" s="13" t="s">
        <v>1765</v>
      </c>
      <c r="E114" s="13" t="s">
        <v>1760</v>
      </c>
      <c r="F114" s="13">
        <v>1</v>
      </c>
      <c r="G114" s="13" t="s">
        <v>733</v>
      </c>
      <c r="H114" s="67">
        <v>1</v>
      </c>
      <c r="I114" s="325">
        <v>45034</v>
      </c>
      <c r="J114" s="317">
        <f t="shared" si="10"/>
        <v>45034</v>
      </c>
      <c r="K114" s="16"/>
    </row>
    <row r="115" spans="1:11">
      <c r="A115" s="258"/>
      <c r="B115" s="13"/>
      <c r="C115" s="13" t="s">
        <v>819</v>
      </c>
      <c r="D115" s="13" t="s">
        <v>1763</v>
      </c>
      <c r="E115" s="13" t="s">
        <v>1761</v>
      </c>
      <c r="F115" s="13">
        <v>1</v>
      </c>
      <c r="G115" s="13" t="s">
        <v>733</v>
      </c>
      <c r="H115" s="67">
        <v>1</v>
      </c>
      <c r="I115" s="326"/>
      <c r="J115" s="318"/>
      <c r="K115" s="16"/>
    </row>
    <row r="116" spans="1:11">
      <c r="A116" s="258"/>
      <c r="B116" s="13"/>
      <c r="C116" s="13" t="s">
        <v>819</v>
      </c>
      <c r="D116" s="13" t="s">
        <v>1764</v>
      </c>
      <c r="E116" s="13" t="s">
        <v>1762</v>
      </c>
      <c r="F116" s="13">
        <v>1</v>
      </c>
      <c r="G116" s="13" t="s">
        <v>733</v>
      </c>
      <c r="H116" s="67">
        <v>1</v>
      </c>
      <c r="I116" s="326"/>
      <c r="J116" s="318"/>
      <c r="K116" s="16"/>
    </row>
    <row r="117" spans="1:11">
      <c r="A117" s="258"/>
      <c r="B117" s="361"/>
      <c r="C117" s="256" t="s">
        <v>819</v>
      </c>
      <c r="D117" s="361" t="s">
        <v>1772</v>
      </c>
      <c r="E117" s="361" t="s">
        <v>1780</v>
      </c>
      <c r="F117" s="361">
        <v>1</v>
      </c>
      <c r="G117" s="361" t="s">
        <v>733</v>
      </c>
      <c r="H117" s="364">
        <v>1</v>
      </c>
      <c r="I117" s="326"/>
      <c r="J117" s="318"/>
      <c r="K117" s="16"/>
    </row>
    <row r="118" spans="1:11">
      <c r="A118" s="258"/>
      <c r="B118" s="361"/>
      <c r="C118" s="256" t="s">
        <v>819</v>
      </c>
      <c r="D118" s="361" t="s">
        <v>1774</v>
      </c>
      <c r="E118" s="361" t="s">
        <v>1782</v>
      </c>
      <c r="F118" s="361">
        <v>1</v>
      </c>
      <c r="G118" s="361" t="s">
        <v>733</v>
      </c>
      <c r="H118" s="364">
        <v>1</v>
      </c>
      <c r="I118" s="326"/>
      <c r="J118" s="318"/>
      <c r="K118" s="16"/>
    </row>
    <row r="119" spans="1:11">
      <c r="A119" s="258"/>
      <c r="B119" s="361"/>
      <c r="C119" s="256" t="s">
        <v>819</v>
      </c>
      <c r="D119" s="361" t="s">
        <v>1768</v>
      </c>
      <c r="E119" s="361" t="s">
        <v>1776</v>
      </c>
      <c r="F119" s="361">
        <v>1</v>
      </c>
      <c r="G119" s="361" t="s">
        <v>733</v>
      </c>
      <c r="H119" s="364">
        <v>1</v>
      </c>
      <c r="I119" s="326"/>
      <c r="J119" s="318"/>
      <c r="K119" s="16"/>
    </row>
    <row r="120" spans="1:11">
      <c r="A120" s="258"/>
      <c r="B120" s="361"/>
      <c r="C120" s="256" t="s">
        <v>819</v>
      </c>
      <c r="D120" s="361" t="s">
        <v>1770</v>
      </c>
      <c r="E120" s="361" t="s">
        <v>1778</v>
      </c>
      <c r="F120" s="361">
        <v>1</v>
      </c>
      <c r="G120" s="361" t="s">
        <v>733</v>
      </c>
      <c r="H120" s="364">
        <v>1</v>
      </c>
      <c r="I120" s="326"/>
      <c r="J120" s="318"/>
      <c r="K120" s="16"/>
    </row>
    <row r="121" spans="1:11">
      <c r="A121" s="258"/>
      <c r="B121" s="361"/>
      <c r="C121" s="256" t="s">
        <v>819</v>
      </c>
      <c r="D121" s="361" t="s">
        <v>1769</v>
      </c>
      <c r="E121" s="361" t="s">
        <v>1777</v>
      </c>
      <c r="F121" s="361">
        <v>1</v>
      </c>
      <c r="G121" s="361" t="s">
        <v>733</v>
      </c>
      <c r="H121" s="364">
        <v>1</v>
      </c>
      <c r="I121" s="326"/>
      <c r="J121" s="318"/>
      <c r="K121" s="16"/>
    </row>
    <row r="122" spans="1:11">
      <c r="A122" s="258"/>
      <c r="B122" s="361"/>
      <c r="C122" s="256" t="s">
        <v>819</v>
      </c>
      <c r="D122" s="361" t="s">
        <v>1771</v>
      </c>
      <c r="E122" s="361" t="s">
        <v>1779</v>
      </c>
      <c r="F122" s="361">
        <v>1</v>
      </c>
      <c r="G122" s="361" t="s">
        <v>733</v>
      </c>
      <c r="H122" s="364">
        <v>1</v>
      </c>
      <c r="I122" s="326"/>
      <c r="J122" s="318"/>
      <c r="K122" s="16"/>
    </row>
    <row r="123" spans="1:11">
      <c r="A123" s="258"/>
      <c r="B123" s="13"/>
      <c r="C123" s="256" t="s">
        <v>819</v>
      </c>
      <c r="D123" s="13" t="s">
        <v>732</v>
      </c>
      <c r="E123" s="13" t="s">
        <v>752</v>
      </c>
      <c r="F123" s="13">
        <v>2</v>
      </c>
      <c r="G123" s="13" t="s">
        <v>733</v>
      </c>
      <c r="H123" s="67">
        <f t="shared" si="9"/>
        <v>2</v>
      </c>
      <c r="I123" s="327"/>
      <c r="J123" s="319"/>
      <c r="K123" s="16"/>
    </row>
    <row r="124" spans="1:11">
      <c r="A124" s="258"/>
      <c r="B124" s="13"/>
      <c r="C124" s="256" t="s">
        <v>819</v>
      </c>
      <c r="D124" s="13" t="s">
        <v>945</v>
      </c>
      <c r="E124" s="13" t="s">
        <v>946</v>
      </c>
      <c r="F124" s="13">
        <v>6</v>
      </c>
      <c r="G124" s="13" t="s">
        <v>1685</v>
      </c>
      <c r="H124" s="67">
        <f t="shared" si="9"/>
        <v>6</v>
      </c>
      <c r="I124" s="133">
        <v>70</v>
      </c>
      <c r="J124" s="91">
        <f t="shared" ref="J124" si="11">H124*I124</f>
        <v>420</v>
      </c>
      <c r="K124" s="16"/>
    </row>
    <row r="125" spans="1:11">
      <c r="A125" s="258"/>
      <c r="B125" s="13"/>
      <c r="C125" s="256" t="s">
        <v>819</v>
      </c>
      <c r="D125" s="13" t="s">
        <v>650</v>
      </c>
      <c r="E125" s="13" t="s">
        <v>754</v>
      </c>
      <c r="F125" s="13">
        <v>1</v>
      </c>
      <c r="G125" s="13" t="s">
        <v>713</v>
      </c>
      <c r="H125" s="13">
        <f t="shared" si="9"/>
        <v>1</v>
      </c>
      <c r="I125" s="60">
        <v>468</v>
      </c>
      <c r="J125" s="91">
        <f t="shared" ref="J125:J130" si="12">H125*I125</f>
        <v>468</v>
      </c>
      <c r="K125" s="16"/>
    </row>
    <row r="126" spans="1:11">
      <c r="A126" s="258"/>
      <c r="B126" s="13"/>
      <c r="C126" s="256" t="s">
        <v>819</v>
      </c>
      <c r="D126" s="13" t="s">
        <v>701</v>
      </c>
      <c r="E126" s="13" t="s">
        <v>703</v>
      </c>
      <c r="F126" s="13">
        <v>24</v>
      </c>
      <c r="G126" s="13" t="s">
        <v>709</v>
      </c>
      <c r="H126" s="13">
        <f t="shared" si="9"/>
        <v>24</v>
      </c>
      <c r="I126" s="60">
        <v>30</v>
      </c>
      <c r="J126" s="91">
        <f t="shared" si="12"/>
        <v>720</v>
      </c>
      <c r="K126" s="16"/>
    </row>
    <row r="127" spans="1:11">
      <c r="A127" s="258"/>
      <c r="B127" s="13"/>
      <c r="C127" s="256" t="s">
        <v>819</v>
      </c>
      <c r="D127" s="13" t="s">
        <v>702</v>
      </c>
      <c r="E127" s="13" t="s">
        <v>704</v>
      </c>
      <c r="F127" s="13">
        <v>24</v>
      </c>
      <c r="G127" s="13" t="s">
        <v>708</v>
      </c>
      <c r="H127" s="13">
        <f t="shared" si="9"/>
        <v>24</v>
      </c>
      <c r="I127" s="60">
        <v>60</v>
      </c>
      <c r="J127" s="91">
        <f t="shared" si="12"/>
        <v>1440</v>
      </c>
      <c r="K127" s="16"/>
    </row>
    <row r="128" spans="1:11">
      <c r="A128" s="258"/>
      <c r="B128" s="13"/>
      <c r="C128" s="13" t="s">
        <v>819</v>
      </c>
      <c r="D128" s="13" t="s">
        <v>724</v>
      </c>
      <c r="E128" s="13" t="s">
        <v>730</v>
      </c>
      <c r="F128" s="13">
        <v>1</v>
      </c>
      <c r="G128" s="13" t="s">
        <v>713</v>
      </c>
      <c r="H128" s="13">
        <f t="shared" si="9"/>
        <v>1</v>
      </c>
      <c r="I128" s="60">
        <v>295</v>
      </c>
      <c r="J128" s="91">
        <f t="shared" si="12"/>
        <v>295</v>
      </c>
      <c r="K128" s="16"/>
    </row>
    <row r="129" spans="1:12">
      <c r="A129" s="258"/>
      <c r="B129" s="13"/>
      <c r="C129" s="13" t="s">
        <v>819</v>
      </c>
      <c r="D129" s="13" t="s">
        <v>726</v>
      </c>
      <c r="E129" s="13" t="s">
        <v>729</v>
      </c>
      <c r="F129" s="13">
        <v>1</v>
      </c>
      <c r="G129" s="13" t="s">
        <v>713</v>
      </c>
      <c r="H129" s="15">
        <f t="shared" si="9"/>
        <v>1</v>
      </c>
      <c r="I129" s="55">
        <v>357</v>
      </c>
      <c r="J129" s="91">
        <f t="shared" si="12"/>
        <v>357</v>
      </c>
      <c r="K129" s="16"/>
    </row>
    <row r="130" spans="1:12">
      <c r="A130" s="258"/>
      <c r="B130" s="13"/>
      <c r="C130" s="13" t="s">
        <v>819</v>
      </c>
      <c r="D130" s="13" t="s">
        <v>651</v>
      </c>
      <c r="E130" s="13" t="s">
        <v>669</v>
      </c>
      <c r="F130" s="13">
        <v>24</v>
      </c>
      <c r="G130" s="320" t="s">
        <v>710</v>
      </c>
      <c r="H130" s="320">
        <f t="shared" si="9"/>
        <v>24</v>
      </c>
      <c r="I130" s="314">
        <v>1280</v>
      </c>
      <c r="J130" s="317">
        <f t="shared" si="12"/>
        <v>30720</v>
      </c>
      <c r="K130" s="16"/>
    </row>
    <row r="131" spans="1:12">
      <c r="A131" s="258"/>
      <c r="B131" s="13"/>
      <c r="C131" s="13" t="s">
        <v>819</v>
      </c>
      <c r="D131" s="13" t="s">
        <v>652</v>
      </c>
      <c r="E131" s="13" t="s">
        <v>638</v>
      </c>
      <c r="F131" s="13">
        <v>24</v>
      </c>
      <c r="G131" s="321"/>
      <c r="H131" s="321">
        <f t="shared" si="9"/>
        <v>24</v>
      </c>
      <c r="I131" s="316"/>
      <c r="J131" s="319"/>
      <c r="K131" s="16"/>
    </row>
    <row r="132" spans="1:12">
      <c r="A132" s="258"/>
      <c r="B132" s="13"/>
      <c r="C132" s="13" t="s">
        <v>819</v>
      </c>
      <c r="D132" s="13" t="s">
        <v>722</v>
      </c>
      <c r="E132" s="13" t="s">
        <v>755</v>
      </c>
      <c r="F132" s="13">
        <v>1</v>
      </c>
      <c r="G132" s="13" t="s">
        <v>659</v>
      </c>
      <c r="H132" s="13">
        <f t="shared" si="9"/>
        <v>1</v>
      </c>
      <c r="I132" s="60">
        <v>1200</v>
      </c>
      <c r="J132" s="91">
        <f t="shared" ref="J132:J142" si="13">H132*I132</f>
        <v>1200</v>
      </c>
      <c r="K132" s="16"/>
    </row>
    <row r="133" spans="1:12">
      <c r="A133" s="258"/>
      <c r="B133" s="13"/>
      <c r="C133" s="13" t="s">
        <v>819</v>
      </c>
      <c r="D133" s="13" t="s">
        <v>717</v>
      </c>
      <c r="E133" s="13" t="s">
        <v>718</v>
      </c>
      <c r="F133" s="13">
        <v>2</v>
      </c>
      <c r="G133" s="13" t="s">
        <v>681</v>
      </c>
      <c r="H133" s="13">
        <f t="shared" si="9"/>
        <v>2</v>
      </c>
      <c r="I133" s="60">
        <v>1800</v>
      </c>
      <c r="J133" s="91">
        <f t="shared" si="13"/>
        <v>3600</v>
      </c>
      <c r="K133" s="16"/>
    </row>
    <row r="134" spans="1:12">
      <c r="A134" s="258"/>
      <c r="B134" s="13"/>
      <c r="C134" s="13" t="s">
        <v>819</v>
      </c>
      <c r="D134" s="13" t="s">
        <v>1805</v>
      </c>
      <c r="E134" s="13" t="s">
        <v>1806</v>
      </c>
      <c r="F134" s="13">
        <v>18</v>
      </c>
      <c r="G134" s="13" t="s">
        <v>1809</v>
      </c>
      <c r="H134" s="13">
        <v>18</v>
      </c>
      <c r="I134" s="60">
        <v>2700</v>
      </c>
      <c r="J134" s="91">
        <v>48600</v>
      </c>
      <c r="K134" s="16"/>
    </row>
    <row r="135" spans="1:12">
      <c r="A135" s="258"/>
      <c r="B135" s="13"/>
      <c r="C135" s="13" t="s">
        <v>819</v>
      </c>
      <c r="D135" s="13" t="s">
        <v>1807</v>
      </c>
      <c r="E135" s="13" t="s">
        <v>1808</v>
      </c>
      <c r="F135" s="13">
        <v>18</v>
      </c>
      <c r="G135" s="13" t="s">
        <v>1809</v>
      </c>
      <c r="H135" s="13">
        <v>18</v>
      </c>
      <c r="I135" s="60"/>
      <c r="J135" s="91">
        <v>0</v>
      </c>
      <c r="K135" s="16"/>
    </row>
    <row r="136" spans="1:12">
      <c r="A136" s="258"/>
      <c r="B136" s="361"/>
      <c r="C136" s="256" t="s">
        <v>819</v>
      </c>
      <c r="D136" s="361" t="s">
        <v>1784</v>
      </c>
      <c r="E136" s="361" t="s">
        <v>1786</v>
      </c>
      <c r="F136" s="361">
        <v>18</v>
      </c>
      <c r="G136" s="361" t="s">
        <v>1809</v>
      </c>
      <c r="H136" s="361">
        <v>18</v>
      </c>
      <c r="I136" s="362"/>
      <c r="J136" s="363">
        <v>0</v>
      </c>
      <c r="K136" s="16"/>
    </row>
    <row r="137" spans="1:12">
      <c r="A137" s="258"/>
      <c r="B137" s="13"/>
      <c r="C137" s="256" t="s">
        <v>819</v>
      </c>
      <c r="D137" s="13" t="s">
        <v>661</v>
      </c>
      <c r="E137" s="13" t="s">
        <v>663</v>
      </c>
      <c r="F137" s="13">
        <v>2</v>
      </c>
      <c r="G137" s="13" t="s">
        <v>569</v>
      </c>
      <c r="H137" s="13">
        <f t="shared" si="9"/>
        <v>2</v>
      </c>
      <c r="I137" s="60">
        <v>2130</v>
      </c>
      <c r="J137" s="91">
        <f t="shared" si="13"/>
        <v>4260</v>
      </c>
      <c r="K137" s="16"/>
    </row>
    <row r="138" spans="1:12">
      <c r="A138" s="258"/>
      <c r="B138" s="13"/>
      <c r="C138" s="256" t="s">
        <v>819</v>
      </c>
      <c r="D138" s="13" t="s">
        <v>662</v>
      </c>
      <c r="E138" s="13" t="s">
        <v>664</v>
      </c>
      <c r="F138" s="13">
        <v>2</v>
      </c>
      <c r="G138" s="13" t="s">
        <v>716</v>
      </c>
      <c r="H138" s="13">
        <f t="shared" si="9"/>
        <v>2</v>
      </c>
      <c r="I138" s="60">
        <f>6000+3370</f>
        <v>9370</v>
      </c>
      <c r="J138" s="91">
        <f t="shared" si="13"/>
        <v>18740</v>
      </c>
      <c r="K138" s="16"/>
    </row>
    <row r="139" spans="1:12">
      <c r="A139" s="258"/>
      <c r="B139" s="13"/>
      <c r="C139" s="256" t="s">
        <v>819</v>
      </c>
      <c r="D139" s="13" t="s">
        <v>682</v>
      </c>
      <c r="E139" s="13" t="s">
        <v>683</v>
      </c>
      <c r="F139" s="13">
        <v>1</v>
      </c>
      <c r="G139" s="13" t="s">
        <v>684</v>
      </c>
      <c r="H139" s="13">
        <f t="shared" si="9"/>
        <v>1</v>
      </c>
      <c r="I139" s="60">
        <v>4300</v>
      </c>
      <c r="J139" s="91">
        <f t="shared" si="13"/>
        <v>4300</v>
      </c>
      <c r="K139" s="16"/>
    </row>
    <row r="140" spans="1:12">
      <c r="A140" s="264"/>
      <c r="B140" s="13"/>
      <c r="C140" s="13" t="s">
        <v>819</v>
      </c>
      <c r="D140" s="13"/>
      <c r="E140" s="13" t="s">
        <v>968</v>
      </c>
      <c r="F140" s="13">
        <v>1</v>
      </c>
      <c r="G140" s="13" t="s">
        <v>970</v>
      </c>
      <c r="H140" s="13">
        <f t="shared" si="9"/>
        <v>1</v>
      </c>
      <c r="I140" s="60">
        <f>21000+6000</f>
        <v>27000</v>
      </c>
      <c r="J140" s="91">
        <f t="shared" si="13"/>
        <v>27000</v>
      </c>
      <c r="K140" s="16"/>
    </row>
    <row r="141" spans="1:12" ht="17.5" thickBot="1">
      <c r="A141" s="264"/>
      <c r="B141" s="13"/>
      <c r="C141" s="13" t="s">
        <v>819</v>
      </c>
      <c r="D141" s="13"/>
      <c r="E141" s="13" t="s">
        <v>969</v>
      </c>
      <c r="F141" s="13">
        <v>2</v>
      </c>
      <c r="G141" s="13" t="s">
        <v>971</v>
      </c>
      <c r="H141" s="13">
        <f t="shared" si="9"/>
        <v>2</v>
      </c>
      <c r="I141" s="60">
        <v>900</v>
      </c>
      <c r="J141" s="91">
        <f t="shared" si="13"/>
        <v>1800</v>
      </c>
      <c r="K141" s="16"/>
    </row>
    <row r="142" spans="1:12" ht="26" thickBot="1">
      <c r="A142" s="259"/>
      <c r="B142" s="28"/>
      <c r="C142" s="28" t="s">
        <v>819</v>
      </c>
      <c r="D142" s="28" t="s">
        <v>687</v>
      </c>
      <c r="E142" s="28" t="s">
        <v>688</v>
      </c>
      <c r="F142" s="28">
        <v>1</v>
      </c>
      <c r="G142" s="28" t="s">
        <v>686</v>
      </c>
      <c r="H142" s="28">
        <f t="shared" si="9"/>
        <v>1</v>
      </c>
      <c r="I142" s="78">
        <v>900</v>
      </c>
      <c r="J142" s="93">
        <f t="shared" si="13"/>
        <v>900</v>
      </c>
      <c r="K142" s="90"/>
      <c r="L142" s="97">
        <f>SUM(J99:J142)</f>
        <v>1255054</v>
      </c>
    </row>
    <row r="143" spans="1:12">
      <c r="A143" s="257">
        <v>4</v>
      </c>
      <c r="B143" s="11"/>
      <c r="C143" s="11" t="s">
        <v>822</v>
      </c>
      <c r="D143" s="11" t="s">
        <v>641</v>
      </c>
      <c r="E143" s="11" t="s">
        <v>824</v>
      </c>
      <c r="F143" s="11">
        <v>1</v>
      </c>
      <c r="G143" s="88" t="s">
        <v>250</v>
      </c>
      <c r="H143" s="88">
        <f>$J$4*F143</f>
        <v>1</v>
      </c>
      <c r="I143" s="54">
        <v>100000</v>
      </c>
      <c r="J143" s="92">
        <f>H143*I143</f>
        <v>100000</v>
      </c>
      <c r="K143" s="12"/>
    </row>
    <row r="144" spans="1:12">
      <c r="A144" s="258"/>
      <c r="B144" s="13"/>
      <c r="C144" s="13" t="s">
        <v>821</v>
      </c>
      <c r="D144" s="13" t="s">
        <v>642</v>
      </c>
      <c r="E144" s="13" t="s">
        <v>665</v>
      </c>
      <c r="F144" s="13">
        <v>1</v>
      </c>
      <c r="G144" s="67" t="s">
        <v>250</v>
      </c>
      <c r="H144" s="67">
        <f t="shared" ref="H144:H186" si="14">$J$4*F144</f>
        <v>1</v>
      </c>
      <c r="I144" s="60">
        <v>23000</v>
      </c>
      <c r="J144" s="91">
        <f t="shared" ref="J144:J158" si="15">H144*I144</f>
        <v>23000</v>
      </c>
      <c r="K144" s="16"/>
    </row>
    <row r="145" spans="1:11">
      <c r="A145" s="258"/>
      <c r="B145" s="13"/>
      <c r="C145" s="13" t="s">
        <v>821</v>
      </c>
      <c r="D145" s="13" t="s">
        <v>666</v>
      </c>
      <c r="E145" s="13" t="s">
        <v>693</v>
      </c>
      <c r="F145" s="13">
        <v>1</v>
      </c>
      <c r="G145" s="67" t="s">
        <v>250</v>
      </c>
      <c r="H145" s="67">
        <f t="shared" si="14"/>
        <v>1</v>
      </c>
      <c r="I145" s="60">
        <v>5200</v>
      </c>
      <c r="J145" s="91">
        <f t="shared" si="15"/>
        <v>5200</v>
      </c>
      <c r="K145" s="16"/>
    </row>
    <row r="146" spans="1:11">
      <c r="A146" s="258"/>
      <c r="B146" s="13"/>
      <c r="C146" s="13" t="s">
        <v>821</v>
      </c>
      <c r="D146" s="13" t="s">
        <v>1798</v>
      </c>
      <c r="E146" s="13" t="s">
        <v>1799</v>
      </c>
      <c r="F146" s="13">
        <v>1</v>
      </c>
      <c r="G146" s="13" t="s">
        <v>1793</v>
      </c>
      <c r="H146" s="67">
        <v>1</v>
      </c>
      <c r="I146" s="133">
        <v>50000</v>
      </c>
      <c r="J146" s="91">
        <v>50000</v>
      </c>
      <c r="K146" s="16"/>
    </row>
    <row r="147" spans="1:11">
      <c r="A147" s="258"/>
      <c r="B147" s="361"/>
      <c r="C147" s="256" t="s">
        <v>821</v>
      </c>
      <c r="D147" s="361" t="s">
        <v>1800</v>
      </c>
      <c r="E147" s="361" t="s">
        <v>1801</v>
      </c>
      <c r="F147" s="361">
        <v>1</v>
      </c>
      <c r="G147" s="361" t="s">
        <v>1793</v>
      </c>
      <c r="H147" s="364">
        <v>1</v>
      </c>
      <c r="I147" s="365"/>
      <c r="J147" s="363">
        <v>0</v>
      </c>
      <c r="K147" s="16"/>
    </row>
    <row r="148" spans="1:11">
      <c r="A148" s="258"/>
      <c r="B148" s="361"/>
      <c r="C148" s="256" t="s">
        <v>821</v>
      </c>
      <c r="D148" s="361" t="s">
        <v>1802</v>
      </c>
      <c r="E148" s="361" t="s">
        <v>1803</v>
      </c>
      <c r="F148" s="361">
        <v>1</v>
      </c>
      <c r="G148" s="361" t="s">
        <v>1793</v>
      </c>
      <c r="H148" s="364">
        <v>1</v>
      </c>
      <c r="I148" s="365"/>
      <c r="J148" s="363">
        <v>0</v>
      </c>
      <c r="K148" s="16"/>
    </row>
    <row r="149" spans="1:11">
      <c r="A149" s="258"/>
      <c r="B149" s="13"/>
      <c r="C149" s="13" t="s">
        <v>821</v>
      </c>
      <c r="D149" s="13" t="s">
        <v>695</v>
      </c>
      <c r="E149" s="13" t="s">
        <v>696</v>
      </c>
      <c r="F149" s="13">
        <v>1</v>
      </c>
      <c r="G149" s="13" t="s">
        <v>705</v>
      </c>
      <c r="H149" s="67">
        <f t="shared" si="14"/>
        <v>1</v>
      </c>
      <c r="I149" s="133">
        <v>95000</v>
      </c>
      <c r="J149" s="91">
        <f t="shared" si="15"/>
        <v>95000</v>
      </c>
      <c r="K149" s="16"/>
    </row>
    <row r="150" spans="1:11">
      <c r="A150" s="258"/>
      <c r="B150" s="13"/>
      <c r="C150" s="13" t="s">
        <v>821</v>
      </c>
      <c r="D150" s="13" t="s">
        <v>1754</v>
      </c>
      <c r="E150" s="13" t="s">
        <v>1755</v>
      </c>
      <c r="F150" s="13">
        <v>24</v>
      </c>
      <c r="G150" s="13" t="s">
        <v>1804</v>
      </c>
      <c r="H150" s="67">
        <v>24</v>
      </c>
      <c r="I150" s="133"/>
      <c r="J150" s="91">
        <v>0</v>
      </c>
      <c r="K150" s="16"/>
    </row>
    <row r="151" spans="1:11">
      <c r="A151" s="258"/>
      <c r="B151" s="361"/>
      <c r="C151" s="256" t="s">
        <v>821</v>
      </c>
      <c r="D151" s="361" t="s">
        <v>698</v>
      </c>
      <c r="E151" s="361" t="s">
        <v>1756</v>
      </c>
      <c r="F151" s="361">
        <v>12</v>
      </c>
      <c r="G151" s="361" t="s">
        <v>1804</v>
      </c>
      <c r="H151" s="364">
        <v>12</v>
      </c>
      <c r="I151" s="365">
        <v>7700</v>
      </c>
      <c r="J151" s="363">
        <v>92400</v>
      </c>
      <c r="K151" s="16"/>
    </row>
    <row r="152" spans="1:11">
      <c r="A152" s="258"/>
      <c r="B152" s="13"/>
      <c r="C152" s="256" t="s">
        <v>821</v>
      </c>
      <c r="D152" s="13" t="s">
        <v>667</v>
      </c>
      <c r="E152" s="13" t="s">
        <v>808</v>
      </c>
      <c r="F152" s="13">
        <v>17</v>
      </c>
      <c r="G152" s="13" t="s">
        <v>706</v>
      </c>
      <c r="H152" s="67">
        <f t="shared" si="14"/>
        <v>17</v>
      </c>
      <c r="I152" s="60">
        <v>2000</v>
      </c>
      <c r="J152" s="91">
        <f t="shared" si="15"/>
        <v>34000</v>
      </c>
      <c r="K152" s="16"/>
    </row>
    <row r="153" spans="1:11">
      <c r="A153" s="258"/>
      <c r="B153" s="109"/>
      <c r="C153" s="256" t="s">
        <v>821</v>
      </c>
      <c r="D153" s="109" t="s">
        <v>952</v>
      </c>
      <c r="E153" s="109" t="s">
        <v>640</v>
      </c>
      <c r="F153" s="109">
        <v>2</v>
      </c>
      <c r="G153" s="109" t="s">
        <v>240</v>
      </c>
      <c r="H153" s="114">
        <f t="shared" si="14"/>
        <v>2</v>
      </c>
      <c r="I153" s="115">
        <v>171000</v>
      </c>
      <c r="J153" s="116">
        <f t="shared" si="15"/>
        <v>342000</v>
      </c>
      <c r="K153" s="126"/>
    </row>
    <row r="154" spans="1:11">
      <c r="A154" s="258"/>
      <c r="B154" s="109"/>
      <c r="C154" s="109" t="s">
        <v>821</v>
      </c>
      <c r="D154" s="109" t="s">
        <v>1654</v>
      </c>
      <c r="E154" s="109" t="s">
        <v>1654</v>
      </c>
      <c r="F154" s="109">
        <v>1</v>
      </c>
      <c r="G154" s="109" t="s">
        <v>643</v>
      </c>
      <c r="H154" s="114">
        <f t="shared" si="14"/>
        <v>1</v>
      </c>
      <c r="I154" s="127">
        <f>(108*2700)+300000</f>
        <v>591600</v>
      </c>
      <c r="J154" s="116">
        <f t="shared" si="15"/>
        <v>591600</v>
      </c>
      <c r="K154" s="126" t="s">
        <v>644</v>
      </c>
    </row>
    <row r="155" spans="1:11">
      <c r="A155" s="258"/>
      <c r="B155" s="13"/>
      <c r="C155" s="13" t="s">
        <v>821</v>
      </c>
      <c r="D155" s="13" t="s">
        <v>113</v>
      </c>
      <c r="E155" s="13" t="s">
        <v>113</v>
      </c>
      <c r="F155" s="13">
        <v>1</v>
      </c>
      <c r="G155" s="13" t="s">
        <v>240</v>
      </c>
      <c r="H155" s="67">
        <f t="shared" si="14"/>
        <v>1</v>
      </c>
      <c r="I155" s="60">
        <v>13400</v>
      </c>
      <c r="J155" s="91">
        <f t="shared" si="15"/>
        <v>13400</v>
      </c>
      <c r="K155" s="16"/>
    </row>
    <row r="156" spans="1:11">
      <c r="A156" s="258"/>
      <c r="B156" s="13"/>
      <c r="C156" s="13" t="s">
        <v>821</v>
      </c>
      <c r="D156" s="13" t="s">
        <v>647</v>
      </c>
      <c r="E156" s="13" t="s">
        <v>668</v>
      </c>
      <c r="F156" s="13">
        <v>1</v>
      </c>
      <c r="G156" s="13" t="s">
        <v>680</v>
      </c>
      <c r="H156" s="67">
        <f t="shared" si="14"/>
        <v>1</v>
      </c>
      <c r="I156" s="60">
        <v>2500</v>
      </c>
      <c r="J156" s="91">
        <f t="shared" si="15"/>
        <v>2500</v>
      </c>
      <c r="K156" s="16" t="s">
        <v>646</v>
      </c>
    </row>
    <row r="157" spans="1:11">
      <c r="A157" s="258"/>
      <c r="B157" s="13"/>
      <c r="C157" s="13" t="s">
        <v>821</v>
      </c>
      <c r="D157" s="13" t="s">
        <v>812</v>
      </c>
      <c r="E157" s="13" t="s">
        <v>811</v>
      </c>
      <c r="F157" s="13">
        <v>1</v>
      </c>
      <c r="G157" s="13" t="s">
        <v>1685</v>
      </c>
      <c r="H157" s="67">
        <f t="shared" si="14"/>
        <v>1</v>
      </c>
      <c r="I157" s="133">
        <v>1700</v>
      </c>
      <c r="J157" s="91">
        <f t="shared" si="15"/>
        <v>1700</v>
      </c>
      <c r="K157" s="16"/>
    </row>
    <row r="158" spans="1:11">
      <c r="A158" s="258"/>
      <c r="B158" s="13"/>
      <c r="C158" s="13" t="s">
        <v>821</v>
      </c>
      <c r="D158" s="13" t="s">
        <v>1765</v>
      </c>
      <c r="E158" s="13" t="s">
        <v>1760</v>
      </c>
      <c r="F158" s="13">
        <v>1</v>
      </c>
      <c r="G158" s="13" t="s">
        <v>733</v>
      </c>
      <c r="H158" s="67">
        <v>1</v>
      </c>
      <c r="I158" s="336">
        <v>42640</v>
      </c>
      <c r="J158" s="317">
        <f t="shared" si="15"/>
        <v>42640</v>
      </c>
      <c r="K158" s="16"/>
    </row>
    <row r="159" spans="1:11">
      <c r="A159" s="258"/>
      <c r="B159" s="13"/>
      <c r="C159" s="13" t="s">
        <v>821</v>
      </c>
      <c r="D159" s="13" t="s">
        <v>1763</v>
      </c>
      <c r="E159" s="13" t="s">
        <v>1761</v>
      </c>
      <c r="F159" s="13">
        <v>1</v>
      </c>
      <c r="G159" s="13" t="s">
        <v>733</v>
      </c>
      <c r="H159" s="67">
        <v>1</v>
      </c>
      <c r="I159" s="337"/>
      <c r="J159" s="318"/>
      <c r="K159" s="16"/>
    </row>
    <row r="160" spans="1:11">
      <c r="A160" s="258"/>
      <c r="B160" s="13"/>
      <c r="C160" s="13" t="s">
        <v>821</v>
      </c>
      <c r="D160" s="13" t="s">
        <v>1764</v>
      </c>
      <c r="E160" s="13" t="s">
        <v>1762</v>
      </c>
      <c r="F160" s="13">
        <v>1</v>
      </c>
      <c r="G160" s="13" t="s">
        <v>733</v>
      </c>
      <c r="H160" s="67">
        <v>1</v>
      </c>
      <c r="I160" s="337"/>
      <c r="J160" s="318"/>
      <c r="K160" s="16"/>
    </row>
    <row r="161" spans="1:11">
      <c r="A161" s="258"/>
      <c r="B161" s="361"/>
      <c r="C161" s="256" t="s">
        <v>821</v>
      </c>
      <c r="D161" s="361" t="s">
        <v>1772</v>
      </c>
      <c r="E161" s="361" t="s">
        <v>1780</v>
      </c>
      <c r="F161" s="361">
        <v>1</v>
      </c>
      <c r="G161" s="361" t="s">
        <v>733</v>
      </c>
      <c r="H161" s="364">
        <v>1</v>
      </c>
      <c r="I161" s="337"/>
      <c r="J161" s="318"/>
      <c r="K161" s="16"/>
    </row>
    <row r="162" spans="1:11">
      <c r="A162" s="258"/>
      <c r="B162" s="361"/>
      <c r="C162" s="256" t="s">
        <v>821</v>
      </c>
      <c r="D162" s="361" t="s">
        <v>1774</v>
      </c>
      <c r="E162" s="361" t="s">
        <v>1782</v>
      </c>
      <c r="F162" s="361">
        <v>1</v>
      </c>
      <c r="G162" s="361" t="s">
        <v>733</v>
      </c>
      <c r="H162" s="364">
        <v>1</v>
      </c>
      <c r="I162" s="337"/>
      <c r="J162" s="318"/>
      <c r="K162" s="16"/>
    </row>
    <row r="163" spans="1:11">
      <c r="A163" s="258"/>
      <c r="B163" s="361"/>
      <c r="C163" s="256" t="s">
        <v>821</v>
      </c>
      <c r="D163" s="361" t="s">
        <v>1768</v>
      </c>
      <c r="E163" s="361" t="s">
        <v>1776</v>
      </c>
      <c r="F163" s="361">
        <v>1</v>
      </c>
      <c r="G163" s="361" t="s">
        <v>733</v>
      </c>
      <c r="H163" s="364">
        <v>1</v>
      </c>
      <c r="I163" s="337"/>
      <c r="J163" s="318"/>
      <c r="K163" s="16"/>
    </row>
    <row r="164" spans="1:11">
      <c r="A164" s="258"/>
      <c r="B164" s="361"/>
      <c r="C164" s="256" t="s">
        <v>821</v>
      </c>
      <c r="D164" s="361" t="s">
        <v>1770</v>
      </c>
      <c r="E164" s="361" t="s">
        <v>1778</v>
      </c>
      <c r="F164" s="361">
        <v>1</v>
      </c>
      <c r="G164" s="361" t="s">
        <v>733</v>
      </c>
      <c r="H164" s="364">
        <v>1</v>
      </c>
      <c r="I164" s="337"/>
      <c r="J164" s="318"/>
      <c r="K164" s="16"/>
    </row>
    <row r="165" spans="1:11">
      <c r="A165" s="258"/>
      <c r="B165" s="361"/>
      <c r="C165" s="256" t="s">
        <v>821</v>
      </c>
      <c r="D165" s="361" t="s">
        <v>1769</v>
      </c>
      <c r="E165" s="361" t="s">
        <v>1777</v>
      </c>
      <c r="F165" s="361">
        <v>1</v>
      </c>
      <c r="G165" s="361" t="s">
        <v>733</v>
      </c>
      <c r="H165" s="364">
        <v>1</v>
      </c>
      <c r="I165" s="337"/>
      <c r="J165" s="318"/>
      <c r="K165" s="16"/>
    </row>
    <row r="166" spans="1:11">
      <c r="A166" s="258"/>
      <c r="B166" s="361"/>
      <c r="C166" s="256" t="s">
        <v>821</v>
      </c>
      <c r="D166" s="361" t="s">
        <v>1771</v>
      </c>
      <c r="E166" s="361" t="s">
        <v>1779</v>
      </c>
      <c r="F166" s="361">
        <v>1</v>
      </c>
      <c r="G166" s="361" t="s">
        <v>733</v>
      </c>
      <c r="H166" s="364">
        <v>1</v>
      </c>
      <c r="I166" s="337"/>
      <c r="J166" s="318"/>
      <c r="K166" s="16"/>
    </row>
    <row r="167" spans="1:11">
      <c r="A167" s="258"/>
      <c r="B167" s="13"/>
      <c r="C167" s="256" t="s">
        <v>821</v>
      </c>
      <c r="D167" s="13" t="s">
        <v>732</v>
      </c>
      <c r="E167" s="13" t="s">
        <v>752</v>
      </c>
      <c r="F167" s="13">
        <v>2</v>
      </c>
      <c r="G167" s="13" t="s">
        <v>733</v>
      </c>
      <c r="H167" s="67">
        <f t="shared" si="14"/>
        <v>2</v>
      </c>
      <c r="I167" s="338"/>
      <c r="J167" s="319"/>
      <c r="K167" s="16"/>
    </row>
    <row r="168" spans="1:11">
      <c r="A168" s="258"/>
      <c r="B168" s="13"/>
      <c r="C168" s="256" t="s">
        <v>821</v>
      </c>
      <c r="D168" s="13" t="s">
        <v>945</v>
      </c>
      <c r="E168" s="13" t="s">
        <v>946</v>
      </c>
      <c r="F168" s="13">
        <v>6</v>
      </c>
      <c r="G168" s="13" t="s">
        <v>1685</v>
      </c>
      <c r="H168" s="67">
        <f t="shared" si="14"/>
        <v>6</v>
      </c>
      <c r="I168" s="133">
        <v>70</v>
      </c>
      <c r="J168" s="91">
        <f t="shared" ref="J168" si="16">H168*I168</f>
        <v>420</v>
      </c>
      <c r="K168" s="16"/>
    </row>
    <row r="169" spans="1:11">
      <c r="A169" s="258"/>
      <c r="B169" s="13"/>
      <c r="C169" s="256" t="s">
        <v>821</v>
      </c>
      <c r="D169" s="13" t="s">
        <v>650</v>
      </c>
      <c r="E169" s="13" t="s">
        <v>754</v>
      </c>
      <c r="F169" s="13">
        <v>1</v>
      </c>
      <c r="G169" s="13" t="s">
        <v>713</v>
      </c>
      <c r="H169" s="13">
        <f t="shared" si="14"/>
        <v>1</v>
      </c>
      <c r="I169" s="60">
        <v>468</v>
      </c>
      <c r="J169" s="91">
        <f t="shared" ref="J169:J174" si="17">H169*I169</f>
        <v>468</v>
      </c>
      <c r="K169" s="16"/>
    </row>
    <row r="170" spans="1:11">
      <c r="A170" s="258"/>
      <c r="B170" s="13"/>
      <c r="C170" s="13" t="s">
        <v>821</v>
      </c>
      <c r="D170" s="13" t="s">
        <v>701</v>
      </c>
      <c r="E170" s="13" t="s">
        <v>703</v>
      </c>
      <c r="F170" s="13">
        <v>24</v>
      </c>
      <c r="G170" s="13" t="s">
        <v>709</v>
      </c>
      <c r="H170" s="13">
        <f t="shared" si="14"/>
        <v>24</v>
      </c>
      <c r="I170" s="60">
        <v>30</v>
      </c>
      <c r="J170" s="91">
        <f t="shared" si="17"/>
        <v>720</v>
      </c>
      <c r="K170" s="16"/>
    </row>
    <row r="171" spans="1:11">
      <c r="A171" s="258"/>
      <c r="B171" s="13"/>
      <c r="C171" s="13" t="s">
        <v>821</v>
      </c>
      <c r="D171" s="13" t="s">
        <v>702</v>
      </c>
      <c r="E171" s="13" t="s">
        <v>704</v>
      </c>
      <c r="F171" s="13">
        <v>24</v>
      </c>
      <c r="G171" s="13" t="s">
        <v>708</v>
      </c>
      <c r="H171" s="13">
        <f t="shared" si="14"/>
        <v>24</v>
      </c>
      <c r="I171" s="60">
        <v>60</v>
      </c>
      <c r="J171" s="91">
        <f t="shared" si="17"/>
        <v>1440</v>
      </c>
      <c r="K171" s="16"/>
    </row>
    <row r="172" spans="1:11">
      <c r="A172" s="258"/>
      <c r="B172" s="13"/>
      <c r="C172" s="13" t="s">
        <v>821</v>
      </c>
      <c r="D172" s="13" t="s">
        <v>724</v>
      </c>
      <c r="E172" s="13" t="s">
        <v>730</v>
      </c>
      <c r="F172" s="13">
        <v>1</v>
      </c>
      <c r="G172" s="13" t="s">
        <v>713</v>
      </c>
      <c r="H172" s="13">
        <f t="shared" si="14"/>
        <v>1</v>
      </c>
      <c r="I172" s="60">
        <v>295</v>
      </c>
      <c r="J172" s="91">
        <f t="shared" si="17"/>
        <v>295</v>
      </c>
      <c r="K172" s="16"/>
    </row>
    <row r="173" spans="1:11">
      <c r="A173" s="258"/>
      <c r="B173" s="13"/>
      <c r="C173" s="13" t="s">
        <v>821</v>
      </c>
      <c r="D173" s="13" t="s">
        <v>726</v>
      </c>
      <c r="E173" s="13" t="s">
        <v>729</v>
      </c>
      <c r="F173" s="13">
        <v>1</v>
      </c>
      <c r="G173" s="13" t="s">
        <v>713</v>
      </c>
      <c r="H173" s="15">
        <f t="shared" si="14"/>
        <v>1</v>
      </c>
      <c r="I173" s="55">
        <v>357</v>
      </c>
      <c r="J173" s="91">
        <f t="shared" si="17"/>
        <v>357</v>
      </c>
      <c r="K173" s="16"/>
    </row>
    <row r="174" spans="1:11">
      <c r="A174" s="258"/>
      <c r="B174" s="13"/>
      <c r="C174" s="13" t="s">
        <v>821</v>
      </c>
      <c r="D174" s="13" t="s">
        <v>651</v>
      </c>
      <c r="E174" s="13" t="s">
        <v>669</v>
      </c>
      <c r="F174" s="13">
        <v>24</v>
      </c>
      <c r="G174" s="320" t="s">
        <v>710</v>
      </c>
      <c r="H174" s="320">
        <f t="shared" si="14"/>
        <v>24</v>
      </c>
      <c r="I174" s="314">
        <v>1280</v>
      </c>
      <c r="J174" s="317">
        <f t="shared" si="17"/>
        <v>30720</v>
      </c>
      <c r="K174" s="16"/>
    </row>
    <row r="175" spans="1:11">
      <c r="A175" s="258"/>
      <c r="B175" s="13"/>
      <c r="C175" s="13" t="s">
        <v>821</v>
      </c>
      <c r="D175" s="13" t="s">
        <v>652</v>
      </c>
      <c r="E175" s="13" t="s">
        <v>638</v>
      </c>
      <c r="F175" s="13">
        <v>24</v>
      </c>
      <c r="G175" s="321"/>
      <c r="H175" s="321">
        <f t="shared" si="14"/>
        <v>24</v>
      </c>
      <c r="I175" s="316"/>
      <c r="J175" s="319"/>
      <c r="K175" s="16"/>
    </row>
    <row r="176" spans="1:11">
      <c r="A176" s="258"/>
      <c r="B176" s="13"/>
      <c r="C176" s="13" t="s">
        <v>821</v>
      </c>
      <c r="D176" s="13" t="s">
        <v>722</v>
      </c>
      <c r="E176" s="13" t="s">
        <v>755</v>
      </c>
      <c r="F176" s="13">
        <v>1</v>
      </c>
      <c r="G176" s="13" t="s">
        <v>659</v>
      </c>
      <c r="H176" s="13">
        <f t="shared" si="14"/>
        <v>1</v>
      </c>
      <c r="I176" s="60">
        <v>1200</v>
      </c>
      <c r="J176" s="91">
        <f t="shared" ref="J176:J186" si="18">H176*I176</f>
        <v>1200</v>
      </c>
      <c r="K176" s="16"/>
    </row>
    <row r="177" spans="1:12">
      <c r="A177" s="258"/>
      <c r="B177" s="13"/>
      <c r="C177" s="13" t="s">
        <v>821</v>
      </c>
      <c r="D177" s="13" t="s">
        <v>717</v>
      </c>
      <c r="E177" s="13" t="s">
        <v>718</v>
      </c>
      <c r="F177" s="13">
        <v>2</v>
      </c>
      <c r="G177" s="13" t="s">
        <v>681</v>
      </c>
      <c r="H177" s="13">
        <f t="shared" si="14"/>
        <v>2</v>
      </c>
      <c r="I177" s="60">
        <v>1800</v>
      </c>
      <c r="J177" s="91">
        <f t="shared" si="18"/>
        <v>3600</v>
      </c>
      <c r="K177" s="16"/>
    </row>
    <row r="178" spans="1:12">
      <c r="A178" s="258"/>
      <c r="B178" s="13"/>
      <c r="C178" s="13" t="s">
        <v>821</v>
      </c>
      <c r="D178" s="13" t="s">
        <v>1805</v>
      </c>
      <c r="E178" s="13" t="s">
        <v>1806</v>
      </c>
      <c r="F178" s="13">
        <v>18</v>
      </c>
      <c r="G178" s="13" t="s">
        <v>1809</v>
      </c>
      <c r="H178" s="13">
        <v>18</v>
      </c>
      <c r="I178" s="60">
        <v>2700</v>
      </c>
      <c r="J178" s="91">
        <v>48600</v>
      </c>
      <c r="K178" s="16"/>
    </row>
    <row r="179" spans="1:12">
      <c r="A179" s="258"/>
      <c r="B179" s="13"/>
      <c r="C179" s="13" t="s">
        <v>821</v>
      </c>
      <c r="D179" s="13" t="s">
        <v>1807</v>
      </c>
      <c r="E179" s="13" t="s">
        <v>1808</v>
      </c>
      <c r="F179" s="13">
        <v>18</v>
      </c>
      <c r="G179" s="13" t="s">
        <v>1809</v>
      </c>
      <c r="H179" s="13">
        <v>18</v>
      </c>
      <c r="I179" s="60"/>
      <c r="J179" s="91">
        <v>0</v>
      </c>
      <c r="K179" s="16"/>
    </row>
    <row r="180" spans="1:12">
      <c r="A180" s="258"/>
      <c r="B180" s="361"/>
      <c r="C180" s="256" t="s">
        <v>821</v>
      </c>
      <c r="D180" s="361" t="s">
        <v>1784</v>
      </c>
      <c r="E180" s="361" t="s">
        <v>1786</v>
      </c>
      <c r="F180" s="361">
        <v>18</v>
      </c>
      <c r="G180" s="361" t="s">
        <v>1809</v>
      </c>
      <c r="H180" s="361">
        <v>18</v>
      </c>
      <c r="I180" s="362"/>
      <c r="J180" s="363">
        <v>0</v>
      </c>
      <c r="K180" s="16"/>
    </row>
    <row r="181" spans="1:12">
      <c r="A181" s="258"/>
      <c r="B181" s="13"/>
      <c r="C181" s="256" t="s">
        <v>821</v>
      </c>
      <c r="D181" s="13" t="s">
        <v>661</v>
      </c>
      <c r="E181" s="13" t="s">
        <v>663</v>
      </c>
      <c r="F181" s="13">
        <v>2</v>
      </c>
      <c r="G181" s="13" t="s">
        <v>569</v>
      </c>
      <c r="H181" s="13">
        <f t="shared" si="14"/>
        <v>2</v>
      </c>
      <c r="I181" s="60">
        <v>2130</v>
      </c>
      <c r="J181" s="91">
        <f t="shared" si="18"/>
        <v>4260</v>
      </c>
      <c r="K181" s="16"/>
    </row>
    <row r="182" spans="1:12">
      <c r="A182" s="258"/>
      <c r="B182" s="13"/>
      <c r="C182" s="13" t="s">
        <v>821</v>
      </c>
      <c r="D182" s="13" t="s">
        <v>662</v>
      </c>
      <c r="E182" s="13" t="s">
        <v>664</v>
      </c>
      <c r="F182" s="13">
        <v>2</v>
      </c>
      <c r="G182" s="13" t="s">
        <v>716</v>
      </c>
      <c r="H182" s="13">
        <f t="shared" si="14"/>
        <v>2</v>
      </c>
      <c r="I182" s="60">
        <f>6000+3370</f>
        <v>9370</v>
      </c>
      <c r="J182" s="91">
        <f t="shared" si="18"/>
        <v>18740</v>
      </c>
      <c r="K182" s="16"/>
    </row>
    <row r="183" spans="1:12">
      <c r="A183" s="258"/>
      <c r="B183" s="13"/>
      <c r="C183" s="13" t="s">
        <v>821</v>
      </c>
      <c r="D183" s="13" t="s">
        <v>682</v>
      </c>
      <c r="E183" s="13" t="s">
        <v>683</v>
      </c>
      <c r="F183" s="13">
        <v>1</v>
      </c>
      <c r="G183" s="13" t="s">
        <v>684</v>
      </c>
      <c r="H183" s="13">
        <f t="shared" si="14"/>
        <v>1</v>
      </c>
      <c r="I183" s="60">
        <v>4300</v>
      </c>
      <c r="J183" s="91">
        <f t="shared" si="18"/>
        <v>4300</v>
      </c>
      <c r="K183" s="16"/>
    </row>
    <row r="184" spans="1:12">
      <c r="A184" s="264"/>
      <c r="B184" s="13"/>
      <c r="C184" s="13" t="s">
        <v>821</v>
      </c>
      <c r="D184" s="13"/>
      <c r="E184" s="13" t="s">
        <v>968</v>
      </c>
      <c r="F184" s="13">
        <v>1</v>
      </c>
      <c r="G184" s="13" t="s">
        <v>970</v>
      </c>
      <c r="H184" s="13">
        <f t="shared" si="14"/>
        <v>1</v>
      </c>
      <c r="I184" s="60">
        <f>21000+6000</f>
        <v>27000</v>
      </c>
      <c r="J184" s="91">
        <f t="shared" si="18"/>
        <v>27000</v>
      </c>
      <c r="K184" s="16"/>
    </row>
    <row r="185" spans="1:12" ht="17.5" thickBot="1">
      <c r="A185" s="264"/>
      <c r="B185" s="13"/>
      <c r="C185" s="13" t="s">
        <v>821</v>
      </c>
      <c r="D185" s="13"/>
      <c r="E185" s="13" t="s">
        <v>969</v>
      </c>
      <c r="F185" s="13">
        <v>2</v>
      </c>
      <c r="G185" s="13" t="s">
        <v>971</v>
      </c>
      <c r="H185" s="13">
        <f t="shared" si="14"/>
        <v>2</v>
      </c>
      <c r="I185" s="60">
        <v>900</v>
      </c>
      <c r="J185" s="91">
        <f t="shared" si="18"/>
        <v>1800</v>
      </c>
      <c r="K185" s="16"/>
    </row>
    <row r="186" spans="1:12" ht="26" thickBot="1">
      <c r="A186" s="259"/>
      <c r="B186" s="28"/>
      <c r="C186" s="28" t="s">
        <v>821</v>
      </c>
      <c r="D186" s="28" t="s">
        <v>687</v>
      </c>
      <c r="E186" s="28" t="s">
        <v>688</v>
      </c>
      <c r="F186" s="28">
        <v>1</v>
      </c>
      <c r="G186" s="28" t="s">
        <v>686</v>
      </c>
      <c r="H186" s="28">
        <f t="shared" si="14"/>
        <v>1</v>
      </c>
      <c r="I186" s="78">
        <v>900</v>
      </c>
      <c r="J186" s="93">
        <f t="shared" si="18"/>
        <v>900</v>
      </c>
      <c r="K186" s="90"/>
      <c r="L186" s="97">
        <f>SUM(J143:J186)</f>
        <v>1538260</v>
      </c>
    </row>
    <row r="188" spans="1:12" ht="17.5" thickBot="1"/>
    <row r="189" spans="1:12" ht="27" customHeight="1" thickBot="1">
      <c r="C189" s="119"/>
      <c r="D189" s="120"/>
      <c r="E189" s="275"/>
      <c r="F189" s="270"/>
      <c r="G189" s="120" t="s">
        <v>763</v>
      </c>
      <c r="H189" s="275" t="s">
        <v>764</v>
      </c>
      <c r="I189" s="269"/>
      <c r="J189" s="328"/>
    </row>
    <row r="190" spans="1:12" ht="27" customHeight="1">
      <c r="C190" s="117" t="s">
        <v>760</v>
      </c>
      <c r="D190" s="121">
        <v>3000000</v>
      </c>
      <c r="E190" s="278" t="s">
        <v>762</v>
      </c>
      <c r="F190" s="279"/>
      <c r="G190" s="122">
        <f>D190/22</f>
        <v>136363.63636363635</v>
      </c>
      <c r="H190" s="278" t="s">
        <v>771</v>
      </c>
      <c r="I190" s="329"/>
      <c r="J190" s="330"/>
    </row>
    <row r="191" spans="1:12" ht="27" customHeight="1" thickBot="1">
      <c r="C191" s="118" t="s">
        <v>761</v>
      </c>
      <c r="D191" s="123">
        <v>3500000</v>
      </c>
      <c r="E191" s="282" t="s">
        <v>762</v>
      </c>
      <c r="F191" s="283"/>
      <c r="G191" s="124">
        <f>D191/22</f>
        <v>159090.90909090909</v>
      </c>
      <c r="H191" s="282" t="s">
        <v>772</v>
      </c>
      <c r="I191" s="331"/>
      <c r="J191" s="332"/>
    </row>
    <row r="192" spans="1:12" ht="27" customHeight="1" thickBot="1">
      <c r="C192" s="268" t="s">
        <v>265</v>
      </c>
      <c r="D192" s="269"/>
      <c r="E192" s="269"/>
      <c r="F192" s="270"/>
      <c r="G192" s="125">
        <f>SUM(G190:G191)</f>
        <v>295454.54545454541</v>
      </c>
      <c r="H192" s="333">
        <f>484849+565656</f>
        <v>1050505</v>
      </c>
      <c r="I192" s="334"/>
      <c r="J192" s="335"/>
    </row>
  </sheetData>
  <autoFilter ref="A10:L186"/>
  <mergeCells count="49">
    <mergeCell ref="A143:A186"/>
    <mergeCell ref="I158:I167"/>
    <mergeCell ref="J158:J167"/>
    <mergeCell ref="G174:G175"/>
    <mergeCell ref="H174:H175"/>
    <mergeCell ref="I174:I175"/>
    <mergeCell ref="J174:J175"/>
    <mergeCell ref="A99:A142"/>
    <mergeCell ref="I114:I123"/>
    <mergeCell ref="J114:J123"/>
    <mergeCell ref="G130:G131"/>
    <mergeCell ref="I130:I131"/>
    <mergeCell ref="A55:A98"/>
    <mergeCell ref="I70:I79"/>
    <mergeCell ref="J70:J79"/>
    <mergeCell ref="G86:G87"/>
    <mergeCell ref="H86:H87"/>
    <mergeCell ref="I86:I87"/>
    <mergeCell ref="E190:F190"/>
    <mergeCell ref="H190:J190"/>
    <mergeCell ref="E191:F191"/>
    <mergeCell ref="H191:J191"/>
    <mergeCell ref="C192:F192"/>
    <mergeCell ref="H192:J192"/>
    <mergeCell ref="E189:F189"/>
    <mergeCell ref="H189:J189"/>
    <mergeCell ref="J42:J43"/>
    <mergeCell ref="E6:I6"/>
    <mergeCell ref="J6:K6"/>
    <mergeCell ref="E8:I8"/>
    <mergeCell ref="J8:K8"/>
    <mergeCell ref="J86:J87"/>
    <mergeCell ref="H130:H131"/>
    <mergeCell ref="J130:J131"/>
    <mergeCell ref="A11:A54"/>
    <mergeCell ref="I26:I35"/>
    <mergeCell ref="J26:J35"/>
    <mergeCell ref="G42:G43"/>
    <mergeCell ref="H42:H43"/>
    <mergeCell ref="I42:I43"/>
    <mergeCell ref="E5:I5"/>
    <mergeCell ref="J5:K5"/>
    <mergeCell ref="E7:I7"/>
    <mergeCell ref="J7:K7"/>
    <mergeCell ref="E1:I1"/>
    <mergeCell ref="E3:I3"/>
    <mergeCell ref="J3:K3"/>
    <mergeCell ref="E4:I4"/>
    <mergeCell ref="J4:K4"/>
  </mergeCells>
  <phoneticPr fontId="1" type="noConversion"/>
  <pageMargins left="0.51181102362204722" right="0" top="0.55118110236220474" bottom="0.55118110236220474" header="0.31496062992125984" footer="0.31496062992125984"/>
  <pageSetup paperSize="8" scale="40" orientation="portrait" horizontalDpi="1200" verticalDpi="1200" r:id="rId1"/>
  <headerFooter>
    <oddFooter>&amp;C(주)매그나텍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614"/>
  <sheetViews>
    <sheetView zoomScale="90" zoomScaleNormal="90" workbookViewId="0">
      <selection activeCell="E550" sqref="E550:G551"/>
    </sheetView>
  </sheetViews>
  <sheetFormatPr defaultColWidth="9" defaultRowHeight="22.5"/>
  <cols>
    <col min="1" max="1" width="3.5" style="175" customWidth="1"/>
    <col min="2" max="2" width="12.58203125" style="175" customWidth="1"/>
    <col min="3" max="3" width="10.25" style="175" customWidth="1"/>
    <col min="4" max="4" width="28.5" style="175" customWidth="1"/>
    <col min="5" max="5" width="51.75" style="175" customWidth="1"/>
    <col min="6" max="6" width="5.5" style="175" customWidth="1"/>
    <col min="7" max="7" width="24" style="175" customWidth="1"/>
    <col min="8" max="8" width="6.5" style="175" customWidth="1"/>
    <col min="9" max="9" width="13" style="175" customWidth="1"/>
    <col min="10" max="10" width="13.83203125" style="175" customWidth="1"/>
    <col min="11" max="11" width="12.83203125" style="175" customWidth="1"/>
    <col min="12" max="12" width="17.33203125" style="205" customWidth="1"/>
    <col min="13" max="13" width="19.58203125" style="175" customWidth="1"/>
    <col min="14" max="14" width="27.33203125" style="175" customWidth="1"/>
    <col min="15" max="16384" width="9" style="175"/>
  </cols>
  <sheetData>
    <row r="1" spans="1:12" s="141" customFormat="1" ht="33.75" customHeight="1">
      <c r="E1" s="342" t="s">
        <v>1275</v>
      </c>
      <c r="F1" s="342"/>
      <c r="G1" s="342"/>
      <c r="H1" s="342"/>
      <c r="I1" s="342"/>
      <c r="J1" s="153"/>
      <c r="L1" s="203"/>
    </row>
    <row r="2" spans="1:12" s="141" customFormat="1">
      <c r="I2" s="154"/>
      <c r="L2" s="203"/>
    </row>
    <row r="3" spans="1:12" s="155" customFormat="1" ht="12.75" customHeight="1">
      <c r="E3" s="339" t="s">
        <v>1032</v>
      </c>
      <c r="F3" s="339"/>
      <c r="G3" s="339"/>
      <c r="H3" s="339"/>
      <c r="I3" s="339"/>
      <c r="J3" s="340" t="s">
        <v>1033</v>
      </c>
      <c r="K3" s="341"/>
      <c r="L3" s="203"/>
    </row>
    <row r="4" spans="1:12" s="155" customFormat="1" ht="12.75" hidden="1" customHeight="1">
      <c r="E4" s="339" t="s">
        <v>773</v>
      </c>
      <c r="F4" s="339"/>
      <c r="G4" s="339"/>
      <c r="H4" s="339"/>
      <c r="I4" s="339"/>
      <c r="J4" s="340">
        <v>1</v>
      </c>
      <c r="K4" s="341"/>
      <c r="L4" s="203"/>
    </row>
    <row r="5" spans="1:12" s="155" customFormat="1" ht="12.75" hidden="1" customHeight="1">
      <c r="E5" s="339" t="s">
        <v>775</v>
      </c>
      <c r="F5" s="339"/>
      <c r="G5" s="339"/>
      <c r="H5" s="339"/>
      <c r="I5" s="339"/>
      <c r="J5" s="340">
        <v>1</v>
      </c>
      <c r="K5" s="341"/>
      <c r="L5" s="203"/>
    </row>
    <row r="6" spans="1:12" s="155" customFormat="1" ht="12.75" hidden="1" customHeight="1">
      <c r="E6" s="339" t="s">
        <v>777</v>
      </c>
      <c r="F6" s="339"/>
      <c r="G6" s="339"/>
      <c r="H6" s="339"/>
      <c r="I6" s="339"/>
      <c r="J6" s="340">
        <v>1</v>
      </c>
      <c r="K6" s="341"/>
      <c r="L6" s="203"/>
    </row>
    <row r="7" spans="1:12" s="155" customFormat="1" ht="12.75" hidden="1" customHeight="1">
      <c r="E7" s="339" t="s">
        <v>778</v>
      </c>
      <c r="F7" s="339"/>
      <c r="G7" s="339"/>
      <c r="H7" s="339"/>
      <c r="I7" s="339"/>
      <c r="J7" s="340">
        <v>1</v>
      </c>
      <c r="K7" s="341"/>
      <c r="L7" s="203"/>
    </row>
    <row r="8" spans="1:12" s="155" customFormat="1" ht="12.75" hidden="1" customHeight="1">
      <c r="E8" s="339" t="s">
        <v>779</v>
      </c>
      <c r="F8" s="339"/>
      <c r="G8" s="339"/>
      <c r="H8" s="339"/>
      <c r="I8" s="339"/>
      <c r="J8" s="340">
        <v>1</v>
      </c>
      <c r="K8" s="341"/>
      <c r="L8" s="203"/>
    </row>
    <row r="9" spans="1:12" s="155" customFormat="1" ht="12.75" hidden="1" customHeight="1">
      <c r="E9" s="339" t="s">
        <v>780</v>
      </c>
      <c r="F9" s="339"/>
      <c r="G9" s="339"/>
      <c r="H9" s="339"/>
      <c r="I9" s="339"/>
      <c r="J9" s="340">
        <v>1</v>
      </c>
      <c r="K9" s="341"/>
      <c r="L9" s="203"/>
    </row>
    <row r="10" spans="1:12" s="155" customFormat="1" ht="12.75" hidden="1" customHeight="1">
      <c r="E10" s="339" t="s">
        <v>781</v>
      </c>
      <c r="F10" s="339"/>
      <c r="G10" s="339"/>
      <c r="H10" s="339"/>
      <c r="I10" s="339"/>
      <c r="J10" s="340">
        <v>1</v>
      </c>
      <c r="K10" s="341"/>
      <c r="L10" s="203"/>
    </row>
    <row r="11" spans="1:12" s="155" customFormat="1" ht="12.75" hidden="1" customHeight="1">
      <c r="E11" s="339" t="s">
        <v>782</v>
      </c>
      <c r="F11" s="339"/>
      <c r="G11" s="339"/>
      <c r="H11" s="339"/>
      <c r="I11" s="339"/>
      <c r="J11" s="340">
        <v>1</v>
      </c>
      <c r="K11" s="341"/>
      <c r="L11" s="203"/>
    </row>
    <row r="12" spans="1:12" s="155" customFormat="1" ht="12.75" hidden="1" customHeight="1">
      <c r="E12" s="339" t="s">
        <v>783</v>
      </c>
      <c r="F12" s="339"/>
      <c r="G12" s="339"/>
      <c r="H12" s="339"/>
      <c r="I12" s="339"/>
      <c r="J12" s="340">
        <v>1</v>
      </c>
      <c r="K12" s="341"/>
      <c r="L12" s="203"/>
    </row>
    <row r="13" spans="1:12" s="155" customFormat="1" ht="12.75" customHeight="1">
      <c r="E13" s="339" t="s">
        <v>265</v>
      </c>
      <c r="F13" s="339"/>
      <c r="G13" s="339"/>
      <c r="H13" s="339"/>
      <c r="I13" s="339"/>
      <c r="J13" s="340">
        <f>SUM(J4:K12)</f>
        <v>9</v>
      </c>
      <c r="K13" s="341"/>
      <c r="L13" s="203"/>
    </row>
    <row r="14" spans="1:12" s="141" customFormat="1" ht="12" customHeight="1" thickBot="1">
      <c r="I14" s="154"/>
      <c r="L14" s="203"/>
    </row>
    <row r="15" spans="1:12" s="141" customFormat="1" ht="23" thickBot="1">
      <c r="A15" s="137" t="s">
        <v>80</v>
      </c>
      <c r="B15" s="138" t="s">
        <v>1276</v>
      </c>
      <c r="C15" s="138" t="s">
        <v>1277</v>
      </c>
      <c r="D15" s="138" t="s">
        <v>1278</v>
      </c>
      <c r="E15" s="138" t="s">
        <v>1279</v>
      </c>
      <c r="F15" s="138" t="s">
        <v>1280</v>
      </c>
      <c r="G15" s="138" t="s">
        <v>1281</v>
      </c>
      <c r="H15" s="138" t="s">
        <v>1282</v>
      </c>
      <c r="I15" s="139" t="s">
        <v>1283</v>
      </c>
      <c r="J15" s="138" t="s">
        <v>1030</v>
      </c>
      <c r="K15" s="140" t="s">
        <v>1031</v>
      </c>
      <c r="L15" s="203"/>
    </row>
    <row r="16" spans="1:12" s="141" customFormat="1">
      <c r="A16" s="142">
        <v>1</v>
      </c>
      <c r="B16" s="143" t="s">
        <v>784</v>
      </c>
      <c r="C16" s="144" t="s">
        <v>785</v>
      </c>
      <c r="D16" s="144" t="s">
        <v>1284</v>
      </c>
      <c r="E16" s="144" t="s">
        <v>1355</v>
      </c>
      <c r="F16" s="144">
        <v>1</v>
      </c>
      <c r="G16" s="145" t="s">
        <v>1285</v>
      </c>
      <c r="H16" s="145">
        <f>F16*J$4</f>
        <v>1</v>
      </c>
      <c r="I16" s="156">
        <v>544620</v>
      </c>
      <c r="J16" s="158">
        <f>H16*I16</f>
        <v>544620</v>
      </c>
      <c r="K16" s="146"/>
      <c r="L16" s="203"/>
    </row>
    <row r="17" spans="1:12" s="141" customFormat="1">
      <c r="A17" s="147">
        <v>2</v>
      </c>
      <c r="B17" s="143" t="s">
        <v>784</v>
      </c>
      <c r="C17" s="143" t="s">
        <v>785</v>
      </c>
      <c r="D17" s="143" t="s">
        <v>1284</v>
      </c>
      <c r="E17" s="148" t="s">
        <v>1356</v>
      </c>
      <c r="F17" s="143">
        <v>1</v>
      </c>
      <c r="G17" s="149" t="s">
        <v>1194</v>
      </c>
      <c r="H17" s="149">
        <f>F17*J$4</f>
        <v>1</v>
      </c>
      <c r="I17" s="157">
        <v>310660</v>
      </c>
      <c r="J17" s="159">
        <f>H17*I17</f>
        <v>310660</v>
      </c>
      <c r="K17" s="152"/>
      <c r="L17" s="203"/>
    </row>
    <row r="18" spans="1:12" s="141" customFormat="1">
      <c r="A18" s="147">
        <v>3</v>
      </c>
      <c r="B18" s="143" t="s">
        <v>784</v>
      </c>
      <c r="C18" s="143" t="s">
        <v>785</v>
      </c>
      <c r="D18" s="143" t="s">
        <v>1286</v>
      </c>
      <c r="E18" s="148" t="s">
        <v>1293</v>
      </c>
      <c r="F18" s="143">
        <v>1</v>
      </c>
      <c r="G18" s="143" t="s">
        <v>1287</v>
      </c>
      <c r="H18" s="149">
        <f t="shared" ref="H18:H62" si="0">F18*J$4</f>
        <v>1</v>
      </c>
      <c r="I18" s="157">
        <v>175000</v>
      </c>
      <c r="J18" s="159">
        <f t="shared" ref="J18:J46" si="1">H18*I18</f>
        <v>175000</v>
      </c>
      <c r="K18" s="152"/>
      <c r="L18" s="203"/>
    </row>
    <row r="19" spans="1:12" s="141" customFormat="1">
      <c r="A19" s="147">
        <v>4</v>
      </c>
      <c r="B19" s="143" t="s">
        <v>784</v>
      </c>
      <c r="C19" s="143" t="s">
        <v>785</v>
      </c>
      <c r="D19" s="143" t="s">
        <v>1288</v>
      </c>
      <c r="E19" s="148" t="s">
        <v>1294</v>
      </c>
      <c r="F19" s="143">
        <v>12</v>
      </c>
      <c r="G19" s="143" t="s">
        <v>1287</v>
      </c>
      <c r="H19" s="149">
        <f t="shared" si="0"/>
        <v>12</v>
      </c>
      <c r="I19" s="157">
        <v>3000</v>
      </c>
      <c r="J19" s="159">
        <f t="shared" si="1"/>
        <v>36000</v>
      </c>
      <c r="K19" s="152"/>
      <c r="L19" s="203"/>
    </row>
    <row r="20" spans="1:12" s="141" customFormat="1">
      <c r="A20" s="147">
        <v>5</v>
      </c>
      <c r="B20" s="143" t="s">
        <v>784</v>
      </c>
      <c r="C20" s="143" t="s">
        <v>785</v>
      </c>
      <c r="D20" s="143" t="s">
        <v>1286</v>
      </c>
      <c r="E20" s="148" t="s">
        <v>1295</v>
      </c>
      <c r="F20" s="143">
        <v>1</v>
      </c>
      <c r="G20" s="143" t="s">
        <v>1287</v>
      </c>
      <c r="H20" s="149">
        <f t="shared" si="0"/>
        <v>1</v>
      </c>
      <c r="I20" s="157">
        <v>164000</v>
      </c>
      <c r="J20" s="159">
        <f t="shared" si="1"/>
        <v>164000</v>
      </c>
      <c r="K20" s="152"/>
      <c r="L20" s="203"/>
    </row>
    <row r="21" spans="1:12" s="141" customFormat="1">
      <c r="A21" s="147">
        <v>6</v>
      </c>
      <c r="B21" s="143" t="s">
        <v>784</v>
      </c>
      <c r="C21" s="143" t="s">
        <v>785</v>
      </c>
      <c r="D21" s="143" t="s">
        <v>1288</v>
      </c>
      <c r="E21" s="148" t="s">
        <v>1296</v>
      </c>
      <c r="F21" s="143">
        <v>8</v>
      </c>
      <c r="G21" s="143" t="s">
        <v>1287</v>
      </c>
      <c r="H21" s="149">
        <f t="shared" si="0"/>
        <v>8</v>
      </c>
      <c r="I21" s="157">
        <v>1200</v>
      </c>
      <c r="J21" s="159">
        <f t="shared" si="1"/>
        <v>9600</v>
      </c>
      <c r="K21" s="152"/>
      <c r="L21" s="203"/>
    </row>
    <row r="22" spans="1:12" s="141" customFormat="1">
      <c r="A22" s="147">
        <v>7</v>
      </c>
      <c r="B22" s="143" t="s">
        <v>784</v>
      </c>
      <c r="C22" s="143" t="s">
        <v>785</v>
      </c>
      <c r="D22" s="143" t="s">
        <v>1286</v>
      </c>
      <c r="E22" s="148" t="s">
        <v>1297</v>
      </c>
      <c r="F22" s="143">
        <v>1</v>
      </c>
      <c r="G22" s="143" t="s">
        <v>1287</v>
      </c>
      <c r="H22" s="149">
        <f t="shared" si="0"/>
        <v>1</v>
      </c>
      <c r="I22" s="157">
        <v>164000</v>
      </c>
      <c r="J22" s="159">
        <f t="shared" si="1"/>
        <v>164000</v>
      </c>
      <c r="K22" s="152"/>
      <c r="L22" s="203"/>
    </row>
    <row r="23" spans="1:12" s="141" customFormat="1">
      <c r="A23" s="147">
        <v>8</v>
      </c>
      <c r="B23" s="143" t="s">
        <v>784</v>
      </c>
      <c r="C23" s="143" t="s">
        <v>785</v>
      </c>
      <c r="D23" s="143" t="s">
        <v>1288</v>
      </c>
      <c r="E23" s="148" t="s">
        <v>1298</v>
      </c>
      <c r="F23" s="143">
        <v>8</v>
      </c>
      <c r="G23" s="143" t="s">
        <v>1287</v>
      </c>
      <c r="H23" s="149">
        <f t="shared" si="0"/>
        <v>8</v>
      </c>
      <c r="I23" s="157">
        <v>1600</v>
      </c>
      <c r="J23" s="159">
        <f t="shared" si="1"/>
        <v>12800</v>
      </c>
      <c r="K23" s="152"/>
      <c r="L23" s="203"/>
    </row>
    <row r="24" spans="1:12" s="141" customFormat="1">
      <c r="A24" s="147">
        <v>9</v>
      </c>
      <c r="B24" s="143" t="s">
        <v>784</v>
      </c>
      <c r="C24" s="143" t="s">
        <v>785</v>
      </c>
      <c r="D24" s="143" t="s">
        <v>1291</v>
      </c>
      <c r="E24" s="148" t="s">
        <v>1299</v>
      </c>
      <c r="F24" s="143">
        <v>1</v>
      </c>
      <c r="G24" s="143" t="s">
        <v>1287</v>
      </c>
      <c r="H24" s="149">
        <f t="shared" si="0"/>
        <v>1</v>
      </c>
      <c r="I24" s="157">
        <v>62000</v>
      </c>
      <c r="J24" s="159">
        <f t="shared" si="1"/>
        <v>62000</v>
      </c>
      <c r="K24" s="152"/>
      <c r="L24" s="203"/>
    </row>
    <row r="25" spans="1:12" s="141" customFormat="1">
      <c r="A25" s="147">
        <v>10</v>
      </c>
      <c r="B25" s="143" t="s">
        <v>784</v>
      </c>
      <c r="C25" s="143" t="s">
        <v>785</v>
      </c>
      <c r="D25" s="143" t="s">
        <v>1291</v>
      </c>
      <c r="E25" s="148" t="s">
        <v>1292</v>
      </c>
      <c r="F25" s="143">
        <v>1</v>
      </c>
      <c r="G25" s="143" t="s">
        <v>1287</v>
      </c>
      <c r="H25" s="149">
        <f t="shared" si="0"/>
        <v>1</v>
      </c>
      <c r="I25" s="157">
        <v>65000</v>
      </c>
      <c r="J25" s="159">
        <f>H25*I25</f>
        <v>65000</v>
      </c>
      <c r="K25" s="152"/>
      <c r="L25" s="203"/>
    </row>
    <row r="26" spans="1:12" s="141" customFormat="1">
      <c r="A26" s="147">
        <v>11</v>
      </c>
      <c r="B26" s="143" t="s">
        <v>784</v>
      </c>
      <c r="C26" s="143" t="s">
        <v>785</v>
      </c>
      <c r="D26" s="143" t="s">
        <v>1288</v>
      </c>
      <c r="E26" s="148" t="s">
        <v>1300</v>
      </c>
      <c r="F26" s="143">
        <v>8</v>
      </c>
      <c r="G26" s="143" t="s">
        <v>1287</v>
      </c>
      <c r="H26" s="149">
        <f t="shared" si="0"/>
        <v>8</v>
      </c>
      <c r="I26" s="157">
        <v>2800</v>
      </c>
      <c r="J26" s="159">
        <f t="shared" si="1"/>
        <v>22400</v>
      </c>
      <c r="K26" s="152"/>
      <c r="L26" s="203"/>
    </row>
    <row r="27" spans="1:12" s="141" customFormat="1">
      <c r="A27" s="147">
        <v>12</v>
      </c>
      <c r="B27" s="143" t="s">
        <v>784</v>
      </c>
      <c r="C27" s="143" t="s">
        <v>785</v>
      </c>
      <c r="D27" s="143" t="s">
        <v>1336</v>
      </c>
      <c r="E27" s="148" t="s">
        <v>1335</v>
      </c>
      <c r="F27" s="143">
        <v>1</v>
      </c>
      <c r="G27" s="143" t="s">
        <v>1326</v>
      </c>
      <c r="H27" s="149">
        <f t="shared" si="0"/>
        <v>1</v>
      </c>
      <c r="I27" s="157">
        <v>2500</v>
      </c>
      <c r="J27" s="159">
        <f t="shared" si="1"/>
        <v>2500</v>
      </c>
      <c r="K27" s="152"/>
      <c r="L27" s="203"/>
    </row>
    <row r="28" spans="1:12" s="141" customFormat="1">
      <c r="A28" s="147">
        <v>13</v>
      </c>
      <c r="B28" s="143" t="s">
        <v>784</v>
      </c>
      <c r="C28" s="143" t="s">
        <v>785</v>
      </c>
      <c r="D28" s="143" t="s">
        <v>1337</v>
      </c>
      <c r="E28" s="143" t="s">
        <v>1301</v>
      </c>
      <c r="F28" s="143">
        <v>1</v>
      </c>
      <c r="G28" s="143" t="s">
        <v>1287</v>
      </c>
      <c r="H28" s="149">
        <f t="shared" si="0"/>
        <v>1</v>
      </c>
      <c r="I28" s="157">
        <f>1200+1200</f>
        <v>2400</v>
      </c>
      <c r="J28" s="159">
        <f t="shared" ref="J28:J30" si="2">H28*I28</f>
        <v>2400</v>
      </c>
      <c r="K28" s="152"/>
      <c r="L28" s="203"/>
    </row>
    <row r="29" spans="1:12" s="141" customFormat="1">
      <c r="A29" s="147">
        <v>14</v>
      </c>
      <c r="B29" s="143" t="s">
        <v>784</v>
      </c>
      <c r="C29" s="143" t="s">
        <v>785</v>
      </c>
      <c r="D29" s="143" t="s">
        <v>1415</v>
      </c>
      <c r="E29" s="148" t="s">
        <v>1416</v>
      </c>
      <c r="F29" s="143">
        <v>1</v>
      </c>
      <c r="G29" s="143" t="s">
        <v>1417</v>
      </c>
      <c r="H29" s="149">
        <f t="shared" si="0"/>
        <v>1</v>
      </c>
      <c r="I29" s="157">
        <v>1250</v>
      </c>
      <c r="J29" s="159">
        <f t="shared" si="2"/>
        <v>1250</v>
      </c>
      <c r="K29" s="152"/>
      <c r="L29" s="203"/>
    </row>
    <row r="30" spans="1:12" s="141" customFormat="1">
      <c r="A30" s="147">
        <v>15</v>
      </c>
      <c r="B30" s="143" t="s">
        <v>784</v>
      </c>
      <c r="C30" s="143" t="s">
        <v>785</v>
      </c>
      <c r="D30" s="143" t="s">
        <v>1329</v>
      </c>
      <c r="E30" s="148" t="s">
        <v>1342</v>
      </c>
      <c r="F30" s="143">
        <v>21</v>
      </c>
      <c r="G30" s="143" t="s">
        <v>1326</v>
      </c>
      <c r="H30" s="149">
        <f t="shared" si="0"/>
        <v>21</v>
      </c>
      <c r="I30" s="157">
        <f>1200+2400</f>
        <v>3600</v>
      </c>
      <c r="J30" s="159">
        <f t="shared" si="2"/>
        <v>75600</v>
      </c>
      <c r="K30" s="152"/>
      <c r="L30" s="203"/>
    </row>
    <row r="31" spans="1:12" s="141" customFormat="1">
      <c r="A31" s="147">
        <v>16</v>
      </c>
      <c r="B31" s="143" t="s">
        <v>784</v>
      </c>
      <c r="C31" s="143" t="s">
        <v>785</v>
      </c>
      <c r="D31" s="143" t="s">
        <v>1323</v>
      </c>
      <c r="E31" s="148" t="s">
        <v>1324</v>
      </c>
      <c r="F31" s="143">
        <v>1</v>
      </c>
      <c r="G31" s="143" t="s">
        <v>1325</v>
      </c>
      <c r="H31" s="149">
        <f t="shared" si="0"/>
        <v>1</v>
      </c>
      <c r="I31" s="157">
        <f>49000/2</f>
        <v>24500</v>
      </c>
      <c r="J31" s="159">
        <f t="shared" si="1"/>
        <v>24500</v>
      </c>
      <c r="K31" s="152"/>
      <c r="L31" s="203"/>
    </row>
    <row r="32" spans="1:12" s="141" customFormat="1">
      <c r="A32" s="147">
        <v>17</v>
      </c>
      <c r="B32" s="143" t="s">
        <v>784</v>
      </c>
      <c r="C32" s="143" t="s">
        <v>785</v>
      </c>
      <c r="D32" s="143" t="s">
        <v>1330</v>
      </c>
      <c r="E32" s="143" t="s">
        <v>1418</v>
      </c>
      <c r="F32" s="143">
        <v>1</v>
      </c>
      <c r="G32" s="143" t="s">
        <v>1326</v>
      </c>
      <c r="H32" s="149">
        <f t="shared" si="0"/>
        <v>1</v>
      </c>
      <c r="I32" s="157">
        <v>6500</v>
      </c>
      <c r="J32" s="159">
        <f t="shared" si="1"/>
        <v>6500</v>
      </c>
      <c r="K32" s="152"/>
      <c r="L32" s="203"/>
    </row>
    <row r="33" spans="1:12" s="141" customFormat="1">
      <c r="A33" s="147">
        <v>18</v>
      </c>
      <c r="B33" s="143" t="s">
        <v>784</v>
      </c>
      <c r="C33" s="143" t="s">
        <v>785</v>
      </c>
      <c r="D33" s="143" t="s">
        <v>1384</v>
      </c>
      <c r="E33" s="143" t="s">
        <v>1331</v>
      </c>
      <c r="F33" s="143">
        <v>1</v>
      </c>
      <c r="G33" s="143" t="s">
        <v>1326</v>
      </c>
      <c r="H33" s="149">
        <f t="shared" si="0"/>
        <v>1</v>
      </c>
      <c r="I33" s="157">
        <v>8000</v>
      </c>
      <c r="J33" s="159">
        <f t="shared" si="1"/>
        <v>8000</v>
      </c>
      <c r="K33" s="152"/>
      <c r="L33" s="203"/>
    </row>
    <row r="34" spans="1:12" s="141" customFormat="1">
      <c r="A34" s="147">
        <v>19</v>
      </c>
      <c r="B34" s="143" t="s">
        <v>784</v>
      </c>
      <c r="C34" s="143" t="s">
        <v>785</v>
      </c>
      <c r="D34" s="143" t="s">
        <v>1332</v>
      </c>
      <c r="E34" s="143" t="s">
        <v>1327</v>
      </c>
      <c r="F34" s="143">
        <v>1</v>
      </c>
      <c r="G34" s="143" t="s">
        <v>1333</v>
      </c>
      <c r="H34" s="149">
        <f t="shared" si="0"/>
        <v>1</v>
      </c>
      <c r="I34" s="157">
        <v>2500</v>
      </c>
      <c r="J34" s="159">
        <f t="shared" si="1"/>
        <v>2500</v>
      </c>
      <c r="K34" s="152"/>
      <c r="L34" s="203"/>
    </row>
    <row r="35" spans="1:12" s="141" customFormat="1">
      <c r="A35" s="147">
        <v>20</v>
      </c>
      <c r="B35" s="143" t="s">
        <v>784</v>
      </c>
      <c r="C35" s="143" t="s">
        <v>785</v>
      </c>
      <c r="D35" s="143" t="s">
        <v>1419</v>
      </c>
      <c r="E35" s="143" t="s">
        <v>1420</v>
      </c>
      <c r="F35" s="143">
        <v>2</v>
      </c>
      <c r="G35" s="143" t="s">
        <v>1326</v>
      </c>
      <c r="H35" s="149">
        <f t="shared" si="0"/>
        <v>2</v>
      </c>
      <c r="I35" s="157">
        <v>5500</v>
      </c>
      <c r="J35" s="159">
        <f t="shared" si="1"/>
        <v>11000</v>
      </c>
      <c r="K35" s="152"/>
      <c r="L35" s="203"/>
    </row>
    <row r="36" spans="1:12" s="141" customFormat="1">
      <c r="A36" s="147">
        <v>21</v>
      </c>
      <c r="B36" s="143" t="s">
        <v>784</v>
      </c>
      <c r="C36" s="143" t="s">
        <v>785</v>
      </c>
      <c r="D36" s="143" t="s">
        <v>1334</v>
      </c>
      <c r="E36" s="143" t="s">
        <v>1328</v>
      </c>
      <c r="F36" s="143">
        <v>1</v>
      </c>
      <c r="G36" s="143" t="s">
        <v>1333</v>
      </c>
      <c r="H36" s="149">
        <f t="shared" si="0"/>
        <v>1</v>
      </c>
      <c r="I36" s="157">
        <v>15000</v>
      </c>
      <c r="J36" s="159">
        <f t="shared" si="1"/>
        <v>15000</v>
      </c>
      <c r="K36" s="152"/>
      <c r="L36" s="203"/>
    </row>
    <row r="37" spans="1:12" s="141" customFormat="1">
      <c r="A37" s="147">
        <v>22</v>
      </c>
      <c r="B37" s="143" t="s">
        <v>784</v>
      </c>
      <c r="C37" s="143" t="s">
        <v>785</v>
      </c>
      <c r="D37" s="143" t="s">
        <v>1421</v>
      </c>
      <c r="E37" s="143" t="s">
        <v>1422</v>
      </c>
      <c r="F37" s="143">
        <v>1</v>
      </c>
      <c r="G37" s="143" t="s">
        <v>1326</v>
      </c>
      <c r="H37" s="149">
        <f t="shared" si="0"/>
        <v>1</v>
      </c>
      <c r="I37" s="157">
        <v>2500</v>
      </c>
      <c r="J37" s="159">
        <f t="shared" si="1"/>
        <v>2500</v>
      </c>
      <c r="K37" s="152"/>
      <c r="L37" s="203"/>
    </row>
    <row r="38" spans="1:12" s="141" customFormat="1">
      <c r="A38" s="147">
        <v>23</v>
      </c>
      <c r="B38" s="143" t="s">
        <v>784</v>
      </c>
      <c r="C38" s="143" t="s">
        <v>785</v>
      </c>
      <c r="D38" s="143" t="s">
        <v>1423</v>
      </c>
      <c r="E38" s="143" t="s">
        <v>1408</v>
      </c>
      <c r="F38" s="143">
        <v>6</v>
      </c>
      <c r="G38" s="143" t="s">
        <v>1326</v>
      </c>
      <c r="H38" s="149">
        <f t="shared" si="0"/>
        <v>6</v>
      </c>
      <c r="I38" s="157">
        <v>7500</v>
      </c>
      <c r="J38" s="159">
        <f t="shared" si="1"/>
        <v>45000</v>
      </c>
      <c r="K38" s="152"/>
      <c r="L38" s="203"/>
    </row>
    <row r="39" spans="1:12" s="141" customFormat="1">
      <c r="A39" s="147">
        <v>24</v>
      </c>
      <c r="B39" s="143" t="s">
        <v>784</v>
      </c>
      <c r="C39" s="143" t="s">
        <v>785</v>
      </c>
      <c r="D39" s="143" t="s">
        <v>1424</v>
      </c>
      <c r="E39" s="143" t="s">
        <v>1425</v>
      </c>
      <c r="F39" s="143">
        <v>1</v>
      </c>
      <c r="G39" s="143" t="s">
        <v>1326</v>
      </c>
      <c r="H39" s="149">
        <f t="shared" si="0"/>
        <v>1</v>
      </c>
      <c r="I39" s="157">
        <v>5500</v>
      </c>
      <c r="J39" s="159">
        <f t="shared" si="1"/>
        <v>5500</v>
      </c>
      <c r="K39" s="152"/>
      <c r="L39" s="203"/>
    </row>
    <row r="40" spans="1:12" s="141" customFormat="1">
      <c r="A40" s="147">
        <v>25</v>
      </c>
      <c r="B40" s="143" t="s">
        <v>784</v>
      </c>
      <c r="C40" s="143" t="s">
        <v>785</v>
      </c>
      <c r="D40" s="143" t="s">
        <v>1426</v>
      </c>
      <c r="E40" s="143" t="s">
        <v>1405</v>
      </c>
      <c r="F40" s="143">
        <v>1</v>
      </c>
      <c r="G40" s="143" t="s">
        <v>1427</v>
      </c>
      <c r="H40" s="149">
        <f t="shared" si="0"/>
        <v>1</v>
      </c>
      <c r="I40" s="157">
        <v>1500</v>
      </c>
      <c r="J40" s="159">
        <f t="shared" si="1"/>
        <v>1500</v>
      </c>
      <c r="K40" s="152"/>
      <c r="L40" s="203"/>
    </row>
    <row r="41" spans="1:12" s="141" customFormat="1">
      <c r="A41" s="147">
        <v>26</v>
      </c>
      <c r="B41" s="143" t="s">
        <v>784</v>
      </c>
      <c r="C41" s="143" t="s">
        <v>785</v>
      </c>
      <c r="D41" s="143" t="s">
        <v>1428</v>
      </c>
      <c r="E41" s="143" t="s">
        <v>1429</v>
      </c>
      <c r="F41" s="143">
        <v>1</v>
      </c>
      <c r="G41" s="143" t="s">
        <v>1427</v>
      </c>
      <c r="H41" s="149">
        <f t="shared" si="0"/>
        <v>1</v>
      </c>
      <c r="I41" s="157">
        <v>75000</v>
      </c>
      <c r="J41" s="159">
        <f t="shared" si="1"/>
        <v>75000</v>
      </c>
      <c r="K41" s="152"/>
      <c r="L41" s="203"/>
    </row>
    <row r="42" spans="1:12" s="141" customFormat="1">
      <c r="A42" s="147">
        <v>27</v>
      </c>
      <c r="B42" s="143" t="s">
        <v>784</v>
      </c>
      <c r="C42" s="143" t="s">
        <v>785</v>
      </c>
      <c r="D42" s="143" t="s">
        <v>1538</v>
      </c>
      <c r="E42" s="143" t="s">
        <v>1405</v>
      </c>
      <c r="F42" s="143">
        <v>8</v>
      </c>
      <c r="G42" s="143" t="s">
        <v>1427</v>
      </c>
      <c r="H42" s="149">
        <f t="shared" si="0"/>
        <v>8</v>
      </c>
      <c r="I42" s="157">
        <v>600</v>
      </c>
      <c r="J42" s="159">
        <f t="shared" si="1"/>
        <v>4800</v>
      </c>
      <c r="K42" s="152"/>
      <c r="L42" s="203"/>
    </row>
    <row r="43" spans="1:12" s="141" customFormat="1">
      <c r="A43" s="147"/>
      <c r="B43" s="187"/>
      <c r="C43" s="187"/>
      <c r="D43" s="187" t="s">
        <v>1312</v>
      </c>
      <c r="E43" s="187" t="s">
        <v>1309</v>
      </c>
      <c r="F43" s="187">
        <v>1</v>
      </c>
      <c r="G43" s="187"/>
      <c r="H43" s="188"/>
      <c r="I43" s="189"/>
      <c r="J43" s="190"/>
      <c r="K43" s="191"/>
      <c r="L43" s="203"/>
    </row>
    <row r="44" spans="1:12" s="141" customFormat="1">
      <c r="A44" s="147">
        <v>1</v>
      </c>
      <c r="B44" s="143" t="s">
        <v>784</v>
      </c>
      <c r="C44" s="143" t="s">
        <v>785</v>
      </c>
      <c r="D44" s="143" t="s">
        <v>1339</v>
      </c>
      <c r="E44" s="143" t="s">
        <v>1310</v>
      </c>
      <c r="F44" s="143">
        <v>2</v>
      </c>
      <c r="G44" s="143" t="s">
        <v>1314</v>
      </c>
      <c r="H44" s="149">
        <f t="shared" si="0"/>
        <v>2</v>
      </c>
      <c r="I44" s="157">
        <v>33000</v>
      </c>
      <c r="J44" s="159">
        <f t="shared" si="1"/>
        <v>66000</v>
      </c>
      <c r="K44" s="152"/>
      <c r="L44" s="203"/>
    </row>
    <row r="45" spans="1:12" s="141" customFormat="1">
      <c r="A45" s="147">
        <v>2</v>
      </c>
      <c r="B45" s="143" t="s">
        <v>784</v>
      </c>
      <c r="C45" s="143" t="s">
        <v>785</v>
      </c>
      <c r="D45" s="143" t="s">
        <v>1340</v>
      </c>
      <c r="E45" s="143" t="s">
        <v>1341</v>
      </c>
      <c r="F45" s="143">
        <v>1</v>
      </c>
      <c r="G45" s="143" t="s">
        <v>1314</v>
      </c>
      <c r="H45" s="149">
        <f t="shared" ref="H45" si="3">F45*J$4</f>
        <v>1</v>
      </c>
      <c r="I45" s="157">
        <v>23000</v>
      </c>
      <c r="J45" s="159">
        <f t="shared" ref="J45" si="4">H45*I45</f>
        <v>23000</v>
      </c>
      <c r="K45" s="152"/>
      <c r="L45" s="203"/>
    </row>
    <row r="46" spans="1:12" s="141" customFormat="1">
      <c r="A46" s="147">
        <v>3</v>
      </c>
      <c r="B46" s="143" t="s">
        <v>784</v>
      </c>
      <c r="C46" s="143" t="s">
        <v>785</v>
      </c>
      <c r="D46" s="143" t="s">
        <v>1315</v>
      </c>
      <c r="E46" s="143" t="s">
        <v>1311</v>
      </c>
      <c r="F46" s="143">
        <v>2</v>
      </c>
      <c r="G46" s="143" t="s">
        <v>1314</v>
      </c>
      <c r="H46" s="149">
        <f t="shared" si="0"/>
        <v>2</v>
      </c>
      <c r="I46" s="157">
        <v>54000</v>
      </c>
      <c r="J46" s="159">
        <f t="shared" si="1"/>
        <v>108000</v>
      </c>
      <c r="K46" s="152"/>
      <c r="L46" s="203"/>
    </row>
    <row r="47" spans="1:12" s="141" customFormat="1">
      <c r="A47" s="147">
        <v>4</v>
      </c>
      <c r="B47" s="143" t="s">
        <v>784</v>
      </c>
      <c r="C47" s="143" t="s">
        <v>785</v>
      </c>
      <c r="D47" s="143" t="s">
        <v>1316</v>
      </c>
      <c r="E47" s="143" t="s">
        <v>1318</v>
      </c>
      <c r="F47" s="143">
        <v>1</v>
      </c>
      <c r="G47" s="143" t="s">
        <v>1317</v>
      </c>
      <c r="H47" s="149">
        <f t="shared" ref="H47" si="5">F47*J$4</f>
        <v>1</v>
      </c>
      <c r="I47" s="157">
        <v>43000</v>
      </c>
      <c r="J47" s="159">
        <f>H47*I47</f>
        <v>43000</v>
      </c>
      <c r="K47" s="152"/>
      <c r="L47" s="203"/>
    </row>
    <row r="48" spans="1:12" s="141" customFormat="1">
      <c r="A48" s="147">
        <v>5</v>
      </c>
      <c r="B48" s="143" t="s">
        <v>784</v>
      </c>
      <c r="C48" s="143" t="s">
        <v>785</v>
      </c>
      <c r="D48" s="143" t="s">
        <v>1430</v>
      </c>
      <c r="E48" s="143" t="s">
        <v>1407</v>
      </c>
      <c r="F48" s="143">
        <v>4</v>
      </c>
      <c r="G48" s="143" t="s">
        <v>1326</v>
      </c>
      <c r="H48" s="149">
        <f t="shared" si="0"/>
        <v>4</v>
      </c>
      <c r="I48" s="157">
        <v>1000</v>
      </c>
      <c r="J48" s="159">
        <f>H48*I48</f>
        <v>4000</v>
      </c>
      <c r="K48" s="152"/>
      <c r="L48" s="203"/>
    </row>
    <row r="49" spans="1:14" s="141" customFormat="1">
      <c r="A49" s="147">
        <v>6</v>
      </c>
      <c r="B49" s="143" t="s">
        <v>784</v>
      </c>
      <c r="C49" s="143" t="s">
        <v>785</v>
      </c>
      <c r="D49" s="143" t="s">
        <v>1431</v>
      </c>
      <c r="E49" s="143" t="s">
        <v>1432</v>
      </c>
      <c r="F49" s="143">
        <v>12</v>
      </c>
      <c r="G49" s="143" t="s">
        <v>1427</v>
      </c>
      <c r="H49" s="149">
        <f t="shared" si="0"/>
        <v>12</v>
      </c>
      <c r="I49" s="157">
        <v>1300</v>
      </c>
      <c r="J49" s="159">
        <f>H49*I49</f>
        <v>15600</v>
      </c>
      <c r="K49" s="152"/>
      <c r="L49" s="203"/>
    </row>
    <row r="50" spans="1:14" s="141" customFormat="1">
      <c r="A50" s="147"/>
      <c r="B50" s="187"/>
      <c r="C50" s="187"/>
      <c r="D50" s="187" t="s">
        <v>1319</v>
      </c>
      <c r="E50" s="187" t="s">
        <v>1320</v>
      </c>
      <c r="F50" s="187">
        <v>1</v>
      </c>
      <c r="G50" s="187"/>
      <c r="H50" s="188"/>
      <c r="I50" s="189"/>
      <c r="J50" s="190"/>
      <c r="K50" s="191"/>
      <c r="L50" s="203"/>
    </row>
    <row r="51" spans="1:14" s="141" customFormat="1">
      <c r="A51" s="147">
        <v>1</v>
      </c>
      <c r="B51" s="143" t="s">
        <v>784</v>
      </c>
      <c r="C51" s="143" t="s">
        <v>785</v>
      </c>
      <c r="D51" s="143" t="s">
        <v>1313</v>
      </c>
      <c r="E51" s="143" t="s">
        <v>1369</v>
      </c>
      <c r="F51" s="143">
        <v>1</v>
      </c>
      <c r="G51" s="143" t="s">
        <v>1314</v>
      </c>
      <c r="H51" s="149">
        <f t="shared" si="0"/>
        <v>1</v>
      </c>
      <c r="I51" s="157">
        <v>90000</v>
      </c>
      <c r="J51" s="159">
        <f t="shared" ref="J51:J54" si="6">H51*I51</f>
        <v>90000</v>
      </c>
      <c r="K51" s="152"/>
      <c r="L51" s="203"/>
    </row>
    <row r="52" spans="1:14" s="141" customFormat="1">
      <c r="A52" s="147">
        <v>2</v>
      </c>
      <c r="B52" s="143" t="s">
        <v>784</v>
      </c>
      <c r="C52" s="143" t="s">
        <v>785</v>
      </c>
      <c r="D52" s="143" t="s">
        <v>1433</v>
      </c>
      <c r="E52" s="143" t="s">
        <v>1434</v>
      </c>
      <c r="F52" s="143">
        <v>1</v>
      </c>
      <c r="G52" s="143" t="s">
        <v>1326</v>
      </c>
      <c r="H52" s="149">
        <f t="shared" si="0"/>
        <v>1</v>
      </c>
      <c r="I52" s="157">
        <v>11000</v>
      </c>
      <c r="J52" s="159">
        <f t="shared" si="6"/>
        <v>11000</v>
      </c>
      <c r="K52" s="152"/>
      <c r="L52" s="203"/>
    </row>
    <row r="53" spans="1:14" s="141" customFormat="1">
      <c r="A53" s="147">
        <v>3</v>
      </c>
      <c r="B53" s="143" t="s">
        <v>784</v>
      </c>
      <c r="C53" s="143" t="s">
        <v>785</v>
      </c>
      <c r="D53" s="143" t="s">
        <v>1435</v>
      </c>
      <c r="E53" s="143" t="s">
        <v>1436</v>
      </c>
      <c r="F53" s="143">
        <v>1</v>
      </c>
      <c r="G53" s="143" t="s">
        <v>1326</v>
      </c>
      <c r="H53" s="149">
        <f t="shared" si="0"/>
        <v>1</v>
      </c>
      <c r="I53" s="157">
        <v>15000</v>
      </c>
      <c r="J53" s="159">
        <f t="shared" si="6"/>
        <v>15000</v>
      </c>
      <c r="K53" s="152"/>
      <c r="L53" s="203"/>
    </row>
    <row r="54" spans="1:14" s="141" customFormat="1">
      <c r="A54" s="147">
        <v>4</v>
      </c>
      <c r="B54" s="143" t="s">
        <v>784</v>
      </c>
      <c r="C54" s="143" t="s">
        <v>785</v>
      </c>
      <c r="D54" s="143" t="s">
        <v>1431</v>
      </c>
      <c r="E54" s="143" t="s">
        <v>1432</v>
      </c>
      <c r="F54" s="143">
        <v>4</v>
      </c>
      <c r="G54" s="143" t="s">
        <v>1427</v>
      </c>
      <c r="H54" s="149">
        <f t="shared" si="0"/>
        <v>4</v>
      </c>
      <c r="I54" s="157">
        <v>1100</v>
      </c>
      <c r="J54" s="159">
        <f t="shared" si="6"/>
        <v>4400</v>
      </c>
      <c r="K54" s="152"/>
      <c r="L54" s="203"/>
    </row>
    <row r="55" spans="1:14" s="141" customFormat="1">
      <c r="A55" s="147"/>
      <c r="B55" s="187"/>
      <c r="C55" s="187"/>
      <c r="D55" s="187" t="s">
        <v>1321</v>
      </c>
      <c r="E55" s="187" t="s">
        <v>1322</v>
      </c>
      <c r="F55" s="187">
        <v>1</v>
      </c>
      <c r="G55" s="187"/>
      <c r="H55" s="188"/>
      <c r="I55" s="189"/>
      <c r="J55" s="190"/>
      <c r="K55" s="191"/>
      <c r="L55" s="203"/>
    </row>
    <row r="56" spans="1:14" s="141" customFormat="1">
      <c r="A56" s="147">
        <v>1</v>
      </c>
      <c r="B56" s="143" t="s">
        <v>784</v>
      </c>
      <c r="C56" s="143" t="s">
        <v>785</v>
      </c>
      <c r="D56" s="143" t="s">
        <v>1313</v>
      </c>
      <c r="E56" s="143" t="s">
        <v>1310</v>
      </c>
      <c r="F56" s="143">
        <v>3</v>
      </c>
      <c r="G56" s="143" t="s">
        <v>1314</v>
      </c>
      <c r="H56" s="149">
        <f t="shared" si="0"/>
        <v>3</v>
      </c>
      <c r="I56" s="157">
        <v>33000</v>
      </c>
      <c r="J56" s="159">
        <f t="shared" ref="J56:J60" si="7">H56*I56</f>
        <v>99000</v>
      </c>
      <c r="K56" s="152"/>
      <c r="L56" s="203"/>
    </row>
    <row r="57" spans="1:14" s="141" customFormat="1">
      <c r="A57" s="147">
        <v>2</v>
      </c>
      <c r="B57" s="143" t="s">
        <v>784</v>
      </c>
      <c r="C57" s="143" t="s">
        <v>785</v>
      </c>
      <c r="D57" s="143" t="s">
        <v>1340</v>
      </c>
      <c r="E57" s="143" t="s">
        <v>1341</v>
      </c>
      <c r="F57" s="143">
        <v>1</v>
      </c>
      <c r="G57" s="143" t="s">
        <v>1314</v>
      </c>
      <c r="H57" s="149">
        <f t="shared" si="0"/>
        <v>1</v>
      </c>
      <c r="I57" s="157">
        <v>23000</v>
      </c>
      <c r="J57" s="159">
        <f t="shared" si="7"/>
        <v>23000</v>
      </c>
      <c r="K57" s="152"/>
      <c r="L57" s="203"/>
    </row>
    <row r="58" spans="1:14" s="141" customFormat="1">
      <c r="A58" s="147">
        <v>3</v>
      </c>
      <c r="B58" s="143" t="s">
        <v>784</v>
      </c>
      <c r="C58" s="143" t="s">
        <v>785</v>
      </c>
      <c r="D58" s="143" t="s">
        <v>1315</v>
      </c>
      <c r="E58" s="143" t="s">
        <v>1311</v>
      </c>
      <c r="F58" s="143">
        <v>4</v>
      </c>
      <c r="G58" s="143" t="s">
        <v>1314</v>
      </c>
      <c r="H58" s="149">
        <f t="shared" si="0"/>
        <v>4</v>
      </c>
      <c r="I58" s="157">
        <v>54000</v>
      </c>
      <c r="J58" s="159">
        <f t="shared" si="7"/>
        <v>216000</v>
      </c>
      <c r="K58" s="152"/>
      <c r="L58" s="203"/>
      <c r="M58" s="206">
        <v>5454545</v>
      </c>
      <c r="N58" s="207" t="s">
        <v>1556</v>
      </c>
    </row>
    <row r="59" spans="1:14" s="141" customFormat="1">
      <c r="A59" s="147">
        <v>4</v>
      </c>
      <c r="B59" s="143" t="s">
        <v>784</v>
      </c>
      <c r="C59" s="143" t="s">
        <v>785</v>
      </c>
      <c r="D59" s="143" t="s">
        <v>1316</v>
      </c>
      <c r="E59" s="143" t="s">
        <v>1318</v>
      </c>
      <c r="F59" s="143">
        <v>3</v>
      </c>
      <c r="G59" s="143" t="s">
        <v>1317</v>
      </c>
      <c r="H59" s="149">
        <f t="shared" si="0"/>
        <v>3</v>
      </c>
      <c r="I59" s="157">
        <v>43000</v>
      </c>
      <c r="J59" s="159">
        <f t="shared" si="7"/>
        <v>129000</v>
      </c>
      <c r="K59" s="152"/>
      <c r="L59" s="203"/>
      <c r="M59" s="154">
        <f>600000+500000</f>
        <v>1100000</v>
      </c>
      <c r="N59" s="208" t="s">
        <v>1560</v>
      </c>
    </row>
    <row r="60" spans="1:14" s="141" customFormat="1">
      <c r="A60" s="147">
        <v>5</v>
      </c>
      <c r="B60" s="143" t="s">
        <v>784</v>
      </c>
      <c r="C60" s="143" t="s">
        <v>785</v>
      </c>
      <c r="D60" s="143" t="s">
        <v>1430</v>
      </c>
      <c r="E60" s="143" t="s">
        <v>1404</v>
      </c>
      <c r="F60" s="143">
        <v>4</v>
      </c>
      <c r="G60" s="143" t="s">
        <v>1326</v>
      </c>
      <c r="H60" s="149">
        <f t="shared" si="0"/>
        <v>4</v>
      </c>
      <c r="I60" s="157">
        <v>1000</v>
      </c>
      <c r="J60" s="159">
        <f t="shared" si="7"/>
        <v>4000</v>
      </c>
      <c r="K60" s="152"/>
      <c r="L60" s="203"/>
      <c r="M60" s="154">
        <f>L63*7%</f>
        <v>147646.1</v>
      </c>
      <c r="N60" s="208" t="s">
        <v>1557</v>
      </c>
    </row>
    <row r="61" spans="1:14" s="141" customFormat="1">
      <c r="A61" s="147">
        <v>6</v>
      </c>
      <c r="B61" s="143" t="s">
        <v>784</v>
      </c>
      <c r="C61" s="143" t="s">
        <v>785</v>
      </c>
      <c r="D61" s="143" t="s">
        <v>1437</v>
      </c>
      <c r="E61" s="143" t="s">
        <v>1406</v>
      </c>
      <c r="F61" s="143">
        <v>1</v>
      </c>
      <c r="G61" s="143" t="s">
        <v>1326</v>
      </c>
      <c r="H61" s="149">
        <f t="shared" ref="H61" si="8">F61*J$4</f>
        <v>1</v>
      </c>
      <c r="I61" s="157">
        <v>3000</v>
      </c>
      <c r="J61" s="159">
        <f>H61*I61</f>
        <v>3000</v>
      </c>
      <c r="K61" s="152"/>
      <c r="L61" s="203"/>
      <c r="M61" s="154">
        <f>(L63+M60)*20%</f>
        <v>451375.22000000003</v>
      </c>
      <c r="N61" s="208" t="s">
        <v>1558</v>
      </c>
    </row>
    <row r="62" spans="1:14" s="141" customFormat="1" ht="23" thickBot="1">
      <c r="A62" s="147">
        <v>7</v>
      </c>
      <c r="B62" s="143" t="s">
        <v>784</v>
      </c>
      <c r="C62" s="143" t="s">
        <v>785</v>
      </c>
      <c r="D62" s="143" t="s">
        <v>1431</v>
      </c>
      <c r="E62" s="143" t="s">
        <v>1432</v>
      </c>
      <c r="F62" s="143">
        <v>12</v>
      </c>
      <c r="G62" s="143" t="s">
        <v>1427</v>
      </c>
      <c r="H62" s="149">
        <f t="shared" si="0"/>
        <v>12</v>
      </c>
      <c r="I62" s="157">
        <v>1300</v>
      </c>
      <c r="J62" s="159">
        <f>H62*I62</f>
        <v>15600</v>
      </c>
      <c r="K62" s="152"/>
      <c r="L62" s="203"/>
      <c r="M62" s="154">
        <f>(L63+M60+M61)*25%</f>
        <v>677062.83000000007</v>
      </c>
      <c r="N62" s="208" t="s">
        <v>1559</v>
      </c>
    </row>
    <row r="63" spans="1:14" s="141" customFormat="1" ht="23" thickBot="1">
      <c r="A63" s="192">
        <v>8</v>
      </c>
      <c r="B63" s="193" t="s">
        <v>784</v>
      </c>
      <c r="C63" s="193" t="s">
        <v>785</v>
      </c>
      <c r="D63" s="193" t="s">
        <v>1289</v>
      </c>
      <c r="E63" s="193"/>
      <c r="F63" s="193">
        <v>1</v>
      </c>
      <c r="G63" s="193"/>
      <c r="H63" s="194">
        <f>F63*J4</f>
        <v>1</v>
      </c>
      <c r="I63" s="227">
        <v>876620</v>
      </c>
      <c r="J63" s="226">
        <f>H63*I63</f>
        <v>876620</v>
      </c>
      <c r="K63" s="195"/>
      <c r="L63" s="204">
        <f>SUM(J16:J42)+SUM(J44:J49)</f>
        <v>2109230</v>
      </c>
      <c r="M63" s="209">
        <f>L63+M59+M60+M61+M62</f>
        <v>4485314.1500000004</v>
      </c>
      <c r="N63" s="141" t="s">
        <v>1307</v>
      </c>
    </row>
    <row r="64" spans="1:14" ht="5.25" customHeight="1" thickBot="1"/>
    <row r="65" spans="1:12" s="141" customFormat="1" ht="23" thickBot="1">
      <c r="A65" s="137" t="s">
        <v>80</v>
      </c>
      <c r="B65" s="138" t="s">
        <v>1276</v>
      </c>
      <c r="C65" s="138" t="s">
        <v>1277</v>
      </c>
      <c r="D65" s="138" t="s">
        <v>1278</v>
      </c>
      <c r="E65" s="138" t="s">
        <v>1279</v>
      </c>
      <c r="F65" s="138" t="s">
        <v>1280</v>
      </c>
      <c r="G65" s="138" t="s">
        <v>1281</v>
      </c>
      <c r="H65" s="138" t="s">
        <v>1282</v>
      </c>
      <c r="I65" s="139" t="s">
        <v>1283</v>
      </c>
      <c r="J65" s="138" t="s">
        <v>1030</v>
      </c>
      <c r="K65" s="140" t="s">
        <v>1031</v>
      </c>
      <c r="L65" s="203"/>
    </row>
    <row r="66" spans="1:12" s="141" customFormat="1">
      <c r="A66" s="142">
        <v>1</v>
      </c>
      <c r="B66" s="144" t="s">
        <v>786</v>
      </c>
      <c r="C66" s="144" t="s">
        <v>775</v>
      </c>
      <c r="D66" s="144" t="s">
        <v>1284</v>
      </c>
      <c r="E66" s="144" t="s">
        <v>1353</v>
      </c>
      <c r="F66" s="144">
        <v>1</v>
      </c>
      <c r="G66" s="145" t="s">
        <v>1285</v>
      </c>
      <c r="H66" s="145">
        <f>F66*J$4</f>
        <v>1</v>
      </c>
      <c r="I66" s="156">
        <v>384160</v>
      </c>
      <c r="J66" s="158">
        <f>H66*I66</f>
        <v>384160</v>
      </c>
      <c r="K66" s="146"/>
      <c r="L66" s="203"/>
    </row>
    <row r="67" spans="1:12" s="141" customFormat="1">
      <c r="A67" s="147">
        <v>2</v>
      </c>
      <c r="B67" s="143" t="s">
        <v>786</v>
      </c>
      <c r="C67" s="143" t="s">
        <v>774</v>
      </c>
      <c r="D67" s="143" t="s">
        <v>1284</v>
      </c>
      <c r="E67" s="148" t="s">
        <v>1354</v>
      </c>
      <c r="F67" s="143">
        <v>1</v>
      </c>
      <c r="G67" s="149" t="s">
        <v>1194</v>
      </c>
      <c r="H67" s="149">
        <f>F67*J$4</f>
        <v>1</v>
      </c>
      <c r="I67" s="157">
        <v>310660</v>
      </c>
      <c r="J67" s="159">
        <f>H67*I67</f>
        <v>310660</v>
      </c>
      <c r="K67" s="152"/>
      <c r="L67" s="203"/>
    </row>
    <row r="68" spans="1:12" s="141" customFormat="1">
      <c r="A68" s="147">
        <v>3</v>
      </c>
      <c r="B68" s="143" t="s">
        <v>786</v>
      </c>
      <c r="C68" s="143" t="s">
        <v>774</v>
      </c>
      <c r="D68" s="143" t="s">
        <v>1284</v>
      </c>
      <c r="E68" s="148" t="s">
        <v>1370</v>
      </c>
      <c r="F68" s="143">
        <v>1</v>
      </c>
      <c r="G68" s="149" t="s">
        <v>1194</v>
      </c>
      <c r="H68" s="149">
        <f>F68*J$4</f>
        <v>1</v>
      </c>
      <c r="I68" s="157">
        <f>259920/2</f>
        <v>129960</v>
      </c>
      <c r="J68" s="159">
        <f>H68*I68</f>
        <v>129960</v>
      </c>
      <c r="K68" s="152"/>
      <c r="L68" s="203"/>
    </row>
    <row r="69" spans="1:12" s="141" customFormat="1">
      <c r="A69" s="147">
        <v>4</v>
      </c>
      <c r="B69" s="143" t="s">
        <v>786</v>
      </c>
      <c r="C69" s="143" t="s">
        <v>774</v>
      </c>
      <c r="D69" s="143" t="s">
        <v>1286</v>
      </c>
      <c r="E69" s="148" t="s">
        <v>1375</v>
      </c>
      <c r="F69" s="143">
        <v>1</v>
      </c>
      <c r="G69" s="143" t="s">
        <v>1287</v>
      </c>
      <c r="H69" s="149">
        <f t="shared" ref="H69:H97" si="9">F69*J$4</f>
        <v>1</v>
      </c>
      <c r="I69" s="157">
        <v>165000</v>
      </c>
      <c r="J69" s="159">
        <f t="shared" ref="J69:J97" si="10">H69*I69</f>
        <v>165000</v>
      </c>
      <c r="K69" s="152"/>
      <c r="L69" s="203"/>
    </row>
    <row r="70" spans="1:12" s="141" customFormat="1">
      <c r="A70" s="147">
        <v>5</v>
      </c>
      <c r="B70" s="143" t="s">
        <v>786</v>
      </c>
      <c r="C70" s="143" t="s">
        <v>774</v>
      </c>
      <c r="D70" s="143" t="s">
        <v>1288</v>
      </c>
      <c r="E70" s="148" t="s">
        <v>1294</v>
      </c>
      <c r="F70" s="143">
        <v>12</v>
      </c>
      <c r="G70" s="143" t="s">
        <v>1287</v>
      </c>
      <c r="H70" s="149">
        <f t="shared" si="9"/>
        <v>12</v>
      </c>
      <c r="I70" s="157">
        <v>3000</v>
      </c>
      <c r="J70" s="159">
        <f t="shared" si="10"/>
        <v>36000</v>
      </c>
      <c r="K70" s="152"/>
      <c r="L70" s="203"/>
    </row>
    <row r="71" spans="1:12" s="141" customFormat="1">
      <c r="A71" s="147">
        <v>6</v>
      </c>
      <c r="B71" s="143" t="s">
        <v>786</v>
      </c>
      <c r="C71" s="143" t="s">
        <v>774</v>
      </c>
      <c r="D71" s="143" t="s">
        <v>1286</v>
      </c>
      <c r="E71" s="148" t="s">
        <v>1376</v>
      </c>
      <c r="F71" s="143">
        <v>1</v>
      </c>
      <c r="G71" s="143" t="s">
        <v>1287</v>
      </c>
      <c r="H71" s="149">
        <f t="shared" si="9"/>
        <v>1</v>
      </c>
      <c r="I71" s="157">
        <v>149300</v>
      </c>
      <c r="J71" s="159">
        <f t="shared" si="10"/>
        <v>149300</v>
      </c>
      <c r="K71" s="152"/>
      <c r="L71" s="203"/>
    </row>
    <row r="72" spans="1:12" s="141" customFormat="1">
      <c r="A72" s="147">
        <v>7</v>
      </c>
      <c r="B72" s="143" t="s">
        <v>786</v>
      </c>
      <c r="C72" s="143" t="s">
        <v>774</v>
      </c>
      <c r="D72" s="143" t="s">
        <v>1288</v>
      </c>
      <c r="E72" s="148" t="s">
        <v>1296</v>
      </c>
      <c r="F72" s="143">
        <v>8</v>
      </c>
      <c r="G72" s="143" t="s">
        <v>1287</v>
      </c>
      <c r="H72" s="149">
        <f t="shared" si="9"/>
        <v>8</v>
      </c>
      <c r="I72" s="157">
        <v>1200</v>
      </c>
      <c r="J72" s="159">
        <f t="shared" si="10"/>
        <v>9600</v>
      </c>
      <c r="K72" s="152"/>
      <c r="L72" s="203"/>
    </row>
    <row r="73" spans="1:12" s="141" customFormat="1">
      <c r="A73" s="147">
        <v>8</v>
      </c>
      <c r="B73" s="143" t="s">
        <v>786</v>
      </c>
      <c r="C73" s="143" t="s">
        <v>774</v>
      </c>
      <c r="D73" s="143" t="s">
        <v>1286</v>
      </c>
      <c r="E73" s="148" t="s">
        <v>1377</v>
      </c>
      <c r="F73" s="143">
        <v>1</v>
      </c>
      <c r="G73" s="143" t="s">
        <v>1287</v>
      </c>
      <c r="H73" s="149">
        <f t="shared" si="9"/>
        <v>1</v>
      </c>
      <c r="I73" s="157">
        <v>149300</v>
      </c>
      <c r="J73" s="159">
        <f t="shared" si="10"/>
        <v>149300</v>
      </c>
      <c r="K73" s="152"/>
      <c r="L73" s="203"/>
    </row>
    <row r="74" spans="1:12" s="141" customFormat="1">
      <c r="A74" s="147">
        <v>9</v>
      </c>
      <c r="B74" s="143" t="s">
        <v>786</v>
      </c>
      <c r="C74" s="143" t="s">
        <v>774</v>
      </c>
      <c r="D74" s="143" t="s">
        <v>1288</v>
      </c>
      <c r="E74" s="148" t="s">
        <v>1298</v>
      </c>
      <c r="F74" s="143">
        <v>8</v>
      </c>
      <c r="G74" s="143" t="s">
        <v>1287</v>
      </c>
      <c r="H74" s="149">
        <f t="shared" si="9"/>
        <v>8</v>
      </c>
      <c r="I74" s="157">
        <v>1600</v>
      </c>
      <c r="J74" s="159">
        <f t="shared" si="10"/>
        <v>12800</v>
      </c>
      <c r="K74" s="152"/>
      <c r="L74" s="203"/>
    </row>
    <row r="75" spans="1:12" s="141" customFormat="1">
      <c r="A75" s="147">
        <v>10</v>
      </c>
      <c r="B75" s="143" t="s">
        <v>786</v>
      </c>
      <c r="C75" s="143" t="s">
        <v>774</v>
      </c>
      <c r="D75" s="143" t="s">
        <v>1286</v>
      </c>
      <c r="E75" s="148" t="s">
        <v>1378</v>
      </c>
      <c r="F75" s="143">
        <v>1</v>
      </c>
      <c r="G75" s="143" t="s">
        <v>1287</v>
      </c>
      <c r="H75" s="149">
        <f t="shared" ref="H75:H78" si="11">F75*J$4</f>
        <v>1</v>
      </c>
      <c r="I75" s="157">
        <v>97000</v>
      </c>
      <c r="J75" s="159">
        <f t="shared" si="10"/>
        <v>97000</v>
      </c>
      <c r="K75" s="152"/>
      <c r="L75" s="203"/>
    </row>
    <row r="76" spans="1:12" s="141" customFormat="1">
      <c r="A76" s="147">
        <v>11</v>
      </c>
      <c r="B76" s="143" t="s">
        <v>786</v>
      </c>
      <c r="C76" s="143" t="s">
        <v>774</v>
      </c>
      <c r="D76" s="143" t="s">
        <v>1288</v>
      </c>
      <c r="E76" s="148" t="s">
        <v>1379</v>
      </c>
      <c r="F76" s="143">
        <v>8</v>
      </c>
      <c r="G76" s="143" t="s">
        <v>1287</v>
      </c>
      <c r="H76" s="149">
        <f t="shared" si="11"/>
        <v>8</v>
      </c>
      <c r="I76" s="157">
        <v>1400</v>
      </c>
      <c r="J76" s="159">
        <f t="shared" si="10"/>
        <v>11200</v>
      </c>
      <c r="K76" s="152"/>
      <c r="L76" s="203"/>
    </row>
    <row r="77" spans="1:12" s="141" customFormat="1">
      <c r="A77" s="147">
        <v>12</v>
      </c>
      <c r="B77" s="143" t="s">
        <v>786</v>
      </c>
      <c r="C77" s="143" t="s">
        <v>774</v>
      </c>
      <c r="D77" s="143" t="s">
        <v>1286</v>
      </c>
      <c r="E77" s="148" t="s">
        <v>1380</v>
      </c>
      <c r="F77" s="143">
        <v>1</v>
      </c>
      <c r="G77" s="143" t="s">
        <v>1287</v>
      </c>
      <c r="H77" s="149">
        <f t="shared" si="11"/>
        <v>1</v>
      </c>
      <c r="I77" s="157">
        <v>97000</v>
      </c>
      <c r="J77" s="159">
        <f t="shared" si="10"/>
        <v>97000</v>
      </c>
      <c r="K77" s="152"/>
      <c r="L77" s="203"/>
    </row>
    <row r="78" spans="1:12" s="141" customFormat="1">
      <c r="A78" s="147">
        <v>13</v>
      </c>
      <c r="B78" s="143" t="s">
        <v>786</v>
      </c>
      <c r="C78" s="143" t="s">
        <v>774</v>
      </c>
      <c r="D78" s="143" t="s">
        <v>1288</v>
      </c>
      <c r="E78" s="148" t="s">
        <v>1374</v>
      </c>
      <c r="F78" s="143">
        <v>8</v>
      </c>
      <c r="G78" s="143" t="s">
        <v>1287</v>
      </c>
      <c r="H78" s="149">
        <f t="shared" si="11"/>
        <v>8</v>
      </c>
      <c r="I78" s="157">
        <v>1600</v>
      </c>
      <c r="J78" s="159">
        <f t="shared" si="10"/>
        <v>12800</v>
      </c>
      <c r="K78" s="152"/>
      <c r="L78" s="203"/>
    </row>
    <row r="79" spans="1:12" s="141" customFormat="1">
      <c r="A79" s="147">
        <v>14</v>
      </c>
      <c r="B79" s="143" t="s">
        <v>786</v>
      </c>
      <c r="C79" s="143" t="s">
        <v>774</v>
      </c>
      <c r="D79" s="143" t="s">
        <v>1291</v>
      </c>
      <c r="E79" s="148" t="s">
        <v>1381</v>
      </c>
      <c r="F79" s="143">
        <v>1</v>
      </c>
      <c r="G79" s="143" t="s">
        <v>1287</v>
      </c>
      <c r="H79" s="149">
        <f t="shared" si="9"/>
        <v>1</v>
      </c>
      <c r="I79" s="157">
        <v>50500</v>
      </c>
      <c r="J79" s="159">
        <f t="shared" si="10"/>
        <v>50500</v>
      </c>
      <c r="K79" s="152"/>
      <c r="L79" s="203"/>
    </row>
    <row r="80" spans="1:12" s="141" customFormat="1">
      <c r="A80" s="147">
        <v>15</v>
      </c>
      <c r="B80" s="143" t="s">
        <v>786</v>
      </c>
      <c r="C80" s="143" t="s">
        <v>774</v>
      </c>
      <c r="D80" s="143" t="s">
        <v>1291</v>
      </c>
      <c r="E80" s="148" t="s">
        <v>1382</v>
      </c>
      <c r="F80" s="143">
        <v>1</v>
      </c>
      <c r="G80" s="143" t="s">
        <v>1287</v>
      </c>
      <c r="H80" s="149">
        <f t="shared" si="9"/>
        <v>1</v>
      </c>
      <c r="I80" s="157">
        <v>53000</v>
      </c>
      <c r="J80" s="159">
        <f t="shared" si="10"/>
        <v>53000</v>
      </c>
      <c r="K80" s="152"/>
      <c r="L80" s="203"/>
    </row>
    <row r="81" spans="1:12" s="141" customFormat="1">
      <c r="A81" s="147">
        <v>16</v>
      </c>
      <c r="B81" s="143" t="s">
        <v>786</v>
      </c>
      <c r="C81" s="143" t="s">
        <v>774</v>
      </c>
      <c r="D81" s="143" t="s">
        <v>1288</v>
      </c>
      <c r="E81" s="148" t="s">
        <v>1300</v>
      </c>
      <c r="F81" s="143">
        <v>8</v>
      </c>
      <c r="G81" s="143" t="s">
        <v>1287</v>
      </c>
      <c r="H81" s="149">
        <f t="shared" si="9"/>
        <v>8</v>
      </c>
      <c r="I81" s="157">
        <v>2800</v>
      </c>
      <c r="J81" s="159">
        <f t="shared" si="10"/>
        <v>22400</v>
      </c>
      <c r="K81" s="152"/>
      <c r="L81" s="203"/>
    </row>
    <row r="82" spans="1:12" s="141" customFormat="1">
      <c r="A82" s="147">
        <v>17</v>
      </c>
      <c r="B82" s="143" t="s">
        <v>786</v>
      </c>
      <c r="C82" s="143" t="s">
        <v>774</v>
      </c>
      <c r="D82" s="143" t="s">
        <v>1336</v>
      </c>
      <c r="E82" s="148" t="s">
        <v>1335</v>
      </c>
      <c r="F82" s="143">
        <v>1</v>
      </c>
      <c r="G82" s="143" t="s">
        <v>1326</v>
      </c>
      <c r="H82" s="149">
        <f t="shared" si="9"/>
        <v>1</v>
      </c>
      <c r="I82" s="157">
        <v>2500</v>
      </c>
      <c r="J82" s="159">
        <f t="shared" si="10"/>
        <v>2500</v>
      </c>
      <c r="K82" s="152"/>
      <c r="L82" s="203"/>
    </row>
    <row r="83" spans="1:12" s="141" customFormat="1">
      <c r="A83" s="147">
        <v>18</v>
      </c>
      <c r="B83" s="143" t="s">
        <v>786</v>
      </c>
      <c r="C83" s="143" t="s">
        <v>774</v>
      </c>
      <c r="D83" s="143" t="s">
        <v>1337</v>
      </c>
      <c r="E83" s="143" t="s">
        <v>1301</v>
      </c>
      <c r="F83" s="143">
        <v>1</v>
      </c>
      <c r="G83" s="143" t="s">
        <v>1287</v>
      </c>
      <c r="H83" s="149">
        <f t="shared" si="9"/>
        <v>1</v>
      </c>
      <c r="I83" s="157">
        <f>1200+1200</f>
        <v>2400</v>
      </c>
      <c r="J83" s="159">
        <f t="shared" si="10"/>
        <v>2400</v>
      </c>
      <c r="K83" s="152"/>
      <c r="L83" s="203"/>
    </row>
    <row r="84" spans="1:12" s="141" customFormat="1">
      <c r="A84" s="147">
        <v>19</v>
      </c>
      <c r="B84" s="143" t="s">
        <v>786</v>
      </c>
      <c r="C84" s="143" t="s">
        <v>774</v>
      </c>
      <c r="D84" s="143" t="s">
        <v>1415</v>
      </c>
      <c r="E84" s="148" t="s">
        <v>1416</v>
      </c>
      <c r="F84" s="143">
        <v>1</v>
      </c>
      <c r="G84" s="143" t="s">
        <v>1417</v>
      </c>
      <c r="H84" s="149">
        <f t="shared" si="9"/>
        <v>1</v>
      </c>
      <c r="I84" s="157">
        <v>1250</v>
      </c>
      <c r="J84" s="159">
        <f t="shared" si="10"/>
        <v>1250</v>
      </c>
      <c r="K84" s="152"/>
      <c r="L84" s="203"/>
    </row>
    <row r="85" spans="1:12" s="141" customFormat="1">
      <c r="A85" s="147">
        <v>20</v>
      </c>
      <c r="B85" s="143" t="s">
        <v>786</v>
      </c>
      <c r="C85" s="143" t="s">
        <v>774</v>
      </c>
      <c r="D85" s="143" t="s">
        <v>1329</v>
      </c>
      <c r="E85" s="148" t="s">
        <v>1342</v>
      </c>
      <c r="F85" s="143">
        <v>30</v>
      </c>
      <c r="G85" s="143" t="s">
        <v>1326</v>
      </c>
      <c r="H85" s="149">
        <f t="shared" si="9"/>
        <v>30</v>
      </c>
      <c r="I85" s="157">
        <f>1200+2400</f>
        <v>3600</v>
      </c>
      <c r="J85" s="159">
        <f t="shared" si="10"/>
        <v>108000</v>
      </c>
      <c r="K85" s="152"/>
      <c r="L85" s="203"/>
    </row>
    <row r="86" spans="1:12" s="141" customFormat="1">
      <c r="A86" s="147">
        <v>21</v>
      </c>
      <c r="B86" s="143" t="s">
        <v>786</v>
      </c>
      <c r="C86" s="143" t="s">
        <v>774</v>
      </c>
      <c r="D86" s="143" t="s">
        <v>1323</v>
      </c>
      <c r="E86" s="148" t="s">
        <v>1324</v>
      </c>
      <c r="F86" s="143">
        <v>1</v>
      </c>
      <c r="G86" s="143" t="s">
        <v>1325</v>
      </c>
      <c r="H86" s="149">
        <f t="shared" si="9"/>
        <v>1</v>
      </c>
      <c r="I86" s="157">
        <f>49000/2</f>
        <v>24500</v>
      </c>
      <c r="J86" s="159">
        <f t="shared" si="10"/>
        <v>24500</v>
      </c>
      <c r="K86" s="152"/>
      <c r="L86" s="203"/>
    </row>
    <row r="87" spans="1:12" s="141" customFormat="1">
      <c r="A87" s="147">
        <v>22</v>
      </c>
      <c r="B87" s="143" t="s">
        <v>786</v>
      </c>
      <c r="C87" s="143" t="s">
        <v>774</v>
      </c>
      <c r="D87" s="143" t="s">
        <v>1330</v>
      </c>
      <c r="E87" s="143" t="s">
        <v>1338</v>
      </c>
      <c r="F87" s="143">
        <v>1</v>
      </c>
      <c r="G87" s="143" t="s">
        <v>1326</v>
      </c>
      <c r="H87" s="149">
        <f t="shared" si="9"/>
        <v>1</v>
      </c>
      <c r="I87" s="157">
        <v>6500</v>
      </c>
      <c r="J87" s="159">
        <f t="shared" si="10"/>
        <v>6500</v>
      </c>
      <c r="K87" s="152"/>
      <c r="L87" s="203"/>
    </row>
    <row r="88" spans="1:12" s="141" customFormat="1">
      <c r="A88" s="147">
        <v>23</v>
      </c>
      <c r="B88" s="143" t="s">
        <v>786</v>
      </c>
      <c r="C88" s="143" t="s">
        <v>774</v>
      </c>
      <c r="D88" s="143" t="s">
        <v>1384</v>
      </c>
      <c r="E88" s="143" t="s">
        <v>1331</v>
      </c>
      <c r="F88" s="143">
        <v>1</v>
      </c>
      <c r="G88" s="143" t="s">
        <v>1326</v>
      </c>
      <c r="H88" s="149">
        <f t="shared" si="9"/>
        <v>1</v>
      </c>
      <c r="I88" s="157">
        <v>8000</v>
      </c>
      <c r="J88" s="159">
        <f t="shared" si="10"/>
        <v>8000</v>
      </c>
      <c r="K88" s="152"/>
      <c r="L88" s="203"/>
    </row>
    <row r="89" spans="1:12" s="141" customFormat="1">
      <c r="A89" s="147">
        <v>24</v>
      </c>
      <c r="B89" s="143" t="s">
        <v>786</v>
      </c>
      <c r="C89" s="143" t="s">
        <v>774</v>
      </c>
      <c r="D89" s="143" t="s">
        <v>1332</v>
      </c>
      <c r="E89" s="143" t="s">
        <v>1327</v>
      </c>
      <c r="F89" s="143">
        <v>1</v>
      </c>
      <c r="G89" s="143" t="s">
        <v>1333</v>
      </c>
      <c r="H89" s="149">
        <f t="shared" si="9"/>
        <v>1</v>
      </c>
      <c r="I89" s="157">
        <v>2500</v>
      </c>
      <c r="J89" s="159">
        <f t="shared" si="10"/>
        <v>2500</v>
      </c>
      <c r="K89" s="152"/>
      <c r="L89" s="203"/>
    </row>
    <row r="90" spans="1:12" s="141" customFormat="1">
      <c r="A90" s="147">
        <v>25</v>
      </c>
      <c r="B90" s="143" t="s">
        <v>786</v>
      </c>
      <c r="C90" s="143" t="s">
        <v>774</v>
      </c>
      <c r="D90" s="143" t="s">
        <v>1419</v>
      </c>
      <c r="E90" s="143" t="s">
        <v>1420</v>
      </c>
      <c r="F90" s="143">
        <v>2</v>
      </c>
      <c r="G90" s="143" t="s">
        <v>1326</v>
      </c>
      <c r="H90" s="149">
        <f t="shared" si="9"/>
        <v>2</v>
      </c>
      <c r="I90" s="157">
        <v>5500</v>
      </c>
      <c r="J90" s="159">
        <f t="shared" si="10"/>
        <v>11000</v>
      </c>
      <c r="K90" s="152"/>
      <c r="L90" s="203"/>
    </row>
    <row r="91" spans="1:12" s="141" customFormat="1">
      <c r="A91" s="147">
        <v>26</v>
      </c>
      <c r="B91" s="143" t="s">
        <v>786</v>
      </c>
      <c r="C91" s="143" t="s">
        <v>774</v>
      </c>
      <c r="D91" s="143" t="s">
        <v>1334</v>
      </c>
      <c r="E91" s="143" t="s">
        <v>1328</v>
      </c>
      <c r="F91" s="143">
        <v>1</v>
      </c>
      <c r="G91" s="143" t="s">
        <v>1333</v>
      </c>
      <c r="H91" s="149">
        <f t="shared" si="9"/>
        <v>1</v>
      </c>
      <c r="I91" s="157">
        <v>15000</v>
      </c>
      <c r="J91" s="159">
        <f t="shared" si="10"/>
        <v>15000</v>
      </c>
      <c r="K91" s="152"/>
      <c r="L91" s="203"/>
    </row>
    <row r="92" spans="1:12" s="141" customFormat="1">
      <c r="A92" s="147">
        <v>27</v>
      </c>
      <c r="B92" s="143" t="s">
        <v>786</v>
      </c>
      <c r="C92" s="143" t="s">
        <v>774</v>
      </c>
      <c r="D92" s="143" t="s">
        <v>1421</v>
      </c>
      <c r="E92" s="143" t="s">
        <v>1422</v>
      </c>
      <c r="F92" s="143">
        <v>1</v>
      </c>
      <c r="G92" s="143" t="s">
        <v>1326</v>
      </c>
      <c r="H92" s="149">
        <f t="shared" si="9"/>
        <v>1</v>
      </c>
      <c r="I92" s="157">
        <v>2500</v>
      </c>
      <c r="J92" s="159">
        <f t="shared" si="10"/>
        <v>2500</v>
      </c>
      <c r="K92" s="152"/>
      <c r="L92" s="203"/>
    </row>
    <row r="93" spans="1:12" s="141" customFormat="1">
      <c r="A93" s="147">
        <v>28</v>
      </c>
      <c r="B93" s="143" t="s">
        <v>786</v>
      </c>
      <c r="C93" s="143" t="s">
        <v>774</v>
      </c>
      <c r="D93" s="143" t="s">
        <v>1423</v>
      </c>
      <c r="E93" s="143" t="s">
        <v>1408</v>
      </c>
      <c r="F93" s="143">
        <v>6</v>
      </c>
      <c r="G93" s="143" t="s">
        <v>1326</v>
      </c>
      <c r="H93" s="149">
        <f t="shared" si="9"/>
        <v>6</v>
      </c>
      <c r="I93" s="157">
        <v>7500</v>
      </c>
      <c r="J93" s="159">
        <f t="shared" si="10"/>
        <v>45000</v>
      </c>
      <c r="K93" s="152"/>
      <c r="L93" s="203"/>
    </row>
    <row r="94" spans="1:12" s="141" customFormat="1">
      <c r="A94" s="147">
        <v>29</v>
      </c>
      <c r="B94" s="143" t="s">
        <v>786</v>
      </c>
      <c r="C94" s="143" t="s">
        <v>774</v>
      </c>
      <c r="D94" s="143" t="s">
        <v>1424</v>
      </c>
      <c r="E94" s="143" t="s">
        <v>1425</v>
      </c>
      <c r="F94" s="143">
        <v>1</v>
      </c>
      <c r="G94" s="143" t="s">
        <v>1326</v>
      </c>
      <c r="H94" s="149">
        <f t="shared" si="9"/>
        <v>1</v>
      </c>
      <c r="I94" s="157">
        <v>5500</v>
      </c>
      <c r="J94" s="159">
        <f t="shared" si="10"/>
        <v>5500</v>
      </c>
      <c r="K94" s="152"/>
      <c r="L94" s="203"/>
    </row>
    <row r="95" spans="1:12" s="141" customFormat="1">
      <c r="A95" s="147">
        <v>30</v>
      </c>
      <c r="B95" s="143" t="s">
        <v>786</v>
      </c>
      <c r="C95" s="143" t="s">
        <v>774</v>
      </c>
      <c r="D95" s="143" t="s">
        <v>1426</v>
      </c>
      <c r="E95" s="143" t="s">
        <v>1405</v>
      </c>
      <c r="F95" s="143">
        <v>1</v>
      </c>
      <c r="G95" s="143" t="s">
        <v>1427</v>
      </c>
      <c r="H95" s="149">
        <f t="shared" si="9"/>
        <v>1</v>
      </c>
      <c r="I95" s="157">
        <v>1500</v>
      </c>
      <c r="J95" s="159">
        <f t="shared" si="10"/>
        <v>1500</v>
      </c>
      <c r="K95" s="152"/>
      <c r="L95" s="203"/>
    </row>
    <row r="96" spans="1:12" s="141" customFormat="1">
      <c r="A96" s="147">
        <v>31</v>
      </c>
      <c r="B96" s="143" t="s">
        <v>786</v>
      </c>
      <c r="C96" s="143" t="s">
        <v>774</v>
      </c>
      <c r="D96" s="143" t="s">
        <v>1428</v>
      </c>
      <c r="E96" s="143" t="s">
        <v>1429</v>
      </c>
      <c r="F96" s="143">
        <v>1</v>
      </c>
      <c r="G96" s="143" t="s">
        <v>1427</v>
      </c>
      <c r="H96" s="149">
        <f t="shared" si="9"/>
        <v>1</v>
      </c>
      <c r="I96" s="157">
        <v>75000</v>
      </c>
      <c r="J96" s="159">
        <f t="shared" si="10"/>
        <v>75000</v>
      </c>
      <c r="K96" s="152"/>
      <c r="L96" s="203"/>
    </row>
    <row r="97" spans="1:12" s="141" customFormat="1">
      <c r="A97" s="147">
        <v>32</v>
      </c>
      <c r="B97" s="143" t="s">
        <v>786</v>
      </c>
      <c r="C97" s="143" t="s">
        <v>774</v>
      </c>
      <c r="D97" s="143" t="s">
        <v>1538</v>
      </c>
      <c r="E97" s="143" t="s">
        <v>1405</v>
      </c>
      <c r="F97" s="143">
        <v>16</v>
      </c>
      <c r="G97" s="143" t="s">
        <v>1427</v>
      </c>
      <c r="H97" s="149">
        <f t="shared" si="9"/>
        <v>16</v>
      </c>
      <c r="I97" s="157">
        <v>600</v>
      </c>
      <c r="J97" s="159">
        <f t="shared" si="10"/>
        <v>9600</v>
      </c>
      <c r="K97" s="152"/>
      <c r="L97" s="203"/>
    </row>
    <row r="98" spans="1:12" s="141" customFormat="1">
      <c r="A98" s="147"/>
      <c r="B98" s="187"/>
      <c r="C98" s="187"/>
      <c r="D98" s="187" t="s">
        <v>1312</v>
      </c>
      <c r="E98" s="187" t="s">
        <v>1309</v>
      </c>
      <c r="F98" s="187">
        <v>1</v>
      </c>
      <c r="G98" s="187"/>
      <c r="H98" s="188"/>
      <c r="I98" s="189"/>
      <c r="J98" s="190"/>
      <c r="K98" s="191"/>
      <c r="L98" s="203"/>
    </row>
    <row r="99" spans="1:12" s="141" customFormat="1">
      <c r="A99" s="147">
        <v>1</v>
      </c>
      <c r="B99" s="143" t="s">
        <v>1412</v>
      </c>
      <c r="C99" s="143" t="s">
        <v>774</v>
      </c>
      <c r="D99" s="143" t="s">
        <v>1339</v>
      </c>
      <c r="E99" s="143" t="s">
        <v>1310</v>
      </c>
      <c r="F99" s="143">
        <v>2</v>
      </c>
      <c r="G99" s="143" t="s">
        <v>1314</v>
      </c>
      <c r="H99" s="149">
        <f t="shared" ref="H99:H104" si="12">F99*J$4</f>
        <v>2</v>
      </c>
      <c r="I99" s="157">
        <v>33000</v>
      </c>
      <c r="J99" s="159">
        <f t="shared" ref="J99:J101" si="13">H99*I99</f>
        <v>66000</v>
      </c>
      <c r="K99" s="152"/>
      <c r="L99" s="203"/>
    </row>
    <row r="100" spans="1:12" s="141" customFormat="1">
      <c r="A100" s="147">
        <v>2</v>
      </c>
      <c r="B100" s="143" t="s">
        <v>1412</v>
      </c>
      <c r="C100" s="143" t="s">
        <v>774</v>
      </c>
      <c r="D100" s="143" t="s">
        <v>1340</v>
      </c>
      <c r="E100" s="143" t="s">
        <v>1341</v>
      </c>
      <c r="F100" s="143">
        <v>1</v>
      </c>
      <c r="G100" s="143" t="s">
        <v>1314</v>
      </c>
      <c r="H100" s="149">
        <f t="shared" si="12"/>
        <v>1</v>
      </c>
      <c r="I100" s="157">
        <v>23000</v>
      </c>
      <c r="J100" s="159">
        <f t="shared" si="13"/>
        <v>23000</v>
      </c>
      <c r="K100" s="152"/>
      <c r="L100" s="203"/>
    </row>
    <row r="101" spans="1:12" s="141" customFormat="1">
      <c r="A101" s="147">
        <v>3</v>
      </c>
      <c r="B101" s="143" t="s">
        <v>1412</v>
      </c>
      <c r="C101" s="143" t="s">
        <v>774</v>
      </c>
      <c r="D101" s="143" t="s">
        <v>1315</v>
      </c>
      <c r="E101" s="143" t="s">
        <v>1311</v>
      </c>
      <c r="F101" s="143">
        <v>2</v>
      </c>
      <c r="G101" s="143" t="s">
        <v>1314</v>
      </c>
      <c r="H101" s="149">
        <f t="shared" si="12"/>
        <v>2</v>
      </c>
      <c r="I101" s="157">
        <v>54000</v>
      </c>
      <c r="J101" s="159">
        <f t="shared" si="13"/>
        <v>108000</v>
      </c>
      <c r="K101" s="152"/>
      <c r="L101" s="203"/>
    </row>
    <row r="102" spans="1:12" s="141" customFormat="1">
      <c r="A102" s="147">
        <v>4</v>
      </c>
      <c r="B102" s="143" t="s">
        <v>1412</v>
      </c>
      <c r="C102" s="143" t="s">
        <v>774</v>
      </c>
      <c r="D102" s="143" t="s">
        <v>1316</v>
      </c>
      <c r="E102" s="143" t="s">
        <v>1318</v>
      </c>
      <c r="F102" s="143">
        <v>1</v>
      </c>
      <c r="G102" s="143" t="s">
        <v>1317</v>
      </c>
      <c r="H102" s="149">
        <f t="shared" si="12"/>
        <v>1</v>
      </c>
      <c r="I102" s="157">
        <v>43000</v>
      </c>
      <c r="J102" s="159">
        <f>H102*I102</f>
        <v>43000</v>
      </c>
      <c r="K102" s="152"/>
      <c r="L102" s="203"/>
    </row>
    <row r="103" spans="1:12" s="141" customFormat="1">
      <c r="A103" s="147">
        <v>5</v>
      </c>
      <c r="B103" s="143" t="s">
        <v>1412</v>
      </c>
      <c r="C103" s="143" t="s">
        <v>774</v>
      </c>
      <c r="D103" s="143" t="s">
        <v>1430</v>
      </c>
      <c r="E103" s="143" t="s">
        <v>1407</v>
      </c>
      <c r="F103" s="143">
        <v>4</v>
      </c>
      <c r="G103" s="143" t="s">
        <v>1326</v>
      </c>
      <c r="H103" s="149">
        <f t="shared" si="12"/>
        <v>4</v>
      </c>
      <c r="I103" s="157">
        <v>1000</v>
      </c>
      <c r="J103" s="159">
        <f>H103*I103</f>
        <v>4000</v>
      </c>
      <c r="K103" s="152"/>
      <c r="L103" s="203"/>
    </row>
    <row r="104" spans="1:12" s="141" customFormat="1">
      <c r="A104" s="147">
        <v>6</v>
      </c>
      <c r="B104" s="143" t="s">
        <v>1412</v>
      </c>
      <c r="C104" s="143" t="s">
        <v>774</v>
      </c>
      <c r="D104" s="143" t="s">
        <v>1431</v>
      </c>
      <c r="E104" s="143" t="s">
        <v>1432</v>
      </c>
      <c r="F104" s="143">
        <v>12</v>
      </c>
      <c r="G104" s="143" t="s">
        <v>1427</v>
      </c>
      <c r="H104" s="149">
        <f t="shared" si="12"/>
        <v>12</v>
      </c>
      <c r="I104" s="157">
        <v>1300</v>
      </c>
      <c r="J104" s="159">
        <f>H104*I104</f>
        <v>15600</v>
      </c>
      <c r="K104" s="152"/>
      <c r="L104" s="203"/>
    </row>
    <row r="105" spans="1:12" s="141" customFormat="1">
      <c r="A105" s="147"/>
      <c r="B105" s="187"/>
      <c r="C105" s="187"/>
      <c r="D105" s="200" t="s">
        <v>1543</v>
      </c>
      <c r="E105" s="200" t="s">
        <v>1544</v>
      </c>
      <c r="F105" s="187">
        <v>1</v>
      </c>
      <c r="G105" s="187"/>
      <c r="H105" s="188"/>
      <c r="I105" s="189"/>
      <c r="J105" s="190"/>
      <c r="K105" s="191"/>
      <c r="L105" s="203"/>
    </row>
    <row r="106" spans="1:12" s="141" customFormat="1">
      <c r="A106" s="147">
        <v>1</v>
      </c>
      <c r="B106" s="143" t="s">
        <v>1412</v>
      </c>
      <c r="C106" s="143" t="s">
        <v>774</v>
      </c>
      <c r="D106" s="143" t="s">
        <v>1339</v>
      </c>
      <c r="E106" s="143" t="s">
        <v>1310</v>
      </c>
      <c r="F106" s="143">
        <v>4</v>
      </c>
      <c r="G106" s="143" t="s">
        <v>1314</v>
      </c>
      <c r="H106" s="149">
        <f t="shared" ref="H106:H111" si="14">F106*J$4</f>
        <v>4</v>
      </c>
      <c r="I106" s="157">
        <v>33000</v>
      </c>
      <c r="J106" s="159">
        <f t="shared" ref="J106:J108" si="15">H106*I106</f>
        <v>132000</v>
      </c>
      <c r="K106" s="152"/>
      <c r="L106" s="203"/>
    </row>
    <row r="107" spans="1:12" s="141" customFormat="1">
      <c r="A107" s="147">
        <v>2</v>
      </c>
      <c r="B107" s="143" t="s">
        <v>1412</v>
      </c>
      <c r="C107" s="143" t="s">
        <v>774</v>
      </c>
      <c r="D107" s="143" t="s">
        <v>1340</v>
      </c>
      <c r="E107" s="143" t="s">
        <v>1341</v>
      </c>
      <c r="F107" s="143">
        <v>1</v>
      </c>
      <c r="G107" s="143" t="s">
        <v>1314</v>
      </c>
      <c r="H107" s="149">
        <f t="shared" si="14"/>
        <v>1</v>
      </c>
      <c r="I107" s="157">
        <v>23000</v>
      </c>
      <c r="J107" s="159">
        <f t="shared" si="15"/>
        <v>23000</v>
      </c>
      <c r="K107" s="152"/>
      <c r="L107" s="203"/>
    </row>
    <row r="108" spans="1:12" s="141" customFormat="1">
      <c r="A108" s="147">
        <v>3</v>
      </c>
      <c r="B108" s="143" t="s">
        <v>1412</v>
      </c>
      <c r="C108" s="143" t="s">
        <v>774</v>
      </c>
      <c r="D108" s="143" t="s">
        <v>1315</v>
      </c>
      <c r="E108" s="143" t="s">
        <v>1311</v>
      </c>
      <c r="F108" s="143">
        <v>5</v>
      </c>
      <c r="G108" s="143" t="s">
        <v>1314</v>
      </c>
      <c r="H108" s="149">
        <f t="shared" si="14"/>
        <v>5</v>
      </c>
      <c r="I108" s="157">
        <v>54000</v>
      </c>
      <c r="J108" s="159">
        <f t="shared" si="15"/>
        <v>270000</v>
      </c>
      <c r="K108" s="152"/>
      <c r="L108" s="203"/>
    </row>
    <row r="109" spans="1:12" s="141" customFormat="1">
      <c r="A109" s="147">
        <v>4</v>
      </c>
      <c r="B109" s="143" t="s">
        <v>1412</v>
      </c>
      <c r="C109" s="143" t="s">
        <v>774</v>
      </c>
      <c r="D109" s="143" t="s">
        <v>1316</v>
      </c>
      <c r="E109" s="143" t="s">
        <v>1318</v>
      </c>
      <c r="F109" s="143">
        <v>2</v>
      </c>
      <c r="G109" s="143" t="s">
        <v>1317</v>
      </c>
      <c r="H109" s="149">
        <f t="shared" si="14"/>
        <v>2</v>
      </c>
      <c r="I109" s="157">
        <v>43000</v>
      </c>
      <c r="J109" s="159">
        <f>H109*I109</f>
        <v>86000</v>
      </c>
      <c r="K109" s="152"/>
      <c r="L109" s="203"/>
    </row>
    <row r="110" spans="1:12" s="141" customFormat="1">
      <c r="A110" s="147">
        <v>5</v>
      </c>
      <c r="B110" s="143" t="s">
        <v>1412</v>
      </c>
      <c r="C110" s="143" t="s">
        <v>774</v>
      </c>
      <c r="D110" s="143" t="s">
        <v>1430</v>
      </c>
      <c r="E110" s="143" t="s">
        <v>1407</v>
      </c>
      <c r="F110" s="143">
        <v>4</v>
      </c>
      <c r="G110" s="143" t="s">
        <v>1326</v>
      </c>
      <c r="H110" s="149">
        <f t="shared" si="14"/>
        <v>4</v>
      </c>
      <c r="I110" s="157">
        <v>1000</v>
      </c>
      <c r="J110" s="159">
        <f>H110*I110</f>
        <v>4000</v>
      </c>
      <c r="K110" s="152"/>
      <c r="L110" s="203"/>
    </row>
    <row r="111" spans="1:12" s="141" customFormat="1">
      <c r="A111" s="147">
        <v>6</v>
      </c>
      <c r="B111" s="143" t="s">
        <v>1412</v>
      </c>
      <c r="C111" s="143" t="s">
        <v>774</v>
      </c>
      <c r="D111" s="143" t="s">
        <v>1431</v>
      </c>
      <c r="E111" s="143" t="s">
        <v>1432</v>
      </c>
      <c r="F111" s="143">
        <v>12</v>
      </c>
      <c r="G111" s="143" t="s">
        <v>1427</v>
      </c>
      <c r="H111" s="149">
        <f t="shared" si="14"/>
        <v>12</v>
      </c>
      <c r="I111" s="157">
        <v>1300</v>
      </c>
      <c r="J111" s="159">
        <f>H111*I111</f>
        <v>15600</v>
      </c>
      <c r="K111" s="152"/>
      <c r="L111" s="203"/>
    </row>
    <row r="112" spans="1:12" s="141" customFormat="1">
      <c r="A112" s="147"/>
      <c r="B112" s="187"/>
      <c r="C112" s="187"/>
      <c r="D112" s="187" t="s">
        <v>1319</v>
      </c>
      <c r="E112" s="187" t="s">
        <v>1320</v>
      </c>
      <c r="F112" s="187">
        <v>1</v>
      </c>
      <c r="G112" s="187"/>
      <c r="H112" s="188"/>
      <c r="I112" s="189"/>
      <c r="J112" s="190"/>
      <c r="K112" s="191"/>
      <c r="L112" s="203"/>
    </row>
    <row r="113" spans="1:12" s="141" customFormat="1">
      <c r="A113" s="147">
        <v>1</v>
      </c>
      <c r="B113" s="143" t="s">
        <v>1412</v>
      </c>
      <c r="C113" s="143" t="s">
        <v>774</v>
      </c>
      <c r="D113" s="143" t="s">
        <v>1313</v>
      </c>
      <c r="E113" s="143" t="s">
        <v>1369</v>
      </c>
      <c r="F113" s="143">
        <v>1</v>
      </c>
      <c r="G113" s="143" t="s">
        <v>1314</v>
      </c>
      <c r="H113" s="149">
        <f t="shared" ref="H113:H116" si="16">F113*J$4</f>
        <v>1</v>
      </c>
      <c r="I113" s="157">
        <v>90000</v>
      </c>
      <c r="J113" s="159">
        <f t="shared" ref="J113:J116" si="17">H113*I113</f>
        <v>90000</v>
      </c>
      <c r="K113" s="152"/>
      <c r="L113" s="203"/>
    </row>
    <row r="114" spans="1:12" s="141" customFormat="1">
      <c r="A114" s="147">
        <v>2</v>
      </c>
      <c r="B114" s="143" t="s">
        <v>1412</v>
      </c>
      <c r="C114" s="143" t="s">
        <v>774</v>
      </c>
      <c r="D114" s="143" t="s">
        <v>1433</v>
      </c>
      <c r="E114" s="143" t="s">
        <v>1434</v>
      </c>
      <c r="F114" s="143">
        <v>1</v>
      </c>
      <c r="G114" s="143" t="s">
        <v>1326</v>
      </c>
      <c r="H114" s="149">
        <f t="shared" si="16"/>
        <v>1</v>
      </c>
      <c r="I114" s="157">
        <v>11000</v>
      </c>
      <c r="J114" s="159">
        <f t="shared" si="17"/>
        <v>11000</v>
      </c>
      <c r="K114" s="152"/>
      <c r="L114" s="203"/>
    </row>
    <row r="115" spans="1:12" s="141" customFormat="1">
      <c r="A115" s="147">
        <v>3</v>
      </c>
      <c r="B115" s="143" t="s">
        <v>1412</v>
      </c>
      <c r="C115" s="143" t="s">
        <v>774</v>
      </c>
      <c r="D115" s="143" t="s">
        <v>1435</v>
      </c>
      <c r="E115" s="143" t="s">
        <v>1436</v>
      </c>
      <c r="F115" s="143">
        <v>1</v>
      </c>
      <c r="G115" s="143" t="s">
        <v>1326</v>
      </c>
      <c r="H115" s="149">
        <f t="shared" si="16"/>
        <v>1</v>
      </c>
      <c r="I115" s="157">
        <v>15000</v>
      </c>
      <c r="J115" s="159">
        <f t="shared" si="17"/>
        <v>15000</v>
      </c>
      <c r="K115" s="152"/>
      <c r="L115" s="203"/>
    </row>
    <row r="116" spans="1:12" s="141" customFormat="1">
      <c r="A116" s="147">
        <v>4</v>
      </c>
      <c r="B116" s="143" t="s">
        <v>1412</v>
      </c>
      <c r="C116" s="143" t="s">
        <v>774</v>
      </c>
      <c r="D116" s="143" t="s">
        <v>1431</v>
      </c>
      <c r="E116" s="143" t="s">
        <v>1432</v>
      </c>
      <c r="F116" s="143">
        <v>4</v>
      </c>
      <c r="G116" s="143" t="s">
        <v>1427</v>
      </c>
      <c r="H116" s="149">
        <f t="shared" si="16"/>
        <v>4</v>
      </c>
      <c r="I116" s="157">
        <v>1100</v>
      </c>
      <c r="J116" s="159">
        <f t="shared" si="17"/>
        <v>4400</v>
      </c>
      <c r="K116" s="152"/>
      <c r="L116" s="203"/>
    </row>
    <row r="117" spans="1:12" s="141" customFormat="1">
      <c r="A117" s="147"/>
      <c r="B117" s="187"/>
      <c r="C117" s="187"/>
      <c r="D117" s="200" t="s">
        <v>1545</v>
      </c>
      <c r="E117" s="187" t="s">
        <v>1320</v>
      </c>
      <c r="F117" s="187">
        <v>1</v>
      </c>
      <c r="G117" s="187"/>
      <c r="H117" s="188"/>
      <c r="I117" s="189"/>
      <c r="J117" s="190"/>
      <c r="K117" s="191"/>
      <c r="L117" s="203"/>
    </row>
    <row r="118" spans="1:12" s="141" customFormat="1">
      <c r="A118" s="147">
        <v>1</v>
      </c>
      <c r="B118" s="143" t="s">
        <v>1412</v>
      </c>
      <c r="C118" s="143" t="s">
        <v>774</v>
      </c>
      <c r="D118" s="143" t="s">
        <v>1313</v>
      </c>
      <c r="E118" s="143" t="s">
        <v>1369</v>
      </c>
      <c r="F118" s="143">
        <v>2</v>
      </c>
      <c r="G118" s="143" t="s">
        <v>1314</v>
      </c>
      <c r="H118" s="149">
        <f t="shared" ref="H118:H121" si="18">F118*J$4</f>
        <v>2</v>
      </c>
      <c r="I118" s="157">
        <v>90000</v>
      </c>
      <c r="J118" s="159">
        <f t="shared" ref="J118:J121" si="19">H118*I118</f>
        <v>180000</v>
      </c>
      <c r="K118" s="152"/>
      <c r="L118" s="203"/>
    </row>
    <row r="119" spans="1:12" s="141" customFormat="1">
      <c r="A119" s="147">
        <v>2</v>
      </c>
      <c r="B119" s="143" t="s">
        <v>1412</v>
      </c>
      <c r="C119" s="143" t="s">
        <v>774</v>
      </c>
      <c r="D119" s="143" t="s">
        <v>1433</v>
      </c>
      <c r="E119" s="143" t="s">
        <v>1434</v>
      </c>
      <c r="F119" s="143">
        <v>1</v>
      </c>
      <c r="G119" s="143" t="s">
        <v>1326</v>
      </c>
      <c r="H119" s="149">
        <f t="shared" si="18"/>
        <v>1</v>
      </c>
      <c r="I119" s="157">
        <v>11000</v>
      </c>
      <c r="J119" s="159">
        <f t="shared" si="19"/>
        <v>11000</v>
      </c>
      <c r="K119" s="152"/>
      <c r="L119" s="203"/>
    </row>
    <row r="120" spans="1:12" s="141" customFormat="1">
      <c r="A120" s="147">
        <v>3</v>
      </c>
      <c r="B120" s="143" t="s">
        <v>1412</v>
      </c>
      <c r="C120" s="143" t="s">
        <v>774</v>
      </c>
      <c r="D120" s="143" t="s">
        <v>1435</v>
      </c>
      <c r="E120" s="143" t="s">
        <v>1436</v>
      </c>
      <c r="F120" s="143">
        <v>1</v>
      </c>
      <c r="G120" s="143" t="s">
        <v>1326</v>
      </c>
      <c r="H120" s="149">
        <f t="shared" si="18"/>
        <v>1</v>
      </c>
      <c r="I120" s="157">
        <v>15000</v>
      </c>
      <c r="J120" s="159">
        <f t="shared" si="19"/>
        <v>15000</v>
      </c>
      <c r="K120" s="152"/>
      <c r="L120" s="203"/>
    </row>
    <row r="121" spans="1:12" s="141" customFormat="1">
      <c r="A121" s="147">
        <v>4</v>
      </c>
      <c r="B121" s="143" t="s">
        <v>1412</v>
      </c>
      <c r="C121" s="143" t="s">
        <v>774</v>
      </c>
      <c r="D121" s="143" t="s">
        <v>1431</v>
      </c>
      <c r="E121" s="143" t="s">
        <v>1432</v>
      </c>
      <c r="F121" s="143">
        <v>4</v>
      </c>
      <c r="G121" s="143" t="s">
        <v>1427</v>
      </c>
      <c r="H121" s="149">
        <f t="shared" si="18"/>
        <v>4</v>
      </c>
      <c r="I121" s="157">
        <v>1100</v>
      </c>
      <c r="J121" s="159">
        <f t="shared" si="19"/>
        <v>4400</v>
      </c>
      <c r="K121" s="152"/>
      <c r="L121" s="203"/>
    </row>
    <row r="122" spans="1:12" s="141" customFormat="1">
      <c r="A122" s="147"/>
      <c r="B122" s="187"/>
      <c r="C122" s="187"/>
      <c r="D122" s="187" t="s">
        <v>1321</v>
      </c>
      <c r="E122" s="187" t="s">
        <v>1322</v>
      </c>
      <c r="F122" s="187">
        <v>1</v>
      </c>
      <c r="G122" s="187"/>
      <c r="H122" s="188"/>
      <c r="I122" s="189"/>
      <c r="J122" s="190"/>
      <c r="K122" s="191"/>
      <c r="L122" s="203"/>
    </row>
    <row r="123" spans="1:12" s="141" customFormat="1">
      <c r="A123" s="147">
        <v>1</v>
      </c>
      <c r="B123" s="143" t="s">
        <v>1412</v>
      </c>
      <c r="C123" s="143" t="s">
        <v>774</v>
      </c>
      <c r="D123" s="143" t="s">
        <v>1313</v>
      </c>
      <c r="E123" s="143" t="s">
        <v>1310</v>
      </c>
      <c r="F123" s="143">
        <v>3</v>
      </c>
      <c r="G123" s="143" t="s">
        <v>1314</v>
      </c>
      <c r="H123" s="149">
        <f t="shared" ref="H123:H129" si="20">F123*J$4</f>
        <v>3</v>
      </c>
      <c r="I123" s="157">
        <v>33000</v>
      </c>
      <c r="J123" s="159">
        <f t="shared" ref="J123:J127" si="21">H123*I123</f>
        <v>99000</v>
      </c>
      <c r="K123" s="152"/>
      <c r="L123" s="203"/>
    </row>
    <row r="124" spans="1:12" s="141" customFormat="1">
      <c r="A124" s="147">
        <v>2</v>
      </c>
      <c r="B124" s="143" t="s">
        <v>1412</v>
      </c>
      <c r="C124" s="143" t="s">
        <v>774</v>
      </c>
      <c r="D124" s="143" t="s">
        <v>1340</v>
      </c>
      <c r="E124" s="143" t="s">
        <v>1341</v>
      </c>
      <c r="F124" s="143">
        <v>1</v>
      </c>
      <c r="G124" s="143" t="s">
        <v>1314</v>
      </c>
      <c r="H124" s="149">
        <f t="shared" si="20"/>
        <v>1</v>
      </c>
      <c r="I124" s="157">
        <v>23000</v>
      </c>
      <c r="J124" s="159">
        <f t="shared" si="21"/>
        <v>23000</v>
      </c>
      <c r="K124" s="152"/>
      <c r="L124" s="203"/>
    </row>
    <row r="125" spans="1:12" s="141" customFormat="1">
      <c r="A125" s="147">
        <v>3</v>
      </c>
      <c r="B125" s="143" t="s">
        <v>1412</v>
      </c>
      <c r="C125" s="143" t="s">
        <v>774</v>
      </c>
      <c r="D125" s="143" t="s">
        <v>1315</v>
      </c>
      <c r="E125" s="143" t="s">
        <v>1311</v>
      </c>
      <c r="F125" s="143">
        <v>4</v>
      </c>
      <c r="G125" s="143" t="s">
        <v>1314</v>
      </c>
      <c r="H125" s="149">
        <f t="shared" si="20"/>
        <v>4</v>
      </c>
      <c r="I125" s="157">
        <v>54000</v>
      </c>
      <c r="J125" s="159">
        <f t="shared" si="21"/>
        <v>216000</v>
      </c>
      <c r="K125" s="152"/>
      <c r="L125" s="203"/>
    </row>
    <row r="126" spans="1:12" s="141" customFormat="1">
      <c r="A126" s="147">
        <v>4</v>
      </c>
      <c r="B126" s="143" t="s">
        <v>1412</v>
      </c>
      <c r="C126" s="143" t="s">
        <v>774</v>
      </c>
      <c r="D126" s="143" t="s">
        <v>1316</v>
      </c>
      <c r="E126" s="143" t="s">
        <v>1318</v>
      </c>
      <c r="F126" s="143">
        <v>3</v>
      </c>
      <c r="G126" s="143" t="s">
        <v>1317</v>
      </c>
      <c r="H126" s="149">
        <f t="shared" si="20"/>
        <v>3</v>
      </c>
      <c r="I126" s="157">
        <v>43000</v>
      </c>
      <c r="J126" s="159">
        <f t="shared" si="21"/>
        <v>129000</v>
      </c>
      <c r="K126" s="152"/>
      <c r="L126" s="203"/>
    </row>
    <row r="127" spans="1:12" s="141" customFormat="1">
      <c r="A127" s="147">
        <v>5</v>
      </c>
      <c r="B127" s="143" t="s">
        <v>1412</v>
      </c>
      <c r="C127" s="143" t="s">
        <v>774</v>
      </c>
      <c r="D127" s="143" t="s">
        <v>1430</v>
      </c>
      <c r="E127" s="143" t="s">
        <v>1404</v>
      </c>
      <c r="F127" s="143">
        <v>4</v>
      </c>
      <c r="G127" s="143" t="s">
        <v>1326</v>
      </c>
      <c r="H127" s="149">
        <f t="shared" si="20"/>
        <v>4</v>
      </c>
      <c r="I127" s="157">
        <v>1000</v>
      </c>
      <c r="J127" s="159">
        <f t="shared" si="21"/>
        <v>4000</v>
      </c>
      <c r="K127" s="152"/>
      <c r="L127" s="203"/>
    </row>
    <row r="128" spans="1:12" s="141" customFormat="1">
      <c r="A128" s="147">
        <v>6</v>
      </c>
      <c r="B128" s="143" t="s">
        <v>1412</v>
      </c>
      <c r="C128" s="143" t="s">
        <v>774</v>
      </c>
      <c r="D128" s="143" t="s">
        <v>1437</v>
      </c>
      <c r="E128" s="143" t="s">
        <v>1406</v>
      </c>
      <c r="F128" s="143">
        <v>1</v>
      </c>
      <c r="G128" s="143" t="s">
        <v>1326</v>
      </c>
      <c r="H128" s="149">
        <f t="shared" si="20"/>
        <v>1</v>
      </c>
      <c r="I128" s="157">
        <v>3000</v>
      </c>
      <c r="J128" s="159">
        <f>H128*I128</f>
        <v>3000</v>
      </c>
      <c r="K128" s="152"/>
      <c r="L128" s="203"/>
    </row>
    <row r="129" spans="1:14" s="141" customFormat="1">
      <c r="A129" s="147">
        <v>7</v>
      </c>
      <c r="B129" s="143" t="s">
        <v>1412</v>
      </c>
      <c r="C129" s="143" t="s">
        <v>774</v>
      </c>
      <c r="D129" s="143" t="s">
        <v>1431</v>
      </c>
      <c r="E129" s="143" t="s">
        <v>1432</v>
      </c>
      <c r="F129" s="143">
        <v>12</v>
      </c>
      <c r="G129" s="143" t="s">
        <v>1427</v>
      </c>
      <c r="H129" s="149">
        <f t="shared" si="20"/>
        <v>12</v>
      </c>
      <c r="I129" s="157">
        <v>1300</v>
      </c>
      <c r="J129" s="159">
        <f>H129*I129</f>
        <v>15600</v>
      </c>
      <c r="K129" s="152"/>
      <c r="L129" s="203"/>
    </row>
    <row r="130" spans="1:14" s="141" customFormat="1">
      <c r="A130" s="147"/>
      <c r="B130" s="187"/>
      <c r="C130" s="187"/>
      <c r="D130" s="200" t="s">
        <v>1546</v>
      </c>
      <c r="E130" s="187" t="s">
        <v>1322</v>
      </c>
      <c r="F130" s="187">
        <v>1</v>
      </c>
      <c r="G130" s="187"/>
      <c r="H130" s="188"/>
      <c r="I130" s="189"/>
      <c r="J130" s="190"/>
      <c r="K130" s="191"/>
      <c r="L130" s="203"/>
    </row>
    <row r="131" spans="1:14" s="141" customFormat="1">
      <c r="A131" s="147">
        <v>1</v>
      </c>
      <c r="B131" s="143" t="s">
        <v>1412</v>
      </c>
      <c r="C131" s="143" t="s">
        <v>774</v>
      </c>
      <c r="D131" s="143" t="s">
        <v>1313</v>
      </c>
      <c r="E131" s="143" t="s">
        <v>1310</v>
      </c>
      <c r="F131" s="143">
        <v>3</v>
      </c>
      <c r="G131" s="143" t="s">
        <v>1314</v>
      </c>
      <c r="H131" s="149">
        <f t="shared" ref="H131:H137" si="22">F131*J$4</f>
        <v>3</v>
      </c>
      <c r="I131" s="157">
        <v>33000</v>
      </c>
      <c r="J131" s="159">
        <f t="shared" ref="J131:J135" si="23">H131*I131</f>
        <v>99000</v>
      </c>
      <c r="K131" s="152"/>
      <c r="L131" s="203"/>
    </row>
    <row r="132" spans="1:14" s="141" customFormat="1">
      <c r="A132" s="147">
        <v>2</v>
      </c>
      <c r="B132" s="143" t="s">
        <v>1412</v>
      </c>
      <c r="C132" s="143" t="s">
        <v>774</v>
      </c>
      <c r="D132" s="143" t="s">
        <v>1340</v>
      </c>
      <c r="E132" s="143" t="s">
        <v>1341</v>
      </c>
      <c r="F132" s="143">
        <v>1</v>
      </c>
      <c r="G132" s="143" t="s">
        <v>1314</v>
      </c>
      <c r="H132" s="149">
        <f t="shared" si="22"/>
        <v>1</v>
      </c>
      <c r="I132" s="157">
        <v>23000</v>
      </c>
      <c r="J132" s="159">
        <f t="shared" si="23"/>
        <v>23000</v>
      </c>
      <c r="K132" s="152"/>
      <c r="L132" s="203"/>
    </row>
    <row r="133" spans="1:14" s="141" customFormat="1">
      <c r="A133" s="147">
        <v>3</v>
      </c>
      <c r="B133" s="143" t="s">
        <v>1412</v>
      </c>
      <c r="C133" s="143" t="s">
        <v>774</v>
      </c>
      <c r="D133" s="143" t="s">
        <v>1315</v>
      </c>
      <c r="E133" s="143" t="s">
        <v>1311</v>
      </c>
      <c r="F133" s="143">
        <v>4</v>
      </c>
      <c r="G133" s="143" t="s">
        <v>1314</v>
      </c>
      <c r="H133" s="149">
        <f t="shared" si="22"/>
        <v>4</v>
      </c>
      <c r="I133" s="157">
        <v>54000</v>
      </c>
      <c r="J133" s="159">
        <f t="shared" si="23"/>
        <v>216000</v>
      </c>
      <c r="K133" s="152"/>
      <c r="L133" s="203"/>
      <c r="M133" s="206">
        <v>6363636</v>
      </c>
      <c r="N133" s="207" t="s">
        <v>1556</v>
      </c>
    </row>
    <row r="134" spans="1:14" s="141" customFormat="1">
      <c r="A134" s="147">
        <v>4</v>
      </c>
      <c r="B134" s="143" t="s">
        <v>1412</v>
      </c>
      <c r="C134" s="143" t="s">
        <v>774</v>
      </c>
      <c r="D134" s="143" t="s">
        <v>1316</v>
      </c>
      <c r="E134" s="143" t="s">
        <v>1318</v>
      </c>
      <c r="F134" s="143">
        <v>3</v>
      </c>
      <c r="G134" s="143" t="s">
        <v>1317</v>
      </c>
      <c r="H134" s="149">
        <f t="shared" si="22"/>
        <v>3</v>
      </c>
      <c r="I134" s="157">
        <v>43000</v>
      </c>
      <c r="J134" s="159">
        <f t="shared" si="23"/>
        <v>129000</v>
      </c>
      <c r="K134" s="152"/>
      <c r="L134" s="203"/>
      <c r="M134" s="154">
        <f>800000+500000</f>
        <v>1300000</v>
      </c>
      <c r="N134" s="208" t="s">
        <v>1560</v>
      </c>
    </row>
    <row r="135" spans="1:14" s="141" customFormat="1">
      <c r="A135" s="147">
        <v>5</v>
      </c>
      <c r="B135" s="143" t="s">
        <v>1412</v>
      </c>
      <c r="C135" s="143" t="s">
        <v>774</v>
      </c>
      <c r="D135" s="143" t="s">
        <v>1430</v>
      </c>
      <c r="E135" s="143" t="s">
        <v>1404</v>
      </c>
      <c r="F135" s="143">
        <v>4</v>
      </c>
      <c r="G135" s="143" t="s">
        <v>1326</v>
      </c>
      <c r="H135" s="149">
        <f t="shared" si="22"/>
        <v>4</v>
      </c>
      <c r="I135" s="157">
        <v>1000</v>
      </c>
      <c r="J135" s="159">
        <f t="shared" si="23"/>
        <v>4000</v>
      </c>
      <c r="K135" s="152"/>
      <c r="L135" s="203"/>
      <c r="M135" s="154">
        <f>L138*7%</f>
        <v>158972.1</v>
      </c>
      <c r="N135" s="208" t="s">
        <v>1557</v>
      </c>
    </row>
    <row r="136" spans="1:14" s="141" customFormat="1">
      <c r="A136" s="147">
        <v>6</v>
      </c>
      <c r="B136" s="143" t="s">
        <v>1412</v>
      </c>
      <c r="C136" s="143" t="s">
        <v>774</v>
      </c>
      <c r="D136" s="143" t="s">
        <v>1437</v>
      </c>
      <c r="E136" s="143" t="s">
        <v>1406</v>
      </c>
      <c r="F136" s="143">
        <v>1</v>
      </c>
      <c r="G136" s="143" t="s">
        <v>1326</v>
      </c>
      <c r="H136" s="149">
        <f t="shared" si="22"/>
        <v>1</v>
      </c>
      <c r="I136" s="157">
        <v>3000</v>
      </c>
      <c r="J136" s="159">
        <f>H136*I136</f>
        <v>3000</v>
      </c>
      <c r="K136" s="152"/>
      <c r="L136" s="203"/>
      <c r="M136" s="154">
        <f>(L138+M135)*20%</f>
        <v>486000.42000000004</v>
      </c>
      <c r="N136" s="208" t="s">
        <v>1558</v>
      </c>
    </row>
    <row r="137" spans="1:14" s="141" customFormat="1" ht="23" thickBot="1">
      <c r="A137" s="147">
        <v>7</v>
      </c>
      <c r="B137" s="143" t="s">
        <v>1412</v>
      </c>
      <c r="C137" s="143" t="s">
        <v>774</v>
      </c>
      <c r="D137" s="143" t="s">
        <v>1431</v>
      </c>
      <c r="E137" s="143" t="s">
        <v>1432</v>
      </c>
      <c r="F137" s="143">
        <v>12</v>
      </c>
      <c r="G137" s="143" t="s">
        <v>1427</v>
      </c>
      <c r="H137" s="149">
        <f t="shared" si="22"/>
        <v>12</v>
      </c>
      <c r="I137" s="157">
        <v>1300</v>
      </c>
      <c r="J137" s="159">
        <f>H137*I137</f>
        <v>15600</v>
      </c>
      <c r="K137" s="152"/>
      <c r="L137" s="203"/>
      <c r="M137" s="154">
        <f>(L138+M135+M136)*25%</f>
        <v>729000.63</v>
      </c>
      <c r="N137" s="208" t="s">
        <v>1559</v>
      </c>
    </row>
    <row r="138" spans="1:14" s="141" customFormat="1" ht="23" thickBot="1">
      <c r="A138" s="192">
        <v>8</v>
      </c>
      <c r="B138" s="193" t="s">
        <v>1412</v>
      </c>
      <c r="C138" s="193" t="s">
        <v>774</v>
      </c>
      <c r="D138" s="193" t="s">
        <v>1411</v>
      </c>
      <c r="E138" s="193"/>
      <c r="F138" s="193">
        <v>1</v>
      </c>
      <c r="G138" s="193"/>
      <c r="H138" s="194">
        <v>1</v>
      </c>
      <c r="I138" s="227">
        <v>1083730</v>
      </c>
      <c r="J138" s="226">
        <f>H138*I138</f>
        <v>1083730</v>
      </c>
      <c r="K138" s="195"/>
      <c r="L138" s="204">
        <f>SUM(J66:J97)+SUM(J99:J104)</f>
        <v>2271030</v>
      </c>
      <c r="M138" s="209">
        <f>L138+M134+M135+M136+M137</f>
        <v>4945003.1500000004</v>
      </c>
      <c r="N138" s="141" t="s">
        <v>1307</v>
      </c>
    </row>
    <row r="139" spans="1:14" ht="4.5" customHeight="1" thickBot="1"/>
    <row r="140" spans="1:14" s="141" customFormat="1" ht="23" thickBot="1">
      <c r="A140" s="137" t="s">
        <v>80</v>
      </c>
      <c r="B140" s="138" t="s">
        <v>1276</v>
      </c>
      <c r="C140" s="138" t="s">
        <v>1277</v>
      </c>
      <c r="D140" s="138" t="s">
        <v>1278</v>
      </c>
      <c r="E140" s="138" t="s">
        <v>1279</v>
      </c>
      <c r="F140" s="138" t="s">
        <v>1280</v>
      </c>
      <c r="G140" s="138" t="s">
        <v>1281</v>
      </c>
      <c r="H140" s="138" t="s">
        <v>1282</v>
      </c>
      <c r="I140" s="139" t="s">
        <v>1283</v>
      </c>
      <c r="J140" s="138" t="s">
        <v>1030</v>
      </c>
      <c r="K140" s="140" t="s">
        <v>1031</v>
      </c>
      <c r="L140" s="203"/>
    </row>
    <row r="141" spans="1:14" s="141" customFormat="1">
      <c r="A141" s="142">
        <v>1</v>
      </c>
      <c r="B141" s="144" t="s">
        <v>786</v>
      </c>
      <c r="C141" s="144" t="s">
        <v>777</v>
      </c>
      <c r="D141" s="144" t="s">
        <v>1284</v>
      </c>
      <c r="E141" s="144" t="s">
        <v>1351</v>
      </c>
      <c r="F141" s="144">
        <v>1</v>
      </c>
      <c r="G141" s="145" t="s">
        <v>1285</v>
      </c>
      <c r="H141" s="145">
        <f>F141*J$4</f>
        <v>1</v>
      </c>
      <c r="I141" s="156">
        <v>719820</v>
      </c>
      <c r="J141" s="158">
        <f>H141*I141</f>
        <v>719820</v>
      </c>
      <c r="K141" s="146"/>
      <c r="L141" s="203"/>
    </row>
    <row r="142" spans="1:14" s="141" customFormat="1">
      <c r="A142" s="147">
        <v>2</v>
      </c>
      <c r="B142" s="143" t="s">
        <v>786</v>
      </c>
      <c r="C142" s="143" t="s">
        <v>776</v>
      </c>
      <c r="D142" s="143" t="s">
        <v>1284</v>
      </c>
      <c r="E142" s="148" t="s">
        <v>1352</v>
      </c>
      <c r="F142" s="143">
        <v>1</v>
      </c>
      <c r="G142" s="149" t="s">
        <v>1194</v>
      </c>
      <c r="H142" s="149">
        <f>F142*J$4</f>
        <v>1</v>
      </c>
      <c r="I142" s="157">
        <v>486320</v>
      </c>
      <c r="J142" s="159">
        <f>H142*I142</f>
        <v>486320</v>
      </c>
      <c r="K142" s="152"/>
      <c r="L142" s="203"/>
    </row>
    <row r="143" spans="1:14" s="141" customFormat="1">
      <c r="A143" s="147">
        <v>3</v>
      </c>
      <c r="B143" s="143" t="s">
        <v>786</v>
      </c>
      <c r="C143" s="143" t="s">
        <v>776</v>
      </c>
      <c r="D143" s="143" t="s">
        <v>1284</v>
      </c>
      <c r="E143" s="148" t="s">
        <v>1371</v>
      </c>
      <c r="F143" s="143">
        <v>1</v>
      </c>
      <c r="G143" s="149" t="s">
        <v>1194</v>
      </c>
      <c r="H143" s="149">
        <f>F143*J$4</f>
        <v>1</v>
      </c>
      <c r="I143" s="157">
        <f>259920/2</f>
        <v>129960</v>
      </c>
      <c r="J143" s="159">
        <f>H143*I143</f>
        <v>129960</v>
      </c>
      <c r="K143" s="152"/>
      <c r="L143" s="203"/>
    </row>
    <row r="144" spans="1:14" s="141" customFormat="1">
      <c r="A144" s="147">
        <v>4</v>
      </c>
      <c r="B144" s="143" t="s">
        <v>786</v>
      </c>
      <c r="C144" s="143" t="s">
        <v>776</v>
      </c>
      <c r="D144" s="143" t="s">
        <v>1286</v>
      </c>
      <c r="E144" s="148" t="s">
        <v>1385</v>
      </c>
      <c r="F144" s="143">
        <v>1</v>
      </c>
      <c r="G144" s="143" t="s">
        <v>1287</v>
      </c>
      <c r="H144" s="149">
        <f t="shared" ref="H144:H172" si="24">F144*J$4</f>
        <v>1</v>
      </c>
      <c r="I144" s="157">
        <v>252400</v>
      </c>
      <c r="J144" s="159">
        <f t="shared" ref="J144:J199" si="25">H144*I144</f>
        <v>252400</v>
      </c>
      <c r="K144" s="152"/>
      <c r="L144" s="203"/>
    </row>
    <row r="145" spans="1:12" s="141" customFormat="1">
      <c r="A145" s="147">
        <v>5</v>
      </c>
      <c r="B145" s="143" t="s">
        <v>786</v>
      </c>
      <c r="C145" s="143" t="s">
        <v>776</v>
      </c>
      <c r="D145" s="143" t="s">
        <v>1288</v>
      </c>
      <c r="E145" s="148" t="s">
        <v>1383</v>
      </c>
      <c r="F145" s="143">
        <v>12</v>
      </c>
      <c r="G145" s="143" t="s">
        <v>1287</v>
      </c>
      <c r="H145" s="149">
        <f t="shared" si="24"/>
        <v>12</v>
      </c>
      <c r="I145" s="157">
        <v>3800</v>
      </c>
      <c r="J145" s="159">
        <f t="shared" si="25"/>
        <v>45600</v>
      </c>
      <c r="K145" s="152"/>
      <c r="L145" s="203"/>
    </row>
    <row r="146" spans="1:12" s="141" customFormat="1">
      <c r="A146" s="147">
        <v>6</v>
      </c>
      <c r="B146" s="143" t="s">
        <v>786</v>
      </c>
      <c r="C146" s="143" t="s">
        <v>776</v>
      </c>
      <c r="D146" s="143" t="s">
        <v>1286</v>
      </c>
      <c r="E146" s="148" t="s">
        <v>1386</v>
      </c>
      <c r="F146" s="143">
        <v>1</v>
      </c>
      <c r="G146" s="143" t="s">
        <v>1287</v>
      </c>
      <c r="H146" s="149">
        <f t="shared" si="24"/>
        <v>1</v>
      </c>
      <c r="I146" s="157">
        <v>205900</v>
      </c>
      <c r="J146" s="159">
        <f t="shared" si="25"/>
        <v>205900</v>
      </c>
      <c r="K146" s="152"/>
      <c r="L146" s="203"/>
    </row>
    <row r="147" spans="1:12" s="141" customFormat="1">
      <c r="A147" s="147">
        <v>7</v>
      </c>
      <c r="B147" s="143" t="s">
        <v>786</v>
      </c>
      <c r="C147" s="143" t="s">
        <v>776</v>
      </c>
      <c r="D147" s="143" t="s">
        <v>1288</v>
      </c>
      <c r="E147" s="148" t="s">
        <v>1296</v>
      </c>
      <c r="F147" s="143">
        <v>8</v>
      </c>
      <c r="G147" s="143" t="s">
        <v>1287</v>
      </c>
      <c r="H147" s="149">
        <f t="shared" si="24"/>
        <v>8</v>
      </c>
      <c r="I147" s="157">
        <v>1200</v>
      </c>
      <c r="J147" s="159">
        <f t="shared" si="25"/>
        <v>9600</v>
      </c>
      <c r="K147" s="152"/>
      <c r="L147" s="203"/>
    </row>
    <row r="148" spans="1:12" s="141" customFormat="1">
      <c r="A148" s="147">
        <v>8</v>
      </c>
      <c r="B148" s="143" t="s">
        <v>786</v>
      </c>
      <c r="C148" s="143" t="s">
        <v>776</v>
      </c>
      <c r="D148" s="143" t="s">
        <v>1286</v>
      </c>
      <c r="E148" s="148" t="s">
        <v>1387</v>
      </c>
      <c r="F148" s="143">
        <v>1</v>
      </c>
      <c r="G148" s="143" t="s">
        <v>1287</v>
      </c>
      <c r="H148" s="149">
        <f t="shared" si="24"/>
        <v>1</v>
      </c>
      <c r="I148" s="157">
        <v>205900</v>
      </c>
      <c r="J148" s="159">
        <f t="shared" si="25"/>
        <v>205900</v>
      </c>
      <c r="K148" s="152"/>
      <c r="L148" s="203"/>
    </row>
    <row r="149" spans="1:12" s="141" customFormat="1">
      <c r="A149" s="147">
        <v>9</v>
      </c>
      <c r="B149" s="143" t="s">
        <v>786</v>
      </c>
      <c r="C149" s="143" t="s">
        <v>776</v>
      </c>
      <c r="D149" s="143" t="s">
        <v>1288</v>
      </c>
      <c r="E149" s="148" t="s">
        <v>1298</v>
      </c>
      <c r="F149" s="143">
        <v>8</v>
      </c>
      <c r="G149" s="143" t="s">
        <v>1287</v>
      </c>
      <c r="H149" s="149">
        <f t="shared" si="24"/>
        <v>8</v>
      </c>
      <c r="I149" s="157">
        <v>1600</v>
      </c>
      <c r="J149" s="159">
        <f t="shared" si="25"/>
        <v>12800</v>
      </c>
      <c r="K149" s="152"/>
      <c r="L149" s="203"/>
    </row>
    <row r="150" spans="1:12" s="141" customFormat="1">
      <c r="A150" s="147">
        <v>10</v>
      </c>
      <c r="B150" s="143" t="s">
        <v>786</v>
      </c>
      <c r="C150" s="143" t="s">
        <v>776</v>
      </c>
      <c r="D150" s="143" t="s">
        <v>1286</v>
      </c>
      <c r="E150" s="148" t="s">
        <v>1388</v>
      </c>
      <c r="F150" s="143">
        <v>1</v>
      </c>
      <c r="G150" s="143" t="s">
        <v>1287</v>
      </c>
      <c r="H150" s="149">
        <f t="shared" si="24"/>
        <v>1</v>
      </c>
      <c r="I150" s="157">
        <v>144900</v>
      </c>
      <c r="J150" s="159">
        <f t="shared" si="25"/>
        <v>144900</v>
      </c>
      <c r="K150" s="152"/>
      <c r="L150" s="203"/>
    </row>
    <row r="151" spans="1:12" s="141" customFormat="1">
      <c r="A151" s="147">
        <v>11</v>
      </c>
      <c r="B151" s="143" t="s">
        <v>786</v>
      </c>
      <c r="C151" s="143" t="s">
        <v>776</v>
      </c>
      <c r="D151" s="143" t="s">
        <v>1288</v>
      </c>
      <c r="E151" s="148" t="s">
        <v>1379</v>
      </c>
      <c r="F151" s="143">
        <v>8</v>
      </c>
      <c r="G151" s="143" t="s">
        <v>1287</v>
      </c>
      <c r="H151" s="149">
        <f t="shared" si="24"/>
        <v>8</v>
      </c>
      <c r="I151" s="157">
        <v>1400</v>
      </c>
      <c r="J151" s="159">
        <f t="shared" si="25"/>
        <v>11200</v>
      </c>
      <c r="K151" s="152"/>
      <c r="L151" s="203"/>
    </row>
    <row r="152" spans="1:12" s="141" customFormat="1">
      <c r="A152" s="147">
        <v>12</v>
      </c>
      <c r="B152" s="143" t="s">
        <v>786</v>
      </c>
      <c r="C152" s="143" t="s">
        <v>776</v>
      </c>
      <c r="D152" s="143" t="s">
        <v>1286</v>
      </c>
      <c r="E152" s="148" t="s">
        <v>1389</v>
      </c>
      <c r="F152" s="143">
        <v>1</v>
      </c>
      <c r="G152" s="143" t="s">
        <v>1287</v>
      </c>
      <c r="H152" s="149">
        <f t="shared" si="24"/>
        <v>1</v>
      </c>
      <c r="I152" s="157">
        <v>144900</v>
      </c>
      <c r="J152" s="159">
        <f t="shared" si="25"/>
        <v>144900</v>
      </c>
      <c r="K152" s="152"/>
      <c r="L152" s="203"/>
    </row>
    <row r="153" spans="1:12" s="141" customFormat="1">
      <c r="A153" s="147">
        <v>13</v>
      </c>
      <c r="B153" s="143" t="s">
        <v>786</v>
      </c>
      <c r="C153" s="143" t="s">
        <v>776</v>
      </c>
      <c r="D153" s="143" t="s">
        <v>1288</v>
      </c>
      <c r="E153" s="148" t="s">
        <v>1374</v>
      </c>
      <c r="F153" s="143">
        <v>8</v>
      </c>
      <c r="G153" s="143" t="s">
        <v>1287</v>
      </c>
      <c r="H153" s="149">
        <f t="shared" si="24"/>
        <v>8</v>
      </c>
      <c r="I153" s="157">
        <v>1600</v>
      </c>
      <c r="J153" s="159">
        <f t="shared" si="25"/>
        <v>12800</v>
      </c>
      <c r="K153" s="152"/>
      <c r="L153" s="203"/>
    </row>
    <row r="154" spans="1:12" s="141" customFormat="1">
      <c r="A154" s="147">
        <v>14</v>
      </c>
      <c r="B154" s="143" t="s">
        <v>786</v>
      </c>
      <c r="C154" s="143" t="s">
        <v>776</v>
      </c>
      <c r="D154" s="143" t="s">
        <v>1291</v>
      </c>
      <c r="E154" s="148" t="s">
        <v>1390</v>
      </c>
      <c r="F154" s="143">
        <v>1</v>
      </c>
      <c r="G154" s="143" t="s">
        <v>1287</v>
      </c>
      <c r="H154" s="149">
        <f t="shared" si="24"/>
        <v>1</v>
      </c>
      <c r="I154" s="157">
        <v>86800</v>
      </c>
      <c r="J154" s="159">
        <f t="shared" si="25"/>
        <v>86800</v>
      </c>
      <c r="K154" s="152"/>
      <c r="L154" s="203"/>
    </row>
    <row r="155" spans="1:12" s="141" customFormat="1">
      <c r="A155" s="147">
        <v>15</v>
      </c>
      <c r="B155" s="143" t="s">
        <v>786</v>
      </c>
      <c r="C155" s="143" t="s">
        <v>776</v>
      </c>
      <c r="D155" s="143" t="s">
        <v>1291</v>
      </c>
      <c r="E155" s="148" t="s">
        <v>1391</v>
      </c>
      <c r="F155" s="143">
        <v>1</v>
      </c>
      <c r="G155" s="143" t="s">
        <v>1287</v>
      </c>
      <c r="H155" s="149">
        <f t="shared" si="24"/>
        <v>1</v>
      </c>
      <c r="I155" s="157">
        <v>90900</v>
      </c>
      <c r="J155" s="159">
        <f t="shared" si="25"/>
        <v>90900</v>
      </c>
      <c r="K155" s="152"/>
      <c r="L155" s="203"/>
    </row>
    <row r="156" spans="1:12" s="141" customFormat="1">
      <c r="A156" s="147">
        <v>16</v>
      </c>
      <c r="B156" s="143" t="s">
        <v>786</v>
      </c>
      <c r="C156" s="143" t="s">
        <v>776</v>
      </c>
      <c r="D156" s="143" t="s">
        <v>1288</v>
      </c>
      <c r="E156" s="148" t="s">
        <v>1300</v>
      </c>
      <c r="F156" s="143">
        <v>8</v>
      </c>
      <c r="G156" s="143" t="s">
        <v>1287</v>
      </c>
      <c r="H156" s="149">
        <f t="shared" si="24"/>
        <v>8</v>
      </c>
      <c r="I156" s="157">
        <v>2800</v>
      </c>
      <c r="J156" s="159">
        <f t="shared" si="25"/>
        <v>22400</v>
      </c>
      <c r="K156" s="152"/>
      <c r="L156" s="203"/>
    </row>
    <row r="157" spans="1:12" s="141" customFormat="1">
      <c r="A157" s="147">
        <v>17</v>
      </c>
      <c r="B157" s="143" t="s">
        <v>786</v>
      </c>
      <c r="C157" s="143" t="s">
        <v>776</v>
      </c>
      <c r="D157" s="143" t="s">
        <v>1336</v>
      </c>
      <c r="E157" s="148" t="s">
        <v>1335</v>
      </c>
      <c r="F157" s="143">
        <v>1</v>
      </c>
      <c r="G157" s="143" t="s">
        <v>1326</v>
      </c>
      <c r="H157" s="149">
        <f t="shared" si="24"/>
        <v>1</v>
      </c>
      <c r="I157" s="157">
        <v>2500</v>
      </c>
      <c r="J157" s="159">
        <f t="shared" si="25"/>
        <v>2500</v>
      </c>
      <c r="K157" s="152"/>
      <c r="L157" s="203"/>
    </row>
    <row r="158" spans="1:12" s="141" customFormat="1">
      <c r="A158" s="147">
        <v>18</v>
      </c>
      <c r="B158" s="143" t="s">
        <v>786</v>
      </c>
      <c r="C158" s="143" t="s">
        <v>776</v>
      </c>
      <c r="D158" s="143" t="s">
        <v>1337</v>
      </c>
      <c r="E158" s="143" t="s">
        <v>1301</v>
      </c>
      <c r="F158" s="143">
        <v>1</v>
      </c>
      <c r="G158" s="143" t="s">
        <v>1287</v>
      </c>
      <c r="H158" s="149">
        <f t="shared" si="24"/>
        <v>1</v>
      </c>
      <c r="I158" s="157">
        <f>1200+1200</f>
        <v>2400</v>
      </c>
      <c r="J158" s="159">
        <f t="shared" si="25"/>
        <v>2400</v>
      </c>
      <c r="K158" s="152"/>
      <c r="L158" s="203"/>
    </row>
    <row r="159" spans="1:12" s="141" customFormat="1">
      <c r="A159" s="147">
        <v>19</v>
      </c>
      <c r="B159" s="143" t="s">
        <v>786</v>
      </c>
      <c r="C159" s="143" t="s">
        <v>776</v>
      </c>
      <c r="D159" s="143" t="s">
        <v>1415</v>
      </c>
      <c r="E159" s="148" t="s">
        <v>1416</v>
      </c>
      <c r="F159" s="143">
        <v>1</v>
      </c>
      <c r="G159" s="143" t="s">
        <v>1417</v>
      </c>
      <c r="H159" s="149">
        <f t="shared" si="24"/>
        <v>1</v>
      </c>
      <c r="I159" s="157">
        <v>1250</v>
      </c>
      <c r="J159" s="159">
        <f t="shared" si="25"/>
        <v>1250</v>
      </c>
      <c r="K159" s="152"/>
      <c r="L159" s="203"/>
    </row>
    <row r="160" spans="1:12" s="141" customFormat="1">
      <c r="A160" s="147">
        <v>20</v>
      </c>
      <c r="B160" s="143" t="s">
        <v>786</v>
      </c>
      <c r="C160" s="143" t="s">
        <v>776</v>
      </c>
      <c r="D160" s="143" t="s">
        <v>1329</v>
      </c>
      <c r="E160" s="148" t="s">
        <v>1342</v>
      </c>
      <c r="F160" s="143">
        <v>30</v>
      </c>
      <c r="G160" s="143" t="s">
        <v>1326</v>
      </c>
      <c r="H160" s="149">
        <f t="shared" si="24"/>
        <v>30</v>
      </c>
      <c r="I160" s="157">
        <f>1200+2400</f>
        <v>3600</v>
      </c>
      <c r="J160" s="159">
        <f t="shared" si="25"/>
        <v>108000</v>
      </c>
      <c r="K160" s="152"/>
      <c r="L160" s="203"/>
    </row>
    <row r="161" spans="1:12" s="141" customFormat="1">
      <c r="A161" s="147">
        <v>21</v>
      </c>
      <c r="B161" s="143" t="s">
        <v>786</v>
      </c>
      <c r="C161" s="143" t="s">
        <v>776</v>
      </c>
      <c r="D161" s="143" t="s">
        <v>1323</v>
      </c>
      <c r="E161" s="148" t="s">
        <v>1324</v>
      </c>
      <c r="F161" s="143">
        <v>1</v>
      </c>
      <c r="G161" s="143" t="s">
        <v>1325</v>
      </c>
      <c r="H161" s="149">
        <f t="shared" si="24"/>
        <v>1</v>
      </c>
      <c r="I161" s="157">
        <f>49000/2</f>
        <v>24500</v>
      </c>
      <c r="J161" s="159">
        <f t="shared" si="25"/>
        <v>24500</v>
      </c>
      <c r="K161" s="152"/>
      <c r="L161" s="203"/>
    </row>
    <row r="162" spans="1:12" s="141" customFormat="1">
      <c r="A162" s="147">
        <v>22</v>
      </c>
      <c r="B162" s="143" t="s">
        <v>786</v>
      </c>
      <c r="C162" s="143" t="s">
        <v>776</v>
      </c>
      <c r="D162" s="143" t="s">
        <v>1330</v>
      </c>
      <c r="E162" s="143" t="s">
        <v>1338</v>
      </c>
      <c r="F162" s="143">
        <v>1</v>
      </c>
      <c r="G162" s="143" t="s">
        <v>1326</v>
      </c>
      <c r="H162" s="149">
        <f t="shared" si="24"/>
        <v>1</v>
      </c>
      <c r="I162" s="157">
        <v>6500</v>
      </c>
      <c r="J162" s="159">
        <f t="shared" si="25"/>
        <v>6500</v>
      </c>
      <c r="K162" s="152"/>
      <c r="L162" s="203"/>
    </row>
    <row r="163" spans="1:12" s="141" customFormat="1">
      <c r="A163" s="147">
        <v>23</v>
      </c>
      <c r="B163" s="143" t="s">
        <v>786</v>
      </c>
      <c r="C163" s="143" t="s">
        <v>776</v>
      </c>
      <c r="D163" s="143" t="s">
        <v>1384</v>
      </c>
      <c r="E163" s="143" t="s">
        <v>1331</v>
      </c>
      <c r="F163" s="143">
        <v>1</v>
      </c>
      <c r="G163" s="143" t="s">
        <v>1326</v>
      </c>
      <c r="H163" s="149">
        <f t="shared" si="24"/>
        <v>1</v>
      </c>
      <c r="I163" s="157">
        <v>8000</v>
      </c>
      <c r="J163" s="159">
        <f t="shared" si="25"/>
        <v>8000</v>
      </c>
      <c r="K163" s="152"/>
      <c r="L163" s="203"/>
    </row>
    <row r="164" spans="1:12" s="141" customFormat="1">
      <c r="A164" s="147">
        <v>24</v>
      </c>
      <c r="B164" s="143" t="s">
        <v>786</v>
      </c>
      <c r="C164" s="143" t="s">
        <v>776</v>
      </c>
      <c r="D164" s="143" t="s">
        <v>1332</v>
      </c>
      <c r="E164" s="143" t="s">
        <v>1327</v>
      </c>
      <c r="F164" s="143">
        <v>1</v>
      </c>
      <c r="G164" s="143" t="s">
        <v>1333</v>
      </c>
      <c r="H164" s="149">
        <f t="shared" si="24"/>
        <v>1</v>
      </c>
      <c r="I164" s="157">
        <v>2500</v>
      </c>
      <c r="J164" s="159">
        <f t="shared" si="25"/>
        <v>2500</v>
      </c>
      <c r="K164" s="152"/>
      <c r="L164" s="203"/>
    </row>
    <row r="165" spans="1:12" s="141" customFormat="1">
      <c r="A165" s="147">
        <v>25</v>
      </c>
      <c r="B165" s="143" t="s">
        <v>786</v>
      </c>
      <c r="C165" s="143" t="s">
        <v>776</v>
      </c>
      <c r="D165" s="143" t="s">
        <v>1419</v>
      </c>
      <c r="E165" s="143" t="s">
        <v>1420</v>
      </c>
      <c r="F165" s="143">
        <v>2</v>
      </c>
      <c r="G165" s="143" t="s">
        <v>1326</v>
      </c>
      <c r="H165" s="149">
        <f t="shared" si="24"/>
        <v>2</v>
      </c>
      <c r="I165" s="157">
        <v>5500</v>
      </c>
      <c r="J165" s="159">
        <f t="shared" si="25"/>
        <v>11000</v>
      </c>
      <c r="K165" s="152"/>
      <c r="L165" s="203"/>
    </row>
    <row r="166" spans="1:12" s="141" customFormat="1">
      <c r="A166" s="147">
        <v>26</v>
      </c>
      <c r="B166" s="143" t="s">
        <v>786</v>
      </c>
      <c r="C166" s="143" t="s">
        <v>776</v>
      </c>
      <c r="D166" s="143" t="s">
        <v>1334</v>
      </c>
      <c r="E166" s="143" t="s">
        <v>1328</v>
      </c>
      <c r="F166" s="143">
        <v>1</v>
      </c>
      <c r="G166" s="143" t="s">
        <v>1333</v>
      </c>
      <c r="H166" s="149">
        <f t="shared" si="24"/>
        <v>1</v>
      </c>
      <c r="I166" s="157">
        <v>15000</v>
      </c>
      <c r="J166" s="159">
        <f t="shared" si="25"/>
        <v>15000</v>
      </c>
      <c r="K166" s="152"/>
      <c r="L166" s="203"/>
    </row>
    <row r="167" spans="1:12" s="141" customFormat="1">
      <c r="A167" s="147">
        <v>27</v>
      </c>
      <c r="B167" s="143" t="s">
        <v>786</v>
      </c>
      <c r="C167" s="143" t="s">
        <v>776</v>
      </c>
      <c r="D167" s="143" t="s">
        <v>1421</v>
      </c>
      <c r="E167" s="143" t="s">
        <v>1422</v>
      </c>
      <c r="F167" s="143">
        <v>1</v>
      </c>
      <c r="G167" s="143" t="s">
        <v>1326</v>
      </c>
      <c r="H167" s="149">
        <f t="shared" si="24"/>
        <v>1</v>
      </c>
      <c r="I167" s="157">
        <v>2500</v>
      </c>
      <c r="J167" s="159">
        <f t="shared" si="25"/>
        <v>2500</v>
      </c>
      <c r="K167" s="152"/>
      <c r="L167" s="203"/>
    </row>
    <row r="168" spans="1:12" s="141" customFormat="1">
      <c r="A168" s="147">
        <v>28</v>
      </c>
      <c r="B168" s="143" t="s">
        <v>786</v>
      </c>
      <c r="C168" s="143" t="s">
        <v>776</v>
      </c>
      <c r="D168" s="143" t="s">
        <v>1423</v>
      </c>
      <c r="E168" s="143" t="s">
        <v>1408</v>
      </c>
      <c r="F168" s="143">
        <v>6</v>
      </c>
      <c r="G168" s="143" t="s">
        <v>1326</v>
      </c>
      <c r="H168" s="149">
        <f t="shared" si="24"/>
        <v>6</v>
      </c>
      <c r="I168" s="157">
        <v>7500</v>
      </c>
      <c r="J168" s="159">
        <f t="shared" si="25"/>
        <v>45000</v>
      </c>
      <c r="K168" s="152"/>
      <c r="L168" s="203"/>
    </row>
    <row r="169" spans="1:12" s="141" customFormat="1">
      <c r="A169" s="147">
        <v>29</v>
      </c>
      <c r="B169" s="143" t="s">
        <v>786</v>
      </c>
      <c r="C169" s="143" t="s">
        <v>776</v>
      </c>
      <c r="D169" s="143" t="s">
        <v>1424</v>
      </c>
      <c r="E169" s="143" t="s">
        <v>1425</v>
      </c>
      <c r="F169" s="143">
        <v>1</v>
      </c>
      <c r="G169" s="143" t="s">
        <v>1326</v>
      </c>
      <c r="H169" s="149">
        <f t="shared" si="24"/>
        <v>1</v>
      </c>
      <c r="I169" s="157">
        <v>5500</v>
      </c>
      <c r="J169" s="159">
        <f t="shared" si="25"/>
        <v>5500</v>
      </c>
      <c r="K169" s="152"/>
      <c r="L169" s="203"/>
    </row>
    <row r="170" spans="1:12" s="141" customFormat="1">
      <c r="A170" s="147">
        <v>30</v>
      </c>
      <c r="B170" s="143" t="s">
        <v>786</v>
      </c>
      <c r="C170" s="143" t="s">
        <v>776</v>
      </c>
      <c r="D170" s="143" t="s">
        <v>1426</v>
      </c>
      <c r="E170" s="143" t="s">
        <v>1405</v>
      </c>
      <c r="F170" s="143">
        <v>1</v>
      </c>
      <c r="G170" s="143" t="s">
        <v>1427</v>
      </c>
      <c r="H170" s="149">
        <f t="shared" si="24"/>
        <v>1</v>
      </c>
      <c r="I170" s="157">
        <v>1500</v>
      </c>
      <c r="J170" s="159">
        <f t="shared" si="25"/>
        <v>1500</v>
      </c>
      <c r="K170" s="152"/>
      <c r="L170" s="203"/>
    </row>
    <row r="171" spans="1:12" s="141" customFormat="1">
      <c r="A171" s="147">
        <v>31</v>
      </c>
      <c r="B171" s="143" t="s">
        <v>786</v>
      </c>
      <c r="C171" s="143" t="s">
        <v>776</v>
      </c>
      <c r="D171" s="143" t="s">
        <v>1428</v>
      </c>
      <c r="E171" s="143" t="s">
        <v>1429</v>
      </c>
      <c r="F171" s="143">
        <v>1</v>
      </c>
      <c r="G171" s="143" t="s">
        <v>1427</v>
      </c>
      <c r="H171" s="149">
        <f t="shared" si="24"/>
        <v>1</v>
      </c>
      <c r="I171" s="157">
        <v>75000</v>
      </c>
      <c r="J171" s="159">
        <f t="shared" si="25"/>
        <v>75000</v>
      </c>
      <c r="K171" s="152"/>
      <c r="L171" s="203"/>
    </row>
    <row r="172" spans="1:12" s="141" customFormat="1">
      <c r="A172" s="147">
        <v>32</v>
      </c>
      <c r="B172" s="143" t="s">
        <v>786</v>
      </c>
      <c r="C172" s="143" t="s">
        <v>776</v>
      </c>
      <c r="D172" s="143" t="s">
        <v>1538</v>
      </c>
      <c r="E172" s="143" t="s">
        <v>1405</v>
      </c>
      <c r="F172" s="143">
        <v>16</v>
      </c>
      <c r="G172" s="143" t="s">
        <v>1427</v>
      </c>
      <c r="H172" s="149">
        <f t="shared" si="24"/>
        <v>16</v>
      </c>
      <c r="I172" s="157">
        <v>600</v>
      </c>
      <c r="J172" s="159">
        <f t="shared" si="25"/>
        <v>9600</v>
      </c>
      <c r="K172" s="152"/>
      <c r="L172" s="203"/>
    </row>
    <row r="173" spans="1:12" s="141" customFormat="1">
      <c r="A173" s="197"/>
      <c r="B173" s="187"/>
      <c r="C173" s="187"/>
      <c r="D173" s="187" t="s">
        <v>1312</v>
      </c>
      <c r="E173" s="187" t="s">
        <v>1309</v>
      </c>
      <c r="F173" s="187">
        <v>1</v>
      </c>
      <c r="G173" s="187"/>
      <c r="H173" s="188"/>
      <c r="I173" s="189"/>
      <c r="J173" s="196"/>
      <c r="K173" s="191"/>
      <c r="L173" s="203"/>
    </row>
    <row r="174" spans="1:12" s="141" customFormat="1">
      <c r="A174" s="147">
        <v>1</v>
      </c>
      <c r="B174" s="143" t="s">
        <v>786</v>
      </c>
      <c r="C174" s="143" t="s">
        <v>776</v>
      </c>
      <c r="D174" s="143" t="s">
        <v>1339</v>
      </c>
      <c r="E174" s="143" t="s">
        <v>1310</v>
      </c>
      <c r="F174" s="143">
        <v>2</v>
      </c>
      <c r="G174" s="143" t="s">
        <v>1314</v>
      </c>
      <c r="H174" s="149">
        <f t="shared" ref="H174:H179" si="26">F174*J$4</f>
        <v>2</v>
      </c>
      <c r="I174" s="157">
        <v>33000</v>
      </c>
      <c r="J174" s="159">
        <f t="shared" si="25"/>
        <v>66000</v>
      </c>
      <c r="K174" s="152"/>
      <c r="L174" s="203"/>
    </row>
    <row r="175" spans="1:12" s="141" customFormat="1">
      <c r="A175" s="147">
        <v>2</v>
      </c>
      <c r="B175" s="143" t="s">
        <v>786</v>
      </c>
      <c r="C175" s="143" t="s">
        <v>776</v>
      </c>
      <c r="D175" s="143" t="s">
        <v>1340</v>
      </c>
      <c r="E175" s="143" t="s">
        <v>1341</v>
      </c>
      <c r="F175" s="143">
        <v>1</v>
      </c>
      <c r="G175" s="143" t="s">
        <v>1314</v>
      </c>
      <c r="H175" s="149">
        <f t="shared" si="26"/>
        <v>1</v>
      </c>
      <c r="I175" s="157">
        <v>23000</v>
      </c>
      <c r="J175" s="159">
        <f t="shared" si="25"/>
        <v>23000</v>
      </c>
      <c r="K175" s="152"/>
      <c r="L175" s="203"/>
    </row>
    <row r="176" spans="1:12" s="141" customFormat="1">
      <c r="A176" s="147">
        <v>3</v>
      </c>
      <c r="B176" s="143" t="s">
        <v>786</v>
      </c>
      <c r="C176" s="143" t="s">
        <v>776</v>
      </c>
      <c r="D176" s="143" t="s">
        <v>1315</v>
      </c>
      <c r="E176" s="143" t="s">
        <v>1311</v>
      </c>
      <c r="F176" s="143">
        <v>2</v>
      </c>
      <c r="G176" s="143" t="s">
        <v>1314</v>
      </c>
      <c r="H176" s="149">
        <f t="shared" si="26"/>
        <v>2</v>
      </c>
      <c r="I176" s="157">
        <v>54000</v>
      </c>
      <c r="J176" s="159">
        <f t="shared" si="25"/>
        <v>108000</v>
      </c>
      <c r="K176" s="152"/>
      <c r="L176" s="203"/>
    </row>
    <row r="177" spans="1:12" s="141" customFormat="1">
      <c r="A177" s="147">
        <v>4</v>
      </c>
      <c r="B177" s="143" t="s">
        <v>786</v>
      </c>
      <c r="C177" s="143" t="s">
        <v>776</v>
      </c>
      <c r="D177" s="143" t="s">
        <v>1316</v>
      </c>
      <c r="E177" s="143" t="s">
        <v>1318</v>
      </c>
      <c r="F177" s="143">
        <v>1</v>
      </c>
      <c r="G177" s="143" t="s">
        <v>1317</v>
      </c>
      <c r="H177" s="149">
        <f t="shared" si="26"/>
        <v>1</v>
      </c>
      <c r="I177" s="157">
        <v>43000</v>
      </c>
      <c r="J177" s="159">
        <f t="shared" si="25"/>
        <v>43000</v>
      </c>
      <c r="K177" s="152"/>
      <c r="L177" s="203"/>
    </row>
    <row r="178" spans="1:12" s="141" customFormat="1">
      <c r="A178" s="147">
        <v>5</v>
      </c>
      <c r="B178" s="143" t="s">
        <v>786</v>
      </c>
      <c r="C178" s="143" t="s">
        <v>776</v>
      </c>
      <c r="D178" s="143" t="s">
        <v>1430</v>
      </c>
      <c r="E178" s="143" t="s">
        <v>1407</v>
      </c>
      <c r="F178" s="143">
        <v>4</v>
      </c>
      <c r="G178" s="143" t="s">
        <v>1326</v>
      </c>
      <c r="H178" s="149">
        <f t="shared" si="26"/>
        <v>4</v>
      </c>
      <c r="I178" s="157">
        <v>1000</v>
      </c>
      <c r="J178" s="159">
        <f t="shared" si="25"/>
        <v>4000</v>
      </c>
      <c r="K178" s="152"/>
      <c r="L178" s="203"/>
    </row>
    <row r="179" spans="1:12" s="141" customFormat="1">
      <c r="A179" s="147">
        <v>6</v>
      </c>
      <c r="B179" s="143" t="s">
        <v>786</v>
      </c>
      <c r="C179" s="143" t="s">
        <v>776</v>
      </c>
      <c r="D179" s="143" t="s">
        <v>1431</v>
      </c>
      <c r="E179" s="143" t="s">
        <v>1432</v>
      </c>
      <c r="F179" s="143">
        <v>12</v>
      </c>
      <c r="G179" s="143" t="s">
        <v>1427</v>
      </c>
      <c r="H179" s="149">
        <f t="shared" si="26"/>
        <v>12</v>
      </c>
      <c r="I179" s="157">
        <v>1300</v>
      </c>
      <c r="J179" s="159">
        <f t="shared" si="25"/>
        <v>15600</v>
      </c>
      <c r="K179" s="152"/>
      <c r="L179" s="203"/>
    </row>
    <row r="180" spans="1:12" s="141" customFormat="1">
      <c r="A180" s="147"/>
      <c r="B180" s="187"/>
      <c r="C180" s="187"/>
      <c r="D180" s="200" t="s">
        <v>1543</v>
      </c>
      <c r="E180" s="200" t="s">
        <v>1544</v>
      </c>
      <c r="F180" s="187">
        <v>1</v>
      </c>
      <c r="G180" s="187"/>
      <c r="H180" s="188"/>
      <c r="I180" s="189"/>
      <c r="J180" s="190"/>
      <c r="K180" s="191"/>
      <c r="L180" s="203"/>
    </row>
    <row r="181" spans="1:12" s="141" customFormat="1">
      <c r="A181" s="147">
        <v>1</v>
      </c>
      <c r="B181" s="143" t="s">
        <v>1412</v>
      </c>
      <c r="C181" s="143" t="s">
        <v>776</v>
      </c>
      <c r="D181" s="143" t="s">
        <v>1339</v>
      </c>
      <c r="E181" s="143" t="s">
        <v>1310</v>
      </c>
      <c r="F181" s="143">
        <v>4</v>
      </c>
      <c r="G181" s="143" t="s">
        <v>1314</v>
      </c>
      <c r="H181" s="149">
        <f t="shared" ref="H181:H186" si="27">F181*J$4</f>
        <v>4</v>
      </c>
      <c r="I181" s="157">
        <v>33000</v>
      </c>
      <c r="J181" s="159">
        <f t="shared" ref="J181:J183" si="28">H181*I181</f>
        <v>132000</v>
      </c>
      <c r="K181" s="152"/>
      <c r="L181" s="203"/>
    </row>
    <row r="182" spans="1:12" s="141" customFormat="1">
      <c r="A182" s="147">
        <v>2</v>
      </c>
      <c r="B182" s="143" t="s">
        <v>1412</v>
      </c>
      <c r="C182" s="143" t="s">
        <v>776</v>
      </c>
      <c r="D182" s="143" t="s">
        <v>1340</v>
      </c>
      <c r="E182" s="143" t="s">
        <v>1341</v>
      </c>
      <c r="F182" s="143">
        <v>1</v>
      </c>
      <c r="G182" s="143" t="s">
        <v>1314</v>
      </c>
      <c r="H182" s="149">
        <f t="shared" si="27"/>
        <v>1</v>
      </c>
      <c r="I182" s="157">
        <v>23000</v>
      </c>
      <c r="J182" s="159">
        <f t="shared" si="28"/>
        <v>23000</v>
      </c>
      <c r="K182" s="152"/>
      <c r="L182" s="203"/>
    </row>
    <row r="183" spans="1:12" s="141" customFormat="1">
      <c r="A183" s="147">
        <v>3</v>
      </c>
      <c r="B183" s="143" t="s">
        <v>1412</v>
      </c>
      <c r="C183" s="143" t="s">
        <v>776</v>
      </c>
      <c r="D183" s="143" t="s">
        <v>1315</v>
      </c>
      <c r="E183" s="143" t="s">
        <v>1311</v>
      </c>
      <c r="F183" s="143">
        <v>5</v>
      </c>
      <c r="G183" s="143" t="s">
        <v>1314</v>
      </c>
      <c r="H183" s="149">
        <f t="shared" si="27"/>
        <v>5</v>
      </c>
      <c r="I183" s="157">
        <v>54000</v>
      </c>
      <c r="J183" s="159">
        <f t="shared" si="28"/>
        <v>270000</v>
      </c>
      <c r="K183" s="152"/>
      <c r="L183" s="203"/>
    </row>
    <row r="184" spans="1:12" s="141" customFormat="1">
      <c r="A184" s="147">
        <v>4</v>
      </c>
      <c r="B184" s="143" t="s">
        <v>1412</v>
      </c>
      <c r="C184" s="143" t="s">
        <v>776</v>
      </c>
      <c r="D184" s="143" t="s">
        <v>1316</v>
      </c>
      <c r="E184" s="143" t="s">
        <v>1318</v>
      </c>
      <c r="F184" s="143">
        <v>2</v>
      </c>
      <c r="G184" s="143" t="s">
        <v>1317</v>
      </c>
      <c r="H184" s="149">
        <f t="shared" si="27"/>
        <v>2</v>
      </c>
      <c r="I184" s="157">
        <v>43000</v>
      </c>
      <c r="J184" s="159">
        <f>H184*I184</f>
        <v>86000</v>
      </c>
      <c r="K184" s="152"/>
      <c r="L184" s="203"/>
    </row>
    <row r="185" spans="1:12" s="141" customFormat="1">
      <c r="A185" s="147">
        <v>5</v>
      </c>
      <c r="B185" s="143" t="s">
        <v>1412</v>
      </c>
      <c r="C185" s="143" t="s">
        <v>776</v>
      </c>
      <c r="D185" s="143" t="s">
        <v>1430</v>
      </c>
      <c r="E185" s="143" t="s">
        <v>1407</v>
      </c>
      <c r="F185" s="143">
        <v>4</v>
      </c>
      <c r="G185" s="143" t="s">
        <v>1326</v>
      </c>
      <c r="H185" s="149">
        <f t="shared" si="27"/>
        <v>4</v>
      </c>
      <c r="I185" s="157">
        <v>1000</v>
      </c>
      <c r="J185" s="159">
        <f>H185*I185</f>
        <v>4000</v>
      </c>
      <c r="K185" s="152"/>
      <c r="L185" s="203"/>
    </row>
    <row r="186" spans="1:12" s="141" customFormat="1">
      <c r="A186" s="147">
        <v>6</v>
      </c>
      <c r="B186" s="143" t="s">
        <v>1412</v>
      </c>
      <c r="C186" s="143" t="s">
        <v>776</v>
      </c>
      <c r="D186" s="143" t="s">
        <v>1431</v>
      </c>
      <c r="E186" s="143" t="s">
        <v>1432</v>
      </c>
      <c r="F186" s="143">
        <v>12</v>
      </c>
      <c r="G186" s="143" t="s">
        <v>1427</v>
      </c>
      <c r="H186" s="149">
        <f t="shared" si="27"/>
        <v>12</v>
      </c>
      <c r="I186" s="157">
        <v>1300</v>
      </c>
      <c r="J186" s="159">
        <f>H186*I186</f>
        <v>15600</v>
      </c>
      <c r="K186" s="152"/>
      <c r="L186" s="203"/>
    </row>
    <row r="187" spans="1:12" s="141" customFormat="1">
      <c r="A187" s="147"/>
      <c r="B187" s="187"/>
      <c r="C187" s="187"/>
      <c r="D187" s="200" t="s">
        <v>1545</v>
      </c>
      <c r="E187" s="187" t="s">
        <v>1320</v>
      </c>
      <c r="F187" s="187">
        <v>1</v>
      </c>
      <c r="G187" s="187"/>
      <c r="H187" s="188"/>
      <c r="I187" s="189"/>
      <c r="J187" s="190"/>
      <c r="K187" s="191"/>
      <c r="L187" s="203"/>
    </row>
    <row r="188" spans="1:12" s="141" customFormat="1">
      <c r="A188" s="147">
        <v>1</v>
      </c>
      <c r="B188" s="143" t="s">
        <v>1412</v>
      </c>
      <c r="C188" s="143" t="s">
        <v>776</v>
      </c>
      <c r="D188" s="143" t="s">
        <v>1313</v>
      </c>
      <c r="E188" s="143" t="s">
        <v>1369</v>
      </c>
      <c r="F188" s="143">
        <v>2</v>
      </c>
      <c r="G188" s="143" t="s">
        <v>1314</v>
      </c>
      <c r="H188" s="149">
        <f t="shared" ref="H188:H191" si="29">F188*J$4</f>
        <v>2</v>
      </c>
      <c r="I188" s="157">
        <v>90000</v>
      </c>
      <c r="J188" s="159">
        <f t="shared" ref="J188:J191" si="30">H188*I188</f>
        <v>180000</v>
      </c>
      <c r="K188" s="152"/>
      <c r="L188" s="203"/>
    </row>
    <row r="189" spans="1:12" s="141" customFormat="1">
      <c r="A189" s="147">
        <v>2</v>
      </c>
      <c r="B189" s="143" t="s">
        <v>1412</v>
      </c>
      <c r="C189" s="143" t="s">
        <v>776</v>
      </c>
      <c r="D189" s="143" t="s">
        <v>1433</v>
      </c>
      <c r="E189" s="143" t="s">
        <v>1434</v>
      </c>
      <c r="F189" s="143">
        <v>1</v>
      </c>
      <c r="G189" s="143" t="s">
        <v>1326</v>
      </c>
      <c r="H189" s="149">
        <f t="shared" si="29"/>
        <v>1</v>
      </c>
      <c r="I189" s="157">
        <v>11000</v>
      </c>
      <c r="J189" s="159">
        <f t="shared" si="30"/>
        <v>11000</v>
      </c>
      <c r="K189" s="152"/>
      <c r="L189" s="203"/>
    </row>
    <row r="190" spans="1:12" s="141" customFormat="1">
      <c r="A190" s="147">
        <v>3</v>
      </c>
      <c r="B190" s="143" t="s">
        <v>1412</v>
      </c>
      <c r="C190" s="143" t="s">
        <v>776</v>
      </c>
      <c r="D190" s="143" t="s">
        <v>1435</v>
      </c>
      <c r="E190" s="143" t="s">
        <v>1436</v>
      </c>
      <c r="F190" s="143">
        <v>1</v>
      </c>
      <c r="G190" s="143" t="s">
        <v>1326</v>
      </c>
      <c r="H190" s="149">
        <f t="shared" si="29"/>
        <v>1</v>
      </c>
      <c r="I190" s="157">
        <v>15000</v>
      </c>
      <c r="J190" s="159">
        <f t="shared" si="30"/>
        <v>15000</v>
      </c>
      <c r="K190" s="152"/>
      <c r="L190" s="203"/>
    </row>
    <row r="191" spans="1:12" s="141" customFormat="1">
      <c r="A191" s="147">
        <v>4</v>
      </c>
      <c r="B191" s="143" t="s">
        <v>1412</v>
      </c>
      <c r="C191" s="143" t="s">
        <v>776</v>
      </c>
      <c r="D191" s="143" t="s">
        <v>1431</v>
      </c>
      <c r="E191" s="143" t="s">
        <v>1432</v>
      </c>
      <c r="F191" s="143">
        <v>4</v>
      </c>
      <c r="G191" s="143" t="s">
        <v>1427</v>
      </c>
      <c r="H191" s="149">
        <f t="shared" si="29"/>
        <v>4</v>
      </c>
      <c r="I191" s="157">
        <v>1100</v>
      </c>
      <c r="J191" s="159">
        <f t="shared" si="30"/>
        <v>4400</v>
      </c>
      <c r="K191" s="152"/>
      <c r="L191" s="203"/>
    </row>
    <row r="192" spans="1:12" s="141" customFormat="1">
      <c r="A192" s="197"/>
      <c r="B192" s="187"/>
      <c r="C192" s="187"/>
      <c r="D192" s="187" t="s">
        <v>1321</v>
      </c>
      <c r="E192" s="187" t="s">
        <v>1322</v>
      </c>
      <c r="F192" s="187">
        <v>1</v>
      </c>
      <c r="G192" s="187"/>
      <c r="H192" s="188"/>
      <c r="I192" s="189"/>
      <c r="J192" s="196"/>
      <c r="K192" s="191"/>
      <c r="L192" s="203"/>
    </row>
    <row r="193" spans="1:14" s="141" customFormat="1">
      <c r="A193" s="147">
        <v>1</v>
      </c>
      <c r="B193" s="143" t="s">
        <v>786</v>
      </c>
      <c r="C193" s="143" t="s">
        <v>776</v>
      </c>
      <c r="D193" s="143" t="s">
        <v>1313</v>
      </c>
      <c r="E193" s="143" t="s">
        <v>1310</v>
      </c>
      <c r="F193" s="143">
        <v>3</v>
      </c>
      <c r="G193" s="143" t="s">
        <v>1314</v>
      </c>
      <c r="H193" s="149">
        <f t="shared" ref="H193:H199" si="31">F193*J$4</f>
        <v>3</v>
      </c>
      <c r="I193" s="157">
        <v>33000</v>
      </c>
      <c r="J193" s="159">
        <f t="shared" si="25"/>
        <v>99000</v>
      </c>
      <c r="K193" s="152"/>
      <c r="L193" s="203"/>
    </row>
    <row r="194" spans="1:14" s="141" customFormat="1">
      <c r="A194" s="147">
        <v>2</v>
      </c>
      <c r="B194" s="143" t="s">
        <v>786</v>
      </c>
      <c r="C194" s="143" t="s">
        <v>776</v>
      </c>
      <c r="D194" s="143" t="s">
        <v>1340</v>
      </c>
      <c r="E194" s="143" t="s">
        <v>1341</v>
      </c>
      <c r="F194" s="143">
        <v>1</v>
      </c>
      <c r="G194" s="143" t="s">
        <v>1314</v>
      </c>
      <c r="H194" s="149">
        <f t="shared" si="31"/>
        <v>1</v>
      </c>
      <c r="I194" s="157">
        <v>23000</v>
      </c>
      <c r="J194" s="159">
        <f t="shared" si="25"/>
        <v>23000</v>
      </c>
      <c r="K194" s="152"/>
      <c r="L194" s="203"/>
    </row>
    <row r="195" spans="1:14" s="141" customFormat="1">
      <c r="A195" s="147">
        <v>3</v>
      </c>
      <c r="B195" s="143" t="s">
        <v>786</v>
      </c>
      <c r="C195" s="143" t="s">
        <v>776</v>
      </c>
      <c r="D195" s="143" t="s">
        <v>1315</v>
      </c>
      <c r="E195" s="143" t="s">
        <v>1311</v>
      </c>
      <c r="F195" s="143">
        <v>4</v>
      </c>
      <c r="G195" s="143" t="s">
        <v>1314</v>
      </c>
      <c r="H195" s="149">
        <f t="shared" si="31"/>
        <v>4</v>
      </c>
      <c r="I195" s="157">
        <v>54000</v>
      </c>
      <c r="J195" s="159">
        <f t="shared" si="25"/>
        <v>216000</v>
      </c>
      <c r="K195" s="152"/>
      <c r="L195" s="203"/>
    </row>
    <row r="196" spans="1:14" s="141" customFormat="1">
      <c r="A196" s="147">
        <v>4</v>
      </c>
      <c r="B196" s="143" t="s">
        <v>786</v>
      </c>
      <c r="C196" s="143" t="s">
        <v>776</v>
      </c>
      <c r="D196" s="143" t="s">
        <v>1316</v>
      </c>
      <c r="E196" s="143" t="s">
        <v>1318</v>
      </c>
      <c r="F196" s="143">
        <v>3</v>
      </c>
      <c r="G196" s="143" t="s">
        <v>1317</v>
      </c>
      <c r="H196" s="149">
        <f t="shared" si="31"/>
        <v>3</v>
      </c>
      <c r="I196" s="157">
        <v>43000</v>
      </c>
      <c r="J196" s="159">
        <f t="shared" si="25"/>
        <v>129000</v>
      </c>
      <c r="K196" s="152"/>
      <c r="L196" s="203"/>
    </row>
    <row r="197" spans="1:14" s="141" customFormat="1">
      <c r="A197" s="147">
        <v>5</v>
      </c>
      <c r="B197" s="143" t="s">
        <v>786</v>
      </c>
      <c r="C197" s="143" t="s">
        <v>776</v>
      </c>
      <c r="D197" s="143" t="s">
        <v>1430</v>
      </c>
      <c r="E197" s="143" t="s">
        <v>1404</v>
      </c>
      <c r="F197" s="143">
        <v>4</v>
      </c>
      <c r="G197" s="143" t="s">
        <v>1326</v>
      </c>
      <c r="H197" s="149">
        <f t="shared" si="31"/>
        <v>4</v>
      </c>
      <c r="I197" s="157">
        <v>1000</v>
      </c>
      <c r="J197" s="159">
        <f t="shared" si="25"/>
        <v>4000</v>
      </c>
      <c r="K197" s="152"/>
      <c r="L197" s="203"/>
    </row>
    <row r="198" spans="1:14" s="141" customFormat="1">
      <c r="A198" s="147">
        <v>6</v>
      </c>
      <c r="B198" s="143" t="s">
        <v>786</v>
      </c>
      <c r="C198" s="143" t="s">
        <v>776</v>
      </c>
      <c r="D198" s="143" t="s">
        <v>1437</v>
      </c>
      <c r="E198" s="143" t="s">
        <v>1406</v>
      </c>
      <c r="F198" s="143">
        <v>1</v>
      </c>
      <c r="G198" s="143" t="s">
        <v>1326</v>
      </c>
      <c r="H198" s="149">
        <f t="shared" si="31"/>
        <v>1</v>
      </c>
      <c r="I198" s="157">
        <v>3000</v>
      </c>
      <c r="J198" s="159">
        <f t="shared" si="25"/>
        <v>3000</v>
      </c>
      <c r="K198" s="152"/>
      <c r="L198" s="203"/>
    </row>
    <row r="199" spans="1:14" s="141" customFormat="1">
      <c r="A199" s="147">
        <v>7</v>
      </c>
      <c r="B199" s="143" t="s">
        <v>786</v>
      </c>
      <c r="C199" s="143" t="s">
        <v>776</v>
      </c>
      <c r="D199" s="143" t="s">
        <v>1431</v>
      </c>
      <c r="E199" s="143" t="s">
        <v>1432</v>
      </c>
      <c r="F199" s="143">
        <v>12</v>
      </c>
      <c r="G199" s="143" t="s">
        <v>1427</v>
      </c>
      <c r="H199" s="149">
        <f t="shared" si="31"/>
        <v>12</v>
      </c>
      <c r="I199" s="157">
        <v>1300</v>
      </c>
      <c r="J199" s="159">
        <f t="shared" si="25"/>
        <v>15600</v>
      </c>
      <c r="K199" s="152"/>
      <c r="L199" s="203"/>
    </row>
    <row r="200" spans="1:14" s="141" customFormat="1">
      <c r="A200" s="147"/>
      <c r="B200" s="187"/>
      <c r="C200" s="187"/>
      <c r="D200" s="200" t="s">
        <v>1546</v>
      </c>
      <c r="E200" s="187" t="s">
        <v>1322</v>
      </c>
      <c r="F200" s="187">
        <v>1</v>
      </c>
      <c r="G200" s="187"/>
      <c r="H200" s="188"/>
      <c r="I200" s="189"/>
      <c r="J200" s="190"/>
      <c r="K200" s="191"/>
      <c r="L200" s="203"/>
    </row>
    <row r="201" spans="1:14" s="141" customFormat="1">
      <c r="A201" s="147">
        <v>1</v>
      </c>
      <c r="B201" s="143" t="s">
        <v>1412</v>
      </c>
      <c r="C201" s="143" t="s">
        <v>776</v>
      </c>
      <c r="D201" s="143" t="s">
        <v>1313</v>
      </c>
      <c r="E201" s="143" t="s">
        <v>1310</v>
      </c>
      <c r="F201" s="143">
        <v>3</v>
      </c>
      <c r="G201" s="143" t="s">
        <v>1314</v>
      </c>
      <c r="H201" s="149">
        <f t="shared" ref="H201:H207" si="32">F201*J$4</f>
        <v>3</v>
      </c>
      <c r="I201" s="157">
        <v>33000</v>
      </c>
      <c r="J201" s="159">
        <f t="shared" ref="J201:J205" si="33">H201*I201</f>
        <v>99000</v>
      </c>
      <c r="K201" s="152"/>
      <c r="L201" s="203"/>
    </row>
    <row r="202" spans="1:14" s="141" customFormat="1">
      <c r="A202" s="147">
        <v>2</v>
      </c>
      <c r="B202" s="143" t="s">
        <v>1412</v>
      </c>
      <c r="C202" s="143" t="s">
        <v>776</v>
      </c>
      <c r="D202" s="143" t="s">
        <v>1340</v>
      </c>
      <c r="E202" s="143" t="s">
        <v>1341</v>
      </c>
      <c r="F202" s="143">
        <v>1</v>
      </c>
      <c r="G202" s="143" t="s">
        <v>1314</v>
      </c>
      <c r="H202" s="149">
        <f t="shared" si="32"/>
        <v>1</v>
      </c>
      <c r="I202" s="157">
        <v>23000</v>
      </c>
      <c r="J202" s="159">
        <f t="shared" si="33"/>
        <v>23000</v>
      </c>
      <c r="K202" s="152"/>
      <c r="L202" s="203"/>
    </row>
    <row r="203" spans="1:14" s="141" customFormat="1">
      <c r="A203" s="147">
        <v>3</v>
      </c>
      <c r="B203" s="143" t="s">
        <v>1412</v>
      </c>
      <c r="C203" s="143" t="s">
        <v>776</v>
      </c>
      <c r="D203" s="143" t="s">
        <v>1315</v>
      </c>
      <c r="E203" s="143" t="s">
        <v>1311</v>
      </c>
      <c r="F203" s="143">
        <v>4</v>
      </c>
      <c r="G203" s="143" t="s">
        <v>1314</v>
      </c>
      <c r="H203" s="149">
        <f t="shared" si="32"/>
        <v>4</v>
      </c>
      <c r="I203" s="157">
        <v>54000</v>
      </c>
      <c r="J203" s="159">
        <f t="shared" si="33"/>
        <v>216000</v>
      </c>
      <c r="K203" s="152"/>
      <c r="L203" s="203"/>
      <c r="M203" s="206">
        <v>7272727</v>
      </c>
      <c r="N203" s="207" t="s">
        <v>1556</v>
      </c>
    </row>
    <row r="204" spans="1:14" s="141" customFormat="1">
      <c r="A204" s="147">
        <v>4</v>
      </c>
      <c r="B204" s="143" t="s">
        <v>1412</v>
      </c>
      <c r="C204" s="143" t="s">
        <v>776</v>
      </c>
      <c r="D204" s="143" t="s">
        <v>1316</v>
      </c>
      <c r="E204" s="143" t="s">
        <v>1318</v>
      </c>
      <c r="F204" s="143">
        <v>3</v>
      </c>
      <c r="G204" s="143" t="s">
        <v>1317</v>
      </c>
      <c r="H204" s="149">
        <f t="shared" si="32"/>
        <v>3</v>
      </c>
      <c r="I204" s="157">
        <v>43000</v>
      </c>
      <c r="J204" s="159">
        <f t="shared" si="33"/>
        <v>129000</v>
      </c>
      <c r="K204" s="152"/>
      <c r="L204" s="203"/>
      <c r="M204" s="154">
        <f>800000+500000</f>
        <v>1300000</v>
      </c>
      <c r="N204" s="208" t="s">
        <v>1560</v>
      </c>
    </row>
    <row r="205" spans="1:14" s="141" customFormat="1">
      <c r="A205" s="147">
        <v>5</v>
      </c>
      <c r="B205" s="143" t="s">
        <v>1412</v>
      </c>
      <c r="C205" s="143" t="s">
        <v>776</v>
      </c>
      <c r="D205" s="143" t="s">
        <v>1430</v>
      </c>
      <c r="E205" s="143" t="s">
        <v>1404</v>
      </c>
      <c r="F205" s="143">
        <v>4</v>
      </c>
      <c r="G205" s="143" t="s">
        <v>1326</v>
      </c>
      <c r="H205" s="149">
        <f t="shared" si="32"/>
        <v>4</v>
      </c>
      <c r="I205" s="157">
        <v>1000</v>
      </c>
      <c r="J205" s="159">
        <f t="shared" si="33"/>
        <v>4000</v>
      </c>
      <c r="K205" s="152"/>
      <c r="L205" s="203"/>
      <c r="M205" s="154">
        <f>L208*7%</f>
        <v>221378.50000000003</v>
      </c>
      <c r="N205" s="208" t="s">
        <v>1557</v>
      </c>
    </row>
    <row r="206" spans="1:14" s="141" customFormat="1">
      <c r="A206" s="147">
        <v>6</v>
      </c>
      <c r="B206" s="143" t="s">
        <v>1412</v>
      </c>
      <c r="C206" s="143" t="s">
        <v>776</v>
      </c>
      <c r="D206" s="143" t="s">
        <v>1437</v>
      </c>
      <c r="E206" s="143" t="s">
        <v>1406</v>
      </c>
      <c r="F206" s="143">
        <v>1</v>
      </c>
      <c r="G206" s="143" t="s">
        <v>1326</v>
      </c>
      <c r="H206" s="149">
        <f t="shared" si="32"/>
        <v>1</v>
      </c>
      <c r="I206" s="157">
        <v>3000</v>
      </c>
      <c r="J206" s="159">
        <f>H206*I206</f>
        <v>3000</v>
      </c>
      <c r="K206" s="152"/>
      <c r="L206" s="203"/>
      <c r="M206" s="154">
        <f>(L208+M205)*20%</f>
        <v>676785.70000000007</v>
      </c>
      <c r="N206" s="208" t="s">
        <v>1558</v>
      </c>
    </row>
    <row r="207" spans="1:14" s="141" customFormat="1" ht="23" thickBot="1">
      <c r="A207" s="147">
        <v>7</v>
      </c>
      <c r="B207" s="143" t="s">
        <v>1412</v>
      </c>
      <c r="C207" s="143" t="s">
        <v>776</v>
      </c>
      <c r="D207" s="143" t="s">
        <v>1431</v>
      </c>
      <c r="E207" s="143" t="s">
        <v>1432</v>
      </c>
      <c r="F207" s="143">
        <v>12</v>
      </c>
      <c r="G207" s="143" t="s">
        <v>1427</v>
      </c>
      <c r="H207" s="149">
        <f t="shared" si="32"/>
        <v>12</v>
      </c>
      <c r="I207" s="157">
        <v>1300</v>
      </c>
      <c r="J207" s="159">
        <f>H207*I207</f>
        <v>15600</v>
      </c>
      <c r="K207" s="152"/>
      <c r="L207" s="203"/>
      <c r="M207" s="154">
        <f>(L208+M205+M206)*25%</f>
        <v>1015178.55</v>
      </c>
      <c r="N207" s="208" t="s">
        <v>1559</v>
      </c>
    </row>
    <row r="208" spans="1:14" s="141" customFormat="1" ht="23" thickBot="1">
      <c r="A208" s="192">
        <v>8</v>
      </c>
      <c r="B208" s="193" t="s">
        <v>786</v>
      </c>
      <c r="C208" s="193" t="s">
        <v>776</v>
      </c>
      <c r="D208" s="193" t="s">
        <v>1290</v>
      </c>
      <c r="E208" s="193"/>
      <c r="F208" s="193">
        <v>1</v>
      </c>
      <c r="G208" s="193"/>
      <c r="H208" s="194">
        <v>1</v>
      </c>
      <c r="I208" s="227">
        <v>1083730</v>
      </c>
      <c r="J208" s="226">
        <f>H208*I208</f>
        <v>1083730</v>
      </c>
      <c r="K208" s="195"/>
      <c r="L208" s="204">
        <f>SUM(J141:J172)+SUM(J174:J179)</f>
        <v>3162550</v>
      </c>
      <c r="M208" s="209">
        <f>L208+M204+M205+M206+M207</f>
        <v>6375892.75</v>
      </c>
      <c r="N208" s="141" t="s">
        <v>1307</v>
      </c>
    </row>
    <row r="209" spans="1:12" ht="5.25" customHeight="1" thickBot="1"/>
    <row r="210" spans="1:12" s="141" customFormat="1" ht="23" thickBot="1">
      <c r="A210" s="137" t="s">
        <v>80</v>
      </c>
      <c r="B210" s="138" t="s">
        <v>1276</v>
      </c>
      <c r="C210" s="138" t="s">
        <v>1277</v>
      </c>
      <c r="D210" s="138" t="s">
        <v>1278</v>
      </c>
      <c r="E210" s="138" t="s">
        <v>1279</v>
      </c>
      <c r="F210" s="138" t="s">
        <v>1280</v>
      </c>
      <c r="G210" s="138" t="s">
        <v>1281</v>
      </c>
      <c r="H210" s="138" t="s">
        <v>1282</v>
      </c>
      <c r="I210" s="139" t="s">
        <v>1283</v>
      </c>
      <c r="J210" s="138" t="s">
        <v>1030</v>
      </c>
      <c r="K210" s="140" t="s">
        <v>1031</v>
      </c>
      <c r="L210" s="203"/>
    </row>
    <row r="211" spans="1:12" s="141" customFormat="1">
      <c r="A211" s="142">
        <v>1</v>
      </c>
      <c r="B211" s="144" t="s">
        <v>789</v>
      </c>
      <c r="C211" s="144" t="s">
        <v>778</v>
      </c>
      <c r="D211" s="144" t="s">
        <v>1284</v>
      </c>
      <c r="E211" s="144" t="s">
        <v>1348</v>
      </c>
      <c r="F211" s="144">
        <v>1</v>
      </c>
      <c r="G211" s="145" t="s">
        <v>1285</v>
      </c>
      <c r="H211" s="145">
        <f>F211*J$4</f>
        <v>1</v>
      </c>
      <c r="I211" s="156">
        <v>634960</v>
      </c>
      <c r="J211" s="158">
        <f>H211*I211</f>
        <v>634960</v>
      </c>
      <c r="K211" s="146"/>
      <c r="L211" s="203"/>
    </row>
    <row r="212" spans="1:12" s="141" customFormat="1">
      <c r="A212" s="147">
        <v>2</v>
      </c>
      <c r="B212" s="143" t="s">
        <v>788</v>
      </c>
      <c r="C212" s="143" t="s">
        <v>778</v>
      </c>
      <c r="D212" s="143" t="s">
        <v>1284</v>
      </c>
      <c r="E212" s="148" t="s">
        <v>1349</v>
      </c>
      <c r="F212" s="143">
        <v>1</v>
      </c>
      <c r="G212" s="149" t="s">
        <v>1194</v>
      </c>
      <c r="H212" s="149">
        <f>F212*J$4</f>
        <v>1</v>
      </c>
      <c r="I212" s="157">
        <v>384160</v>
      </c>
      <c r="J212" s="159">
        <f>H212*I212</f>
        <v>384160</v>
      </c>
      <c r="K212" s="152"/>
      <c r="L212" s="203"/>
    </row>
    <row r="213" spans="1:12" s="141" customFormat="1">
      <c r="A213" s="147">
        <v>3</v>
      </c>
      <c r="B213" s="143" t="s">
        <v>788</v>
      </c>
      <c r="C213" s="143" t="s">
        <v>778</v>
      </c>
      <c r="D213" s="143" t="s">
        <v>1284</v>
      </c>
      <c r="E213" s="148" t="s">
        <v>1350</v>
      </c>
      <c r="F213" s="143">
        <v>1</v>
      </c>
      <c r="G213" s="149" t="s">
        <v>1194</v>
      </c>
      <c r="H213" s="149">
        <f>F213*J$4</f>
        <v>1</v>
      </c>
      <c r="I213" s="157">
        <v>310660</v>
      </c>
      <c r="J213" s="159">
        <f>H213*I213</f>
        <v>310660</v>
      </c>
      <c r="K213" s="152"/>
      <c r="L213" s="203"/>
    </row>
    <row r="214" spans="1:12" s="141" customFormat="1">
      <c r="A214" s="147">
        <v>4</v>
      </c>
      <c r="B214" s="143" t="s">
        <v>788</v>
      </c>
      <c r="C214" s="143" t="s">
        <v>778</v>
      </c>
      <c r="D214" s="143" t="s">
        <v>1286</v>
      </c>
      <c r="E214" s="148" t="s">
        <v>1438</v>
      </c>
      <c r="F214" s="143">
        <v>1</v>
      </c>
      <c r="G214" s="143" t="s">
        <v>1287</v>
      </c>
      <c r="H214" s="149">
        <f t="shared" ref="H214:H242" si="34">F214*J$4</f>
        <v>1</v>
      </c>
      <c r="I214" s="157">
        <v>212500</v>
      </c>
      <c r="J214" s="159">
        <f t="shared" ref="J214:J266" si="35">H214*I214</f>
        <v>212500</v>
      </c>
      <c r="K214" s="152"/>
      <c r="L214" s="203"/>
    </row>
    <row r="215" spans="1:12" s="141" customFormat="1">
      <c r="A215" s="147">
        <v>5</v>
      </c>
      <c r="B215" s="143" t="s">
        <v>788</v>
      </c>
      <c r="C215" s="143" t="s">
        <v>778</v>
      </c>
      <c r="D215" s="143" t="s">
        <v>1288</v>
      </c>
      <c r="E215" s="148" t="s">
        <v>1439</v>
      </c>
      <c r="F215" s="143">
        <v>12</v>
      </c>
      <c r="G215" s="143" t="s">
        <v>1287</v>
      </c>
      <c r="H215" s="149">
        <f t="shared" si="34"/>
        <v>12</v>
      </c>
      <c r="I215" s="157">
        <v>3400</v>
      </c>
      <c r="J215" s="159">
        <f t="shared" si="35"/>
        <v>40800</v>
      </c>
      <c r="K215" s="152"/>
      <c r="L215" s="203"/>
    </row>
    <row r="216" spans="1:12" s="141" customFormat="1">
      <c r="A216" s="147">
        <v>6</v>
      </c>
      <c r="B216" s="143" t="s">
        <v>788</v>
      </c>
      <c r="C216" s="143" t="s">
        <v>1413</v>
      </c>
      <c r="D216" s="143" t="s">
        <v>1286</v>
      </c>
      <c r="E216" s="148" t="s">
        <v>1440</v>
      </c>
      <c r="F216" s="143">
        <v>1</v>
      </c>
      <c r="G216" s="143" t="s">
        <v>1287</v>
      </c>
      <c r="H216" s="149">
        <f t="shared" si="34"/>
        <v>1</v>
      </c>
      <c r="I216" s="157">
        <v>219400</v>
      </c>
      <c r="J216" s="159">
        <f t="shared" si="35"/>
        <v>219400</v>
      </c>
      <c r="K216" s="152"/>
      <c r="L216" s="203"/>
    </row>
    <row r="217" spans="1:12" s="141" customFormat="1">
      <c r="A217" s="147">
        <v>7</v>
      </c>
      <c r="B217" s="143" t="s">
        <v>788</v>
      </c>
      <c r="C217" s="143" t="s">
        <v>1413</v>
      </c>
      <c r="D217" s="143" t="s">
        <v>1288</v>
      </c>
      <c r="E217" s="148" t="s">
        <v>1392</v>
      </c>
      <c r="F217" s="143">
        <v>8</v>
      </c>
      <c r="G217" s="143" t="s">
        <v>1287</v>
      </c>
      <c r="H217" s="149">
        <f t="shared" si="34"/>
        <v>8</v>
      </c>
      <c r="I217" s="157">
        <v>1600</v>
      </c>
      <c r="J217" s="159">
        <f t="shared" si="35"/>
        <v>12800</v>
      </c>
      <c r="K217" s="152"/>
      <c r="L217" s="203"/>
    </row>
    <row r="218" spans="1:12" s="141" customFormat="1">
      <c r="A218" s="147">
        <v>8</v>
      </c>
      <c r="B218" s="143" t="s">
        <v>788</v>
      </c>
      <c r="C218" s="143" t="s">
        <v>1413</v>
      </c>
      <c r="D218" s="143" t="s">
        <v>1286</v>
      </c>
      <c r="E218" s="148" t="s">
        <v>1441</v>
      </c>
      <c r="F218" s="143">
        <v>1</v>
      </c>
      <c r="G218" s="143" t="s">
        <v>1287</v>
      </c>
      <c r="H218" s="149">
        <f t="shared" si="34"/>
        <v>1</v>
      </c>
      <c r="I218" s="157">
        <v>219400</v>
      </c>
      <c r="J218" s="159">
        <f t="shared" si="35"/>
        <v>219400</v>
      </c>
      <c r="K218" s="152"/>
      <c r="L218" s="203"/>
    </row>
    <row r="219" spans="1:12" s="141" customFormat="1">
      <c r="A219" s="147">
        <v>9</v>
      </c>
      <c r="B219" s="143" t="s">
        <v>788</v>
      </c>
      <c r="C219" s="143" t="s">
        <v>1413</v>
      </c>
      <c r="D219" s="143" t="s">
        <v>1288</v>
      </c>
      <c r="E219" s="148" t="s">
        <v>1393</v>
      </c>
      <c r="F219" s="143">
        <v>8</v>
      </c>
      <c r="G219" s="143" t="s">
        <v>1287</v>
      </c>
      <c r="H219" s="149">
        <f t="shared" si="34"/>
        <v>8</v>
      </c>
      <c r="I219" s="157">
        <v>1900</v>
      </c>
      <c r="J219" s="159">
        <f t="shared" si="35"/>
        <v>15200</v>
      </c>
      <c r="K219" s="152"/>
      <c r="L219" s="203"/>
    </row>
    <row r="220" spans="1:12" s="141" customFormat="1">
      <c r="A220" s="147">
        <v>10</v>
      </c>
      <c r="B220" s="143" t="s">
        <v>788</v>
      </c>
      <c r="C220" s="143" t="s">
        <v>1413</v>
      </c>
      <c r="D220" s="143" t="s">
        <v>1286</v>
      </c>
      <c r="E220" s="148" t="s">
        <v>1442</v>
      </c>
      <c r="F220" s="143">
        <v>1</v>
      </c>
      <c r="G220" s="143" t="s">
        <v>1287</v>
      </c>
      <c r="H220" s="149">
        <f t="shared" si="34"/>
        <v>1</v>
      </c>
      <c r="I220" s="157">
        <v>155200</v>
      </c>
      <c r="J220" s="159">
        <f t="shared" si="35"/>
        <v>155200</v>
      </c>
      <c r="K220" s="152"/>
      <c r="L220" s="203"/>
    </row>
    <row r="221" spans="1:12" s="141" customFormat="1">
      <c r="A221" s="147">
        <v>11</v>
      </c>
      <c r="B221" s="143" t="s">
        <v>788</v>
      </c>
      <c r="C221" s="143" t="s">
        <v>1413</v>
      </c>
      <c r="D221" s="143" t="s">
        <v>1288</v>
      </c>
      <c r="E221" s="148" t="s">
        <v>1392</v>
      </c>
      <c r="F221" s="143">
        <v>8</v>
      </c>
      <c r="G221" s="143" t="s">
        <v>1287</v>
      </c>
      <c r="H221" s="149">
        <f t="shared" si="34"/>
        <v>8</v>
      </c>
      <c r="I221" s="157">
        <v>1600</v>
      </c>
      <c r="J221" s="159">
        <f t="shared" si="35"/>
        <v>12800</v>
      </c>
      <c r="K221" s="152"/>
      <c r="L221" s="203"/>
    </row>
    <row r="222" spans="1:12" s="141" customFormat="1">
      <c r="A222" s="147">
        <v>12</v>
      </c>
      <c r="B222" s="143" t="s">
        <v>788</v>
      </c>
      <c r="C222" s="143" t="s">
        <v>1413</v>
      </c>
      <c r="D222" s="143" t="s">
        <v>1286</v>
      </c>
      <c r="E222" s="148" t="s">
        <v>1443</v>
      </c>
      <c r="F222" s="143">
        <v>1</v>
      </c>
      <c r="G222" s="143" t="s">
        <v>1287</v>
      </c>
      <c r="H222" s="149">
        <f t="shared" si="34"/>
        <v>1</v>
      </c>
      <c r="I222" s="157">
        <v>155200</v>
      </c>
      <c r="J222" s="159">
        <f t="shared" si="35"/>
        <v>155200</v>
      </c>
      <c r="K222" s="152"/>
      <c r="L222" s="203"/>
    </row>
    <row r="223" spans="1:12" s="141" customFormat="1">
      <c r="A223" s="147">
        <v>13</v>
      </c>
      <c r="B223" s="143" t="s">
        <v>788</v>
      </c>
      <c r="C223" s="143" t="s">
        <v>1413</v>
      </c>
      <c r="D223" s="143" t="s">
        <v>1288</v>
      </c>
      <c r="E223" s="148" t="s">
        <v>1393</v>
      </c>
      <c r="F223" s="143">
        <v>8</v>
      </c>
      <c r="G223" s="143" t="s">
        <v>1287</v>
      </c>
      <c r="H223" s="149">
        <f t="shared" si="34"/>
        <v>8</v>
      </c>
      <c r="I223" s="157">
        <v>1900</v>
      </c>
      <c r="J223" s="159">
        <f t="shared" si="35"/>
        <v>15200</v>
      </c>
      <c r="K223" s="152"/>
      <c r="L223" s="203"/>
    </row>
    <row r="224" spans="1:12" s="141" customFormat="1">
      <c r="A224" s="147">
        <v>14</v>
      </c>
      <c r="B224" s="143" t="s">
        <v>788</v>
      </c>
      <c r="C224" s="143" t="s">
        <v>1413</v>
      </c>
      <c r="D224" s="143" t="s">
        <v>1291</v>
      </c>
      <c r="E224" s="148" t="s">
        <v>1299</v>
      </c>
      <c r="F224" s="143">
        <v>1</v>
      </c>
      <c r="G224" s="143" t="s">
        <v>1287</v>
      </c>
      <c r="H224" s="149">
        <f t="shared" si="34"/>
        <v>1</v>
      </c>
      <c r="I224" s="157">
        <v>61000</v>
      </c>
      <c r="J224" s="159">
        <f t="shared" si="35"/>
        <v>61000</v>
      </c>
      <c r="K224" s="152"/>
      <c r="L224" s="203"/>
    </row>
    <row r="225" spans="1:12" s="141" customFormat="1">
      <c r="A225" s="147">
        <v>15</v>
      </c>
      <c r="B225" s="143" t="s">
        <v>788</v>
      </c>
      <c r="C225" s="143" t="s">
        <v>1413</v>
      </c>
      <c r="D225" s="143" t="s">
        <v>1291</v>
      </c>
      <c r="E225" s="148" t="s">
        <v>1292</v>
      </c>
      <c r="F225" s="143">
        <v>1</v>
      </c>
      <c r="G225" s="143" t="s">
        <v>1287</v>
      </c>
      <c r="H225" s="149">
        <f t="shared" si="34"/>
        <v>1</v>
      </c>
      <c r="I225" s="157">
        <v>65000</v>
      </c>
      <c r="J225" s="159">
        <f t="shared" si="35"/>
        <v>65000</v>
      </c>
      <c r="K225" s="152"/>
      <c r="L225" s="203"/>
    </row>
    <row r="226" spans="1:12" s="141" customFormat="1">
      <c r="A226" s="147">
        <v>16</v>
      </c>
      <c r="B226" s="143" t="s">
        <v>788</v>
      </c>
      <c r="C226" s="143" t="s">
        <v>1413</v>
      </c>
      <c r="D226" s="143" t="s">
        <v>1288</v>
      </c>
      <c r="E226" s="148" t="s">
        <v>1394</v>
      </c>
      <c r="F226" s="143">
        <v>8</v>
      </c>
      <c r="G226" s="143" t="s">
        <v>1287</v>
      </c>
      <c r="H226" s="149">
        <f t="shared" si="34"/>
        <v>8</v>
      </c>
      <c r="I226" s="157">
        <v>2800</v>
      </c>
      <c r="J226" s="159">
        <f t="shared" si="35"/>
        <v>22400</v>
      </c>
      <c r="K226" s="152"/>
      <c r="L226" s="203"/>
    </row>
    <row r="227" spans="1:12" s="141" customFormat="1">
      <c r="A227" s="147">
        <v>17</v>
      </c>
      <c r="B227" s="143" t="s">
        <v>788</v>
      </c>
      <c r="C227" s="143" t="s">
        <v>1413</v>
      </c>
      <c r="D227" s="143" t="s">
        <v>1336</v>
      </c>
      <c r="E227" s="148" t="s">
        <v>1335</v>
      </c>
      <c r="F227" s="143">
        <v>1</v>
      </c>
      <c r="G227" s="143" t="s">
        <v>1326</v>
      </c>
      <c r="H227" s="149">
        <f t="shared" si="34"/>
        <v>1</v>
      </c>
      <c r="I227" s="157">
        <v>2500</v>
      </c>
      <c r="J227" s="159">
        <f t="shared" si="35"/>
        <v>2500</v>
      </c>
      <c r="K227" s="152"/>
      <c r="L227" s="203"/>
    </row>
    <row r="228" spans="1:12" s="141" customFormat="1">
      <c r="A228" s="147">
        <v>18</v>
      </c>
      <c r="B228" s="143" t="s">
        <v>788</v>
      </c>
      <c r="C228" s="143" t="s">
        <v>1413</v>
      </c>
      <c r="D228" s="143" t="s">
        <v>1337</v>
      </c>
      <c r="E228" s="143" t="s">
        <v>1301</v>
      </c>
      <c r="F228" s="143">
        <v>1</v>
      </c>
      <c r="G228" s="143" t="s">
        <v>1287</v>
      </c>
      <c r="H228" s="149">
        <f t="shared" si="34"/>
        <v>1</v>
      </c>
      <c r="I228" s="157">
        <f>1200+1200</f>
        <v>2400</v>
      </c>
      <c r="J228" s="159">
        <f t="shared" si="35"/>
        <v>2400</v>
      </c>
      <c r="K228" s="152"/>
      <c r="L228" s="203"/>
    </row>
    <row r="229" spans="1:12" s="141" customFormat="1">
      <c r="A229" s="147">
        <v>19</v>
      </c>
      <c r="B229" s="143" t="s">
        <v>788</v>
      </c>
      <c r="C229" s="143" t="s">
        <v>1413</v>
      </c>
      <c r="D229" s="143" t="s">
        <v>1415</v>
      </c>
      <c r="E229" s="148" t="s">
        <v>1416</v>
      </c>
      <c r="F229" s="143">
        <v>1</v>
      </c>
      <c r="G229" s="143" t="s">
        <v>1417</v>
      </c>
      <c r="H229" s="149">
        <f t="shared" si="34"/>
        <v>1</v>
      </c>
      <c r="I229" s="157">
        <v>1250</v>
      </c>
      <c r="J229" s="159">
        <f t="shared" si="35"/>
        <v>1250</v>
      </c>
      <c r="K229" s="152"/>
      <c r="L229" s="203"/>
    </row>
    <row r="230" spans="1:12" s="141" customFormat="1">
      <c r="A230" s="147">
        <v>20</v>
      </c>
      <c r="B230" s="143" t="s">
        <v>788</v>
      </c>
      <c r="C230" s="143" t="s">
        <v>1413</v>
      </c>
      <c r="D230" s="143" t="s">
        <v>1329</v>
      </c>
      <c r="E230" s="148" t="s">
        <v>1342</v>
      </c>
      <c r="F230" s="143">
        <v>40</v>
      </c>
      <c r="G230" s="143" t="s">
        <v>1326</v>
      </c>
      <c r="H230" s="149">
        <f t="shared" si="34"/>
        <v>40</v>
      </c>
      <c r="I230" s="157">
        <f>1200+2400</f>
        <v>3600</v>
      </c>
      <c r="J230" s="159">
        <f t="shared" si="35"/>
        <v>144000</v>
      </c>
      <c r="K230" s="152"/>
      <c r="L230" s="203"/>
    </row>
    <row r="231" spans="1:12" s="141" customFormat="1">
      <c r="A231" s="147">
        <v>21</v>
      </c>
      <c r="B231" s="143" t="s">
        <v>788</v>
      </c>
      <c r="C231" s="143" t="s">
        <v>1413</v>
      </c>
      <c r="D231" s="143" t="s">
        <v>1323</v>
      </c>
      <c r="E231" s="148" t="s">
        <v>1324</v>
      </c>
      <c r="F231" s="143">
        <v>1</v>
      </c>
      <c r="G231" s="143" t="s">
        <v>1325</v>
      </c>
      <c r="H231" s="149">
        <f t="shared" si="34"/>
        <v>1</v>
      </c>
      <c r="I231" s="157">
        <f>49000/2</f>
        <v>24500</v>
      </c>
      <c r="J231" s="159">
        <f t="shared" si="35"/>
        <v>24500</v>
      </c>
      <c r="K231" s="152"/>
      <c r="L231" s="203"/>
    </row>
    <row r="232" spans="1:12" s="141" customFormat="1">
      <c r="A232" s="147">
        <v>22</v>
      </c>
      <c r="B232" s="143" t="s">
        <v>788</v>
      </c>
      <c r="C232" s="143" t="s">
        <v>1413</v>
      </c>
      <c r="D232" s="143" t="s">
        <v>1330</v>
      </c>
      <c r="E232" s="143" t="s">
        <v>1539</v>
      </c>
      <c r="F232" s="143">
        <v>1</v>
      </c>
      <c r="G232" s="143" t="s">
        <v>1326</v>
      </c>
      <c r="H232" s="149">
        <f t="shared" si="34"/>
        <v>1</v>
      </c>
      <c r="I232" s="157">
        <v>6500</v>
      </c>
      <c r="J232" s="159">
        <f t="shared" si="35"/>
        <v>6500</v>
      </c>
      <c r="K232" s="152"/>
      <c r="L232" s="203"/>
    </row>
    <row r="233" spans="1:12" s="141" customFormat="1">
      <c r="A233" s="147">
        <v>23</v>
      </c>
      <c r="B233" s="143" t="s">
        <v>788</v>
      </c>
      <c r="C233" s="143" t="s">
        <v>1413</v>
      </c>
      <c r="D233" s="143" t="s">
        <v>1384</v>
      </c>
      <c r="E233" s="143" t="s">
        <v>1331</v>
      </c>
      <c r="F233" s="143">
        <v>1</v>
      </c>
      <c r="G233" s="143" t="s">
        <v>1326</v>
      </c>
      <c r="H233" s="149">
        <f t="shared" si="34"/>
        <v>1</v>
      </c>
      <c r="I233" s="157">
        <v>8000</v>
      </c>
      <c r="J233" s="159">
        <f t="shared" si="35"/>
        <v>8000</v>
      </c>
      <c r="K233" s="152"/>
      <c r="L233" s="203"/>
    </row>
    <row r="234" spans="1:12" s="141" customFormat="1">
      <c r="A234" s="147">
        <v>24</v>
      </c>
      <c r="B234" s="143" t="s">
        <v>788</v>
      </c>
      <c r="C234" s="143" t="s">
        <v>1413</v>
      </c>
      <c r="D234" s="143" t="s">
        <v>1332</v>
      </c>
      <c r="E234" s="143" t="s">
        <v>1327</v>
      </c>
      <c r="F234" s="143">
        <v>1</v>
      </c>
      <c r="G234" s="143" t="s">
        <v>1333</v>
      </c>
      <c r="H234" s="149">
        <f t="shared" si="34"/>
        <v>1</v>
      </c>
      <c r="I234" s="157">
        <v>2500</v>
      </c>
      <c r="J234" s="159">
        <f t="shared" si="35"/>
        <v>2500</v>
      </c>
      <c r="K234" s="152"/>
      <c r="L234" s="203"/>
    </row>
    <row r="235" spans="1:12" s="141" customFormat="1">
      <c r="A235" s="147">
        <v>25</v>
      </c>
      <c r="B235" s="143" t="s">
        <v>788</v>
      </c>
      <c r="C235" s="143" t="s">
        <v>1413</v>
      </c>
      <c r="D235" s="143" t="s">
        <v>1444</v>
      </c>
      <c r="E235" s="143" t="s">
        <v>1445</v>
      </c>
      <c r="F235" s="143">
        <v>2</v>
      </c>
      <c r="G235" s="143" t="s">
        <v>1326</v>
      </c>
      <c r="H235" s="149">
        <f t="shared" si="34"/>
        <v>2</v>
      </c>
      <c r="I235" s="157">
        <v>5500</v>
      </c>
      <c r="J235" s="159">
        <f t="shared" si="35"/>
        <v>11000</v>
      </c>
      <c r="K235" s="152"/>
      <c r="L235" s="203"/>
    </row>
    <row r="236" spans="1:12" s="141" customFormat="1">
      <c r="A236" s="147">
        <v>26</v>
      </c>
      <c r="B236" s="143" t="s">
        <v>788</v>
      </c>
      <c r="C236" s="143" t="s">
        <v>1413</v>
      </c>
      <c r="D236" s="143" t="s">
        <v>1334</v>
      </c>
      <c r="E236" s="143" t="s">
        <v>1328</v>
      </c>
      <c r="F236" s="143">
        <v>1</v>
      </c>
      <c r="G236" s="143" t="s">
        <v>1333</v>
      </c>
      <c r="H236" s="149">
        <f t="shared" si="34"/>
        <v>1</v>
      </c>
      <c r="I236" s="157">
        <v>15000</v>
      </c>
      <c r="J236" s="159">
        <f t="shared" si="35"/>
        <v>15000</v>
      </c>
      <c r="K236" s="152"/>
      <c r="L236" s="203"/>
    </row>
    <row r="237" spans="1:12" s="141" customFormat="1">
      <c r="A237" s="147">
        <v>27</v>
      </c>
      <c r="B237" s="143" t="s">
        <v>788</v>
      </c>
      <c r="C237" s="143" t="s">
        <v>1413</v>
      </c>
      <c r="D237" s="143" t="s">
        <v>1421</v>
      </c>
      <c r="E237" s="143" t="s">
        <v>1422</v>
      </c>
      <c r="F237" s="143">
        <v>1</v>
      </c>
      <c r="G237" s="143" t="s">
        <v>1326</v>
      </c>
      <c r="H237" s="149">
        <f t="shared" si="34"/>
        <v>1</v>
      </c>
      <c r="I237" s="157">
        <v>2500</v>
      </c>
      <c r="J237" s="159">
        <f t="shared" si="35"/>
        <v>2500</v>
      </c>
      <c r="K237" s="152"/>
      <c r="L237" s="203"/>
    </row>
    <row r="238" spans="1:12" s="141" customFormat="1">
      <c r="A238" s="147">
        <v>28</v>
      </c>
      <c r="B238" s="143" t="s">
        <v>788</v>
      </c>
      <c r="C238" s="143" t="s">
        <v>1413</v>
      </c>
      <c r="D238" s="143" t="s">
        <v>1423</v>
      </c>
      <c r="E238" s="143" t="s">
        <v>1408</v>
      </c>
      <c r="F238" s="143">
        <v>6</v>
      </c>
      <c r="G238" s="143" t="s">
        <v>1326</v>
      </c>
      <c r="H238" s="149">
        <f t="shared" si="34"/>
        <v>6</v>
      </c>
      <c r="I238" s="157">
        <v>7500</v>
      </c>
      <c r="J238" s="159">
        <f t="shared" si="35"/>
        <v>45000</v>
      </c>
      <c r="K238" s="152"/>
      <c r="L238" s="203"/>
    </row>
    <row r="239" spans="1:12" s="141" customFormat="1">
      <c r="A239" s="147">
        <v>29</v>
      </c>
      <c r="B239" s="143" t="s">
        <v>788</v>
      </c>
      <c r="C239" s="143" t="s">
        <v>1413</v>
      </c>
      <c r="D239" s="143" t="s">
        <v>1424</v>
      </c>
      <c r="E239" s="143" t="s">
        <v>1425</v>
      </c>
      <c r="F239" s="143">
        <v>1</v>
      </c>
      <c r="G239" s="143" t="s">
        <v>1326</v>
      </c>
      <c r="H239" s="149">
        <f t="shared" si="34"/>
        <v>1</v>
      </c>
      <c r="I239" s="157">
        <v>5500</v>
      </c>
      <c r="J239" s="159">
        <f t="shared" si="35"/>
        <v>5500</v>
      </c>
      <c r="K239" s="152"/>
      <c r="L239" s="203"/>
    </row>
    <row r="240" spans="1:12" s="141" customFormat="1">
      <c r="A240" s="147">
        <v>30</v>
      </c>
      <c r="B240" s="143" t="s">
        <v>788</v>
      </c>
      <c r="C240" s="143" t="s">
        <v>1413</v>
      </c>
      <c r="D240" s="143" t="s">
        <v>1426</v>
      </c>
      <c r="E240" s="143" t="s">
        <v>1405</v>
      </c>
      <c r="F240" s="143">
        <v>1</v>
      </c>
      <c r="G240" s="143" t="s">
        <v>1427</v>
      </c>
      <c r="H240" s="149">
        <f t="shared" si="34"/>
        <v>1</v>
      </c>
      <c r="I240" s="157">
        <v>1500</v>
      </c>
      <c r="J240" s="159">
        <f t="shared" si="35"/>
        <v>1500</v>
      </c>
      <c r="K240" s="152"/>
      <c r="L240" s="203"/>
    </row>
    <row r="241" spans="1:12" s="141" customFormat="1">
      <c r="A241" s="147">
        <v>31</v>
      </c>
      <c r="B241" s="143" t="s">
        <v>788</v>
      </c>
      <c r="C241" s="143" t="s">
        <v>1413</v>
      </c>
      <c r="D241" s="143" t="s">
        <v>1428</v>
      </c>
      <c r="E241" s="143" t="s">
        <v>1429</v>
      </c>
      <c r="F241" s="143">
        <v>1</v>
      </c>
      <c r="G241" s="143" t="s">
        <v>1427</v>
      </c>
      <c r="H241" s="149">
        <f t="shared" si="34"/>
        <v>1</v>
      </c>
      <c r="I241" s="157">
        <v>85000</v>
      </c>
      <c r="J241" s="159">
        <f t="shared" si="35"/>
        <v>85000</v>
      </c>
      <c r="K241" s="152"/>
      <c r="L241" s="203"/>
    </row>
    <row r="242" spans="1:12" s="141" customFormat="1">
      <c r="A242" s="147">
        <v>32</v>
      </c>
      <c r="B242" s="143" t="s">
        <v>788</v>
      </c>
      <c r="C242" s="143" t="s">
        <v>1413</v>
      </c>
      <c r="D242" s="143" t="s">
        <v>1538</v>
      </c>
      <c r="E242" s="143" t="s">
        <v>1405</v>
      </c>
      <c r="F242" s="143">
        <v>36</v>
      </c>
      <c r="G242" s="143" t="s">
        <v>1427</v>
      </c>
      <c r="H242" s="149">
        <f t="shared" si="34"/>
        <v>36</v>
      </c>
      <c r="I242" s="157">
        <v>600</v>
      </c>
      <c r="J242" s="159">
        <f t="shared" si="35"/>
        <v>21600</v>
      </c>
      <c r="K242" s="152"/>
      <c r="L242" s="203"/>
    </row>
    <row r="243" spans="1:12" s="141" customFormat="1">
      <c r="A243" s="197"/>
      <c r="B243" s="187"/>
      <c r="C243" s="187"/>
      <c r="D243" s="200" t="s">
        <v>1547</v>
      </c>
      <c r="E243" s="187" t="s">
        <v>1309</v>
      </c>
      <c r="F243" s="187">
        <v>1</v>
      </c>
      <c r="G243" s="187"/>
      <c r="H243" s="188"/>
      <c r="I243" s="189"/>
      <c r="J243" s="196"/>
      <c r="K243" s="191"/>
      <c r="L243" s="203"/>
    </row>
    <row r="244" spans="1:12" s="141" customFormat="1">
      <c r="A244" s="147">
        <v>1</v>
      </c>
      <c r="B244" s="143" t="s">
        <v>788</v>
      </c>
      <c r="C244" s="143" t="s">
        <v>1413</v>
      </c>
      <c r="D244" s="143" t="s">
        <v>1339</v>
      </c>
      <c r="E244" s="143" t="s">
        <v>1310</v>
      </c>
      <c r="F244" s="143">
        <v>2</v>
      </c>
      <c r="G244" s="143" t="s">
        <v>1314</v>
      </c>
      <c r="H244" s="149">
        <f t="shared" ref="H244:H249" si="36">F244*J$4</f>
        <v>2</v>
      </c>
      <c r="I244" s="157">
        <v>33000</v>
      </c>
      <c r="J244" s="159">
        <f t="shared" ref="J244:J249" si="37">H244*I244</f>
        <v>66000</v>
      </c>
      <c r="K244" s="152"/>
      <c r="L244" s="203"/>
    </row>
    <row r="245" spans="1:12" s="141" customFormat="1">
      <c r="A245" s="147">
        <v>2</v>
      </c>
      <c r="B245" s="143" t="s">
        <v>788</v>
      </c>
      <c r="C245" s="143" t="s">
        <v>1413</v>
      </c>
      <c r="D245" s="143" t="s">
        <v>1340</v>
      </c>
      <c r="E245" s="143" t="s">
        <v>1341</v>
      </c>
      <c r="F245" s="143">
        <v>1</v>
      </c>
      <c r="G245" s="143" t="s">
        <v>1314</v>
      </c>
      <c r="H245" s="149">
        <f t="shared" si="36"/>
        <v>1</v>
      </c>
      <c r="I245" s="157">
        <v>23000</v>
      </c>
      <c r="J245" s="159">
        <f t="shared" si="37"/>
        <v>23000</v>
      </c>
      <c r="K245" s="152"/>
      <c r="L245" s="203"/>
    </row>
    <row r="246" spans="1:12" s="141" customFormat="1">
      <c r="A246" s="147">
        <v>3</v>
      </c>
      <c r="B246" s="143" t="s">
        <v>788</v>
      </c>
      <c r="C246" s="143" t="s">
        <v>1413</v>
      </c>
      <c r="D246" s="143" t="s">
        <v>1315</v>
      </c>
      <c r="E246" s="143" t="s">
        <v>1311</v>
      </c>
      <c r="F246" s="143">
        <v>2</v>
      </c>
      <c r="G246" s="143" t="s">
        <v>1314</v>
      </c>
      <c r="H246" s="149">
        <f t="shared" si="36"/>
        <v>2</v>
      </c>
      <c r="I246" s="157">
        <v>54000</v>
      </c>
      <c r="J246" s="159">
        <f t="shared" si="37"/>
        <v>108000</v>
      </c>
      <c r="K246" s="152"/>
      <c r="L246" s="203"/>
    </row>
    <row r="247" spans="1:12" s="141" customFormat="1">
      <c r="A247" s="147">
        <v>4</v>
      </c>
      <c r="B247" s="143" t="s">
        <v>788</v>
      </c>
      <c r="C247" s="143" t="s">
        <v>1413</v>
      </c>
      <c r="D247" s="143" t="s">
        <v>1316</v>
      </c>
      <c r="E247" s="143" t="s">
        <v>1318</v>
      </c>
      <c r="F247" s="143">
        <v>1</v>
      </c>
      <c r="G247" s="143" t="s">
        <v>1317</v>
      </c>
      <c r="H247" s="149">
        <f t="shared" si="36"/>
        <v>1</v>
      </c>
      <c r="I247" s="157">
        <v>43000</v>
      </c>
      <c r="J247" s="159">
        <f t="shared" si="37"/>
        <v>43000</v>
      </c>
      <c r="K247" s="152"/>
      <c r="L247" s="203"/>
    </row>
    <row r="248" spans="1:12" s="141" customFormat="1">
      <c r="A248" s="147">
        <v>5</v>
      </c>
      <c r="B248" s="143" t="s">
        <v>788</v>
      </c>
      <c r="C248" s="143" t="s">
        <v>1413</v>
      </c>
      <c r="D248" s="143" t="s">
        <v>1430</v>
      </c>
      <c r="E248" s="143" t="s">
        <v>1407</v>
      </c>
      <c r="F248" s="143">
        <v>4</v>
      </c>
      <c r="G248" s="143" t="s">
        <v>1326</v>
      </c>
      <c r="H248" s="149">
        <f t="shared" si="36"/>
        <v>4</v>
      </c>
      <c r="I248" s="157">
        <v>1000</v>
      </c>
      <c r="J248" s="159">
        <f t="shared" si="37"/>
        <v>4000</v>
      </c>
      <c r="K248" s="152"/>
      <c r="L248" s="203"/>
    </row>
    <row r="249" spans="1:12" s="141" customFormat="1">
      <c r="A249" s="147">
        <v>6</v>
      </c>
      <c r="B249" s="143" t="s">
        <v>788</v>
      </c>
      <c r="C249" s="143" t="s">
        <v>1413</v>
      </c>
      <c r="D249" s="143" t="s">
        <v>1431</v>
      </c>
      <c r="E249" s="143" t="s">
        <v>1432</v>
      </c>
      <c r="F249" s="143">
        <v>12</v>
      </c>
      <c r="G249" s="143" t="s">
        <v>1427</v>
      </c>
      <c r="H249" s="149">
        <f t="shared" si="36"/>
        <v>12</v>
      </c>
      <c r="I249" s="157">
        <v>1300</v>
      </c>
      <c r="J249" s="159">
        <f t="shared" si="37"/>
        <v>15600</v>
      </c>
      <c r="K249" s="152"/>
      <c r="L249" s="203"/>
    </row>
    <row r="250" spans="1:12" s="141" customFormat="1">
      <c r="A250" s="197"/>
      <c r="B250" s="187"/>
      <c r="C250" s="187"/>
      <c r="D250" s="200" t="s">
        <v>1548</v>
      </c>
      <c r="E250" s="200" t="s">
        <v>1549</v>
      </c>
      <c r="F250" s="187">
        <v>1</v>
      </c>
      <c r="G250" s="187"/>
      <c r="H250" s="188"/>
      <c r="I250" s="189"/>
      <c r="J250" s="196"/>
      <c r="K250" s="191"/>
      <c r="L250" s="203"/>
    </row>
    <row r="251" spans="1:12" s="141" customFormat="1">
      <c r="A251" s="147">
        <v>1</v>
      </c>
      <c r="B251" s="143" t="s">
        <v>788</v>
      </c>
      <c r="C251" s="143" t="s">
        <v>1413</v>
      </c>
      <c r="D251" s="143" t="s">
        <v>1339</v>
      </c>
      <c r="E251" s="143" t="s">
        <v>1310</v>
      </c>
      <c r="F251" s="143">
        <v>4</v>
      </c>
      <c r="G251" s="143" t="s">
        <v>1314</v>
      </c>
      <c r="H251" s="149">
        <f t="shared" ref="H251:H256" si="38">F251*J$4</f>
        <v>4</v>
      </c>
      <c r="I251" s="157">
        <v>33000</v>
      </c>
      <c r="J251" s="159">
        <f t="shared" ref="J251:J256" si="39">H251*I251</f>
        <v>132000</v>
      </c>
      <c r="K251" s="152"/>
      <c r="L251" s="203"/>
    </row>
    <row r="252" spans="1:12" s="141" customFormat="1">
      <c r="A252" s="147">
        <v>2</v>
      </c>
      <c r="B252" s="143" t="s">
        <v>788</v>
      </c>
      <c r="C252" s="143" t="s">
        <v>1413</v>
      </c>
      <c r="D252" s="143" t="s">
        <v>1340</v>
      </c>
      <c r="E252" s="143" t="s">
        <v>1341</v>
      </c>
      <c r="F252" s="143">
        <v>1</v>
      </c>
      <c r="G252" s="143" t="s">
        <v>1314</v>
      </c>
      <c r="H252" s="149">
        <f t="shared" si="38"/>
        <v>1</v>
      </c>
      <c r="I252" s="157">
        <v>23000</v>
      </c>
      <c r="J252" s="159">
        <f t="shared" si="39"/>
        <v>23000</v>
      </c>
      <c r="K252" s="152"/>
      <c r="L252" s="203"/>
    </row>
    <row r="253" spans="1:12" s="141" customFormat="1">
      <c r="A253" s="147">
        <v>3</v>
      </c>
      <c r="B253" s="143" t="s">
        <v>788</v>
      </c>
      <c r="C253" s="143" t="s">
        <v>1413</v>
      </c>
      <c r="D253" s="143" t="s">
        <v>1315</v>
      </c>
      <c r="E253" s="143" t="s">
        <v>1311</v>
      </c>
      <c r="F253" s="143">
        <v>6</v>
      </c>
      <c r="G253" s="143" t="s">
        <v>1314</v>
      </c>
      <c r="H253" s="149">
        <f t="shared" si="38"/>
        <v>6</v>
      </c>
      <c r="I253" s="157">
        <v>54000</v>
      </c>
      <c r="J253" s="159">
        <f t="shared" si="39"/>
        <v>324000</v>
      </c>
      <c r="K253" s="152"/>
      <c r="L253" s="203"/>
    </row>
    <row r="254" spans="1:12" s="141" customFormat="1">
      <c r="A254" s="147">
        <v>4</v>
      </c>
      <c r="B254" s="143" t="s">
        <v>788</v>
      </c>
      <c r="C254" s="143" t="s">
        <v>1413</v>
      </c>
      <c r="D254" s="143" t="s">
        <v>1316</v>
      </c>
      <c r="E254" s="143" t="s">
        <v>1318</v>
      </c>
      <c r="F254" s="143">
        <v>2</v>
      </c>
      <c r="G254" s="143" t="s">
        <v>1317</v>
      </c>
      <c r="H254" s="149">
        <f t="shared" si="38"/>
        <v>2</v>
      </c>
      <c r="I254" s="157">
        <v>43000</v>
      </c>
      <c r="J254" s="159">
        <f t="shared" si="39"/>
        <v>86000</v>
      </c>
      <c r="K254" s="152"/>
      <c r="L254" s="203"/>
    </row>
    <row r="255" spans="1:12" s="141" customFormat="1">
      <c r="A255" s="147">
        <v>5</v>
      </c>
      <c r="B255" s="143" t="s">
        <v>788</v>
      </c>
      <c r="C255" s="143" t="s">
        <v>1413</v>
      </c>
      <c r="D255" s="143" t="s">
        <v>1430</v>
      </c>
      <c r="E255" s="143" t="s">
        <v>1407</v>
      </c>
      <c r="F255" s="143">
        <v>4</v>
      </c>
      <c r="G255" s="143" t="s">
        <v>1326</v>
      </c>
      <c r="H255" s="149">
        <f t="shared" si="38"/>
        <v>4</v>
      </c>
      <c r="I255" s="157">
        <v>1000</v>
      </c>
      <c r="J255" s="159">
        <f t="shared" si="39"/>
        <v>4000</v>
      </c>
      <c r="K255" s="152"/>
      <c r="L255" s="203"/>
    </row>
    <row r="256" spans="1:12" s="141" customFormat="1">
      <c r="A256" s="147">
        <v>6</v>
      </c>
      <c r="B256" s="143" t="s">
        <v>788</v>
      </c>
      <c r="C256" s="143" t="s">
        <v>1413</v>
      </c>
      <c r="D256" s="143" t="s">
        <v>1431</v>
      </c>
      <c r="E256" s="143" t="s">
        <v>1432</v>
      </c>
      <c r="F256" s="143">
        <v>12</v>
      </c>
      <c r="G256" s="143" t="s">
        <v>1427</v>
      </c>
      <c r="H256" s="149">
        <f t="shared" si="38"/>
        <v>12</v>
      </c>
      <c r="I256" s="157">
        <v>1300</v>
      </c>
      <c r="J256" s="159">
        <f t="shared" si="39"/>
        <v>15600</v>
      </c>
      <c r="K256" s="152"/>
      <c r="L256" s="203"/>
    </row>
    <row r="257" spans="1:14" s="141" customFormat="1">
      <c r="A257" s="197"/>
      <c r="B257" s="187"/>
      <c r="C257" s="187"/>
      <c r="D257" s="200" t="s">
        <v>1550</v>
      </c>
      <c r="E257" s="187" t="s">
        <v>1320</v>
      </c>
      <c r="F257" s="187">
        <v>1</v>
      </c>
      <c r="G257" s="187"/>
      <c r="H257" s="188"/>
      <c r="I257" s="189"/>
      <c r="J257" s="196"/>
      <c r="K257" s="191"/>
      <c r="L257" s="203"/>
    </row>
    <row r="258" spans="1:14" s="141" customFormat="1">
      <c r="A258" s="147">
        <v>1</v>
      </c>
      <c r="B258" s="143" t="s">
        <v>788</v>
      </c>
      <c r="C258" s="143" t="s">
        <v>1413</v>
      </c>
      <c r="D258" s="143" t="s">
        <v>1313</v>
      </c>
      <c r="E258" s="143" t="s">
        <v>1369</v>
      </c>
      <c r="F258" s="143">
        <v>2</v>
      </c>
      <c r="G258" s="143" t="s">
        <v>1314</v>
      </c>
      <c r="H258" s="149">
        <f t="shared" ref="H258:H261" si="40">F258*J$4</f>
        <v>2</v>
      </c>
      <c r="I258" s="157">
        <v>90000</v>
      </c>
      <c r="J258" s="159">
        <f t="shared" ref="J258:J261" si="41">H258*I258</f>
        <v>180000</v>
      </c>
      <c r="K258" s="152"/>
      <c r="L258" s="203"/>
    </row>
    <row r="259" spans="1:14" s="141" customFormat="1">
      <c r="A259" s="147">
        <v>2</v>
      </c>
      <c r="B259" s="143" t="s">
        <v>788</v>
      </c>
      <c r="C259" s="143" t="s">
        <v>1413</v>
      </c>
      <c r="D259" s="143" t="s">
        <v>1433</v>
      </c>
      <c r="E259" s="143" t="s">
        <v>1434</v>
      </c>
      <c r="F259" s="143">
        <v>1</v>
      </c>
      <c r="G259" s="143" t="s">
        <v>1326</v>
      </c>
      <c r="H259" s="149">
        <f t="shared" si="40"/>
        <v>1</v>
      </c>
      <c r="I259" s="157">
        <v>11000</v>
      </c>
      <c r="J259" s="159">
        <f t="shared" si="41"/>
        <v>11000</v>
      </c>
      <c r="K259" s="152"/>
      <c r="L259" s="203"/>
    </row>
    <row r="260" spans="1:14" s="141" customFormat="1">
      <c r="A260" s="147">
        <v>3</v>
      </c>
      <c r="B260" s="143" t="s">
        <v>788</v>
      </c>
      <c r="C260" s="143" t="s">
        <v>1413</v>
      </c>
      <c r="D260" s="143" t="s">
        <v>1537</v>
      </c>
      <c r="E260" s="143" t="s">
        <v>1540</v>
      </c>
      <c r="F260" s="143">
        <v>1</v>
      </c>
      <c r="G260" s="143" t="s">
        <v>1326</v>
      </c>
      <c r="H260" s="149">
        <f t="shared" si="40"/>
        <v>1</v>
      </c>
      <c r="I260" s="157">
        <v>15000</v>
      </c>
      <c r="J260" s="159">
        <f t="shared" si="41"/>
        <v>15000</v>
      </c>
      <c r="K260" s="152"/>
      <c r="L260" s="203"/>
    </row>
    <row r="261" spans="1:14" s="141" customFormat="1">
      <c r="A261" s="147">
        <v>4</v>
      </c>
      <c r="B261" s="143" t="s">
        <v>788</v>
      </c>
      <c r="C261" s="143" t="s">
        <v>1413</v>
      </c>
      <c r="D261" s="143" t="s">
        <v>1431</v>
      </c>
      <c r="E261" s="143" t="s">
        <v>1432</v>
      </c>
      <c r="F261" s="143">
        <v>4</v>
      </c>
      <c r="G261" s="143" t="s">
        <v>1427</v>
      </c>
      <c r="H261" s="149">
        <f t="shared" si="40"/>
        <v>4</v>
      </c>
      <c r="I261" s="157">
        <v>1100</v>
      </c>
      <c r="J261" s="159">
        <f t="shared" si="41"/>
        <v>4400</v>
      </c>
      <c r="K261" s="152"/>
      <c r="L261" s="203"/>
    </row>
    <row r="262" spans="1:14" s="141" customFormat="1">
      <c r="A262" s="197"/>
      <c r="B262" s="187"/>
      <c r="C262" s="187"/>
      <c r="D262" s="200" t="s">
        <v>1551</v>
      </c>
      <c r="E262" s="187" t="s">
        <v>1320</v>
      </c>
      <c r="F262" s="187">
        <v>1</v>
      </c>
      <c r="G262" s="187"/>
      <c r="H262" s="188"/>
      <c r="I262" s="189"/>
      <c r="J262" s="196"/>
      <c r="K262" s="191"/>
      <c r="L262" s="203"/>
      <c r="M262" s="206">
        <v>8636364</v>
      </c>
      <c r="N262" s="207" t="s">
        <v>1556</v>
      </c>
    </row>
    <row r="263" spans="1:14" s="141" customFormat="1">
      <c r="A263" s="147">
        <v>1</v>
      </c>
      <c r="B263" s="143" t="s">
        <v>788</v>
      </c>
      <c r="C263" s="143" t="s">
        <v>1413</v>
      </c>
      <c r="D263" s="143" t="s">
        <v>1313</v>
      </c>
      <c r="E263" s="143" t="s">
        <v>1369</v>
      </c>
      <c r="F263" s="143">
        <v>2</v>
      </c>
      <c r="G263" s="143" t="s">
        <v>1314</v>
      </c>
      <c r="H263" s="149">
        <f t="shared" ref="H263:H266" si="42">F263*J$4</f>
        <v>2</v>
      </c>
      <c r="I263" s="157">
        <v>90000</v>
      </c>
      <c r="J263" s="159">
        <f t="shared" si="35"/>
        <v>180000</v>
      </c>
      <c r="K263" s="152"/>
      <c r="L263" s="203"/>
      <c r="M263" s="154">
        <f>900000+500000</f>
        <v>1400000</v>
      </c>
      <c r="N263" s="208" t="s">
        <v>1560</v>
      </c>
    </row>
    <row r="264" spans="1:14" s="141" customFormat="1">
      <c r="A264" s="147">
        <v>2</v>
      </c>
      <c r="B264" s="143" t="s">
        <v>788</v>
      </c>
      <c r="C264" s="143" t="s">
        <v>1413</v>
      </c>
      <c r="D264" s="143" t="s">
        <v>1433</v>
      </c>
      <c r="E264" s="143" t="s">
        <v>1434</v>
      </c>
      <c r="F264" s="143">
        <v>1</v>
      </c>
      <c r="G264" s="143" t="s">
        <v>1326</v>
      </c>
      <c r="H264" s="149">
        <f t="shared" si="42"/>
        <v>1</v>
      </c>
      <c r="I264" s="157">
        <v>11000</v>
      </c>
      <c r="J264" s="159">
        <f t="shared" si="35"/>
        <v>11000</v>
      </c>
      <c r="K264" s="152"/>
      <c r="L264" s="203"/>
      <c r="M264" s="154">
        <f>L267*7%</f>
        <v>222252.10000000003</v>
      </c>
      <c r="N264" s="208" t="s">
        <v>1557</v>
      </c>
    </row>
    <row r="265" spans="1:14" s="141" customFormat="1">
      <c r="A265" s="147">
        <v>3</v>
      </c>
      <c r="B265" s="143" t="s">
        <v>788</v>
      </c>
      <c r="C265" s="143" t="s">
        <v>1413</v>
      </c>
      <c r="D265" s="143" t="s">
        <v>1537</v>
      </c>
      <c r="E265" s="143" t="s">
        <v>1540</v>
      </c>
      <c r="F265" s="143">
        <v>1</v>
      </c>
      <c r="G265" s="143" t="s">
        <v>1326</v>
      </c>
      <c r="H265" s="149">
        <f t="shared" si="42"/>
        <v>1</v>
      </c>
      <c r="I265" s="157">
        <v>15000</v>
      </c>
      <c r="J265" s="159">
        <f t="shared" si="35"/>
        <v>15000</v>
      </c>
      <c r="K265" s="152"/>
      <c r="L265" s="203"/>
      <c r="M265" s="154">
        <f>(L267+M264)*20%</f>
        <v>679456.42</v>
      </c>
      <c r="N265" s="208" t="s">
        <v>1558</v>
      </c>
    </row>
    <row r="266" spans="1:14" s="141" customFormat="1" ht="23" thickBot="1">
      <c r="A266" s="147">
        <v>4</v>
      </c>
      <c r="B266" s="143" t="s">
        <v>788</v>
      </c>
      <c r="C266" s="143" t="s">
        <v>1413</v>
      </c>
      <c r="D266" s="143" t="s">
        <v>1431</v>
      </c>
      <c r="E266" s="143" t="s">
        <v>1432</v>
      </c>
      <c r="F266" s="143">
        <v>4</v>
      </c>
      <c r="G266" s="143" t="s">
        <v>1427</v>
      </c>
      <c r="H266" s="149">
        <f t="shared" si="42"/>
        <v>4</v>
      </c>
      <c r="I266" s="157">
        <v>1100</v>
      </c>
      <c r="J266" s="159">
        <f t="shared" si="35"/>
        <v>4400</v>
      </c>
      <c r="K266" s="152"/>
      <c r="L266" s="203"/>
      <c r="M266" s="154">
        <f>(L267+M264+M265)*25%</f>
        <v>1019184.63</v>
      </c>
      <c r="N266" s="208" t="s">
        <v>1559</v>
      </c>
    </row>
    <row r="267" spans="1:14" s="141" customFormat="1" ht="23" thickBot="1">
      <c r="A267" s="192">
        <v>8</v>
      </c>
      <c r="B267" s="193" t="s">
        <v>788</v>
      </c>
      <c r="C267" s="193" t="s">
        <v>1413</v>
      </c>
      <c r="D267" s="193" t="s">
        <v>1411</v>
      </c>
      <c r="E267" s="193"/>
      <c r="F267" s="193">
        <v>1</v>
      </c>
      <c r="G267" s="193"/>
      <c r="H267" s="194">
        <v>1</v>
      </c>
      <c r="I267" s="227">
        <v>1170990</v>
      </c>
      <c r="J267" s="226">
        <f>H267*I267</f>
        <v>1170990</v>
      </c>
      <c r="K267" s="195"/>
      <c r="L267" s="204">
        <f>SUM(J211:J242)+SUM(J244:J249)</f>
        <v>3175030</v>
      </c>
      <c r="M267" s="209">
        <f>L267+M263+M264+M265+M266</f>
        <v>6495923.1499999994</v>
      </c>
      <c r="N267" s="141" t="s">
        <v>1307</v>
      </c>
    </row>
    <row r="268" spans="1:14" ht="4.5" customHeight="1" thickBot="1"/>
    <row r="269" spans="1:14" s="141" customFormat="1" ht="23" thickBot="1">
      <c r="A269" s="137" t="s">
        <v>80</v>
      </c>
      <c r="B269" s="138" t="s">
        <v>1276</v>
      </c>
      <c r="C269" s="138" t="s">
        <v>1277</v>
      </c>
      <c r="D269" s="138" t="s">
        <v>1278</v>
      </c>
      <c r="E269" s="138" t="s">
        <v>1279</v>
      </c>
      <c r="F269" s="138" t="s">
        <v>1280</v>
      </c>
      <c r="G269" s="138" t="s">
        <v>1281</v>
      </c>
      <c r="H269" s="138" t="s">
        <v>1282</v>
      </c>
      <c r="I269" s="139" t="s">
        <v>1283</v>
      </c>
      <c r="J269" s="138" t="s">
        <v>1030</v>
      </c>
      <c r="K269" s="140" t="s">
        <v>1031</v>
      </c>
      <c r="L269" s="203"/>
    </row>
    <row r="270" spans="1:14" s="141" customFormat="1">
      <c r="A270" s="142">
        <v>1</v>
      </c>
      <c r="B270" s="144" t="s">
        <v>791</v>
      </c>
      <c r="C270" s="144" t="s">
        <v>779</v>
      </c>
      <c r="D270" s="144" t="s">
        <v>1284</v>
      </c>
      <c r="E270" s="144" t="s">
        <v>1345</v>
      </c>
      <c r="F270" s="144">
        <v>1</v>
      </c>
      <c r="G270" s="145" t="s">
        <v>1285</v>
      </c>
      <c r="H270" s="145">
        <f>F270*J$4</f>
        <v>1</v>
      </c>
      <c r="I270" s="156">
        <v>1180300</v>
      </c>
      <c r="J270" s="158">
        <f>H270*I270</f>
        <v>1180300</v>
      </c>
      <c r="K270" s="146"/>
      <c r="L270" s="203"/>
    </row>
    <row r="271" spans="1:14" s="141" customFormat="1">
      <c r="A271" s="147">
        <v>2</v>
      </c>
      <c r="B271" s="143" t="s">
        <v>790</v>
      </c>
      <c r="C271" s="143" t="s">
        <v>787</v>
      </c>
      <c r="D271" s="143" t="s">
        <v>1284</v>
      </c>
      <c r="E271" s="148" t="s">
        <v>1346</v>
      </c>
      <c r="F271" s="143">
        <v>1</v>
      </c>
      <c r="G271" s="149" t="s">
        <v>1194</v>
      </c>
      <c r="H271" s="149">
        <f>F271*J$4</f>
        <v>1</v>
      </c>
      <c r="I271" s="157">
        <v>516900</v>
      </c>
      <c r="J271" s="159">
        <f>H271*I271</f>
        <v>516900</v>
      </c>
      <c r="K271" s="152"/>
      <c r="L271" s="203"/>
    </row>
    <row r="272" spans="1:14" s="141" customFormat="1">
      <c r="A272" s="147">
        <v>3</v>
      </c>
      <c r="B272" s="143" t="s">
        <v>790</v>
      </c>
      <c r="C272" s="143" t="s">
        <v>787</v>
      </c>
      <c r="D272" s="143" t="s">
        <v>1284</v>
      </c>
      <c r="E272" s="148" t="s">
        <v>1347</v>
      </c>
      <c r="F272" s="143">
        <v>1</v>
      </c>
      <c r="G272" s="149" t="s">
        <v>1194</v>
      </c>
      <c r="H272" s="149">
        <f>F272*J$4</f>
        <v>1</v>
      </c>
      <c r="I272" s="157">
        <v>310660</v>
      </c>
      <c r="J272" s="159">
        <f>H272*I272</f>
        <v>310660</v>
      </c>
      <c r="K272" s="152"/>
      <c r="L272" s="203"/>
    </row>
    <row r="273" spans="1:12" s="141" customFormat="1">
      <c r="A273" s="147">
        <v>4</v>
      </c>
      <c r="B273" s="143" t="s">
        <v>790</v>
      </c>
      <c r="C273" s="143" t="s">
        <v>787</v>
      </c>
      <c r="D273" s="143" t="s">
        <v>1286</v>
      </c>
      <c r="E273" s="148" t="s">
        <v>1446</v>
      </c>
      <c r="F273" s="143">
        <v>1</v>
      </c>
      <c r="G273" s="143" t="s">
        <v>1287</v>
      </c>
      <c r="H273" s="149">
        <f t="shared" ref="H273:H285" si="43">F273*J$4</f>
        <v>1</v>
      </c>
      <c r="I273" s="157">
        <v>340000</v>
      </c>
      <c r="J273" s="159">
        <f t="shared" ref="J273:J301" si="44">H273*I273</f>
        <v>340000</v>
      </c>
      <c r="K273" s="152"/>
      <c r="L273" s="203"/>
    </row>
    <row r="274" spans="1:12" s="141" customFormat="1">
      <c r="A274" s="147">
        <v>5</v>
      </c>
      <c r="B274" s="143" t="s">
        <v>790</v>
      </c>
      <c r="C274" s="143" t="s">
        <v>787</v>
      </c>
      <c r="D274" s="143" t="s">
        <v>1288</v>
      </c>
      <c r="E274" s="148" t="s">
        <v>1294</v>
      </c>
      <c r="F274" s="143">
        <v>12</v>
      </c>
      <c r="G274" s="143" t="s">
        <v>1287</v>
      </c>
      <c r="H274" s="149">
        <f t="shared" si="43"/>
        <v>12</v>
      </c>
      <c r="I274" s="157">
        <v>2800</v>
      </c>
      <c r="J274" s="159">
        <f t="shared" si="44"/>
        <v>33600</v>
      </c>
      <c r="K274" s="152"/>
      <c r="L274" s="203"/>
    </row>
    <row r="275" spans="1:12" s="141" customFormat="1">
      <c r="A275" s="147">
        <v>6</v>
      </c>
      <c r="B275" s="143" t="s">
        <v>790</v>
      </c>
      <c r="C275" s="143" t="s">
        <v>787</v>
      </c>
      <c r="D275" s="143" t="s">
        <v>1286</v>
      </c>
      <c r="E275" s="148" t="s">
        <v>1447</v>
      </c>
      <c r="F275" s="143">
        <v>1</v>
      </c>
      <c r="G275" s="143" t="s">
        <v>1287</v>
      </c>
      <c r="H275" s="149">
        <f t="shared" si="43"/>
        <v>1</v>
      </c>
      <c r="I275" s="157">
        <v>280000</v>
      </c>
      <c r="J275" s="159">
        <f t="shared" si="44"/>
        <v>280000</v>
      </c>
      <c r="K275" s="152"/>
      <c r="L275" s="203"/>
    </row>
    <row r="276" spans="1:12" s="141" customFormat="1">
      <c r="A276" s="147">
        <v>7</v>
      </c>
      <c r="B276" s="143" t="s">
        <v>790</v>
      </c>
      <c r="C276" s="143" t="s">
        <v>787</v>
      </c>
      <c r="D276" s="143" t="s">
        <v>1288</v>
      </c>
      <c r="E276" s="148" t="s">
        <v>1296</v>
      </c>
      <c r="F276" s="143">
        <v>8</v>
      </c>
      <c r="G276" s="143" t="s">
        <v>1287</v>
      </c>
      <c r="H276" s="149">
        <f t="shared" si="43"/>
        <v>8</v>
      </c>
      <c r="I276" s="157">
        <v>1600</v>
      </c>
      <c r="J276" s="159">
        <f t="shared" si="44"/>
        <v>12800</v>
      </c>
      <c r="K276" s="152"/>
      <c r="L276" s="203"/>
    </row>
    <row r="277" spans="1:12" s="141" customFormat="1">
      <c r="A277" s="147">
        <v>8</v>
      </c>
      <c r="B277" s="143" t="s">
        <v>790</v>
      </c>
      <c r="C277" s="143" t="s">
        <v>787</v>
      </c>
      <c r="D277" s="143" t="s">
        <v>1286</v>
      </c>
      <c r="E277" s="148" t="s">
        <v>1448</v>
      </c>
      <c r="F277" s="143">
        <v>1</v>
      </c>
      <c r="G277" s="143" t="s">
        <v>1287</v>
      </c>
      <c r="H277" s="149">
        <f t="shared" si="43"/>
        <v>1</v>
      </c>
      <c r="I277" s="157">
        <v>260000</v>
      </c>
      <c r="J277" s="159">
        <f t="shared" si="44"/>
        <v>260000</v>
      </c>
      <c r="K277" s="152"/>
      <c r="L277" s="203"/>
    </row>
    <row r="278" spans="1:12" s="141" customFormat="1">
      <c r="A278" s="147">
        <v>9</v>
      </c>
      <c r="B278" s="143" t="s">
        <v>790</v>
      </c>
      <c r="C278" s="143" t="s">
        <v>787</v>
      </c>
      <c r="D278" s="143" t="s">
        <v>1288</v>
      </c>
      <c r="E278" s="148" t="s">
        <v>1298</v>
      </c>
      <c r="F278" s="143">
        <v>8</v>
      </c>
      <c r="G278" s="143" t="s">
        <v>1287</v>
      </c>
      <c r="H278" s="149">
        <f t="shared" si="43"/>
        <v>8</v>
      </c>
      <c r="I278" s="157">
        <v>1500</v>
      </c>
      <c r="J278" s="159">
        <f t="shared" si="44"/>
        <v>12000</v>
      </c>
      <c r="K278" s="152"/>
      <c r="L278" s="203"/>
    </row>
    <row r="279" spans="1:12" s="141" customFormat="1">
      <c r="A279" s="147">
        <v>10</v>
      </c>
      <c r="B279" s="143" t="s">
        <v>790</v>
      </c>
      <c r="C279" s="143" t="s">
        <v>787</v>
      </c>
      <c r="D279" s="143" t="s">
        <v>1286</v>
      </c>
      <c r="E279" s="148" t="s">
        <v>1449</v>
      </c>
      <c r="F279" s="143">
        <v>1</v>
      </c>
      <c r="G279" s="143" t="s">
        <v>1287</v>
      </c>
      <c r="H279" s="149">
        <f t="shared" si="43"/>
        <v>1</v>
      </c>
      <c r="I279" s="157">
        <v>160000</v>
      </c>
      <c r="J279" s="159">
        <f t="shared" si="44"/>
        <v>160000</v>
      </c>
      <c r="K279" s="152"/>
      <c r="L279" s="203"/>
    </row>
    <row r="280" spans="1:12" s="141" customFormat="1">
      <c r="A280" s="147">
        <v>11</v>
      </c>
      <c r="B280" s="143" t="s">
        <v>790</v>
      </c>
      <c r="C280" s="143" t="s">
        <v>787</v>
      </c>
      <c r="D280" s="143" t="s">
        <v>1288</v>
      </c>
      <c r="E280" s="148" t="s">
        <v>1296</v>
      </c>
      <c r="F280" s="143">
        <v>8</v>
      </c>
      <c r="G280" s="143" t="s">
        <v>1287</v>
      </c>
      <c r="H280" s="149">
        <f t="shared" si="43"/>
        <v>8</v>
      </c>
      <c r="I280" s="157">
        <v>1100</v>
      </c>
      <c r="J280" s="159">
        <f t="shared" si="44"/>
        <v>8800</v>
      </c>
      <c r="K280" s="152"/>
      <c r="L280" s="203"/>
    </row>
    <row r="281" spans="1:12" s="141" customFormat="1">
      <c r="A281" s="147">
        <v>12</v>
      </c>
      <c r="B281" s="143" t="s">
        <v>790</v>
      </c>
      <c r="C281" s="143" t="s">
        <v>787</v>
      </c>
      <c r="D281" s="143" t="s">
        <v>1286</v>
      </c>
      <c r="E281" s="148" t="s">
        <v>1450</v>
      </c>
      <c r="F281" s="143">
        <v>1</v>
      </c>
      <c r="G281" s="143" t="s">
        <v>1287</v>
      </c>
      <c r="H281" s="149">
        <f t="shared" si="43"/>
        <v>1</v>
      </c>
      <c r="I281" s="157">
        <v>160000</v>
      </c>
      <c r="J281" s="159">
        <f t="shared" si="44"/>
        <v>160000</v>
      </c>
      <c r="K281" s="152"/>
      <c r="L281" s="203"/>
    </row>
    <row r="282" spans="1:12" s="141" customFormat="1">
      <c r="A282" s="147">
        <v>13</v>
      </c>
      <c r="B282" s="143" t="s">
        <v>790</v>
      </c>
      <c r="C282" s="143" t="s">
        <v>787</v>
      </c>
      <c r="D282" s="143" t="s">
        <v>1288</v>
      </c>
      <c r="E282" s="148" t="s">
        <v>1298</v>
      </c>
      <c r="F282" s="143">
        <v>8</v>
      </c>
      <c r="G282" s="143" t="s">
        <v>1287</v>
      </c>
      <c r="H282" s="149">
        <f t="shared" si="43"/>
        <v>8</v>
      </c>
      <c r="I282" s="157">
        <v>1500</v>
      </c>
      <c r="J282" s="159">
        <f t="shared" si="44"/>
        <v>12000</v>
      </c>
      <c r="K282" s="152"/>
      <c r="L282" s="203"/>
    </row>
    <row r="283" spans="1:12" s="141" customFormat="1">
      <c r="A283" s="147">
        <v>14</v>
      </c>
      <c r="B283" s="143" t="s">
        <v>790</v>
      </c>
      <c r="C283" s="143" t="s">
        <v>787</v>
      </c>
      <c r="D283" s="143" t="s">
        <v>1291</v>
      </c>
      <c r="E283" s="148" t="s">
        <v>1299</v>
      </c>
      <c r="F283" s="143">
        <v>1</v>
      </c>
      <c r="G283" s="143" t="s">
        <v>1287</v>
      </c>
      <c r="H283" s="149">
        <f t="shared" si="43"/>
        <v>1</v>
      </c>
      <c r="I283" s="157">
        <v>61000</v>
      </c>
      <c r="J283" s="159">
        <f t="shared" si="44"/>
        <v>61000</v>
      </c>
      <c r="K283" s="152"/>
      <c r="L283" s="203"/>
    </row>
    <row r="284" spans="1:12" s="141" customFormat="1">
      <c r="A284" s="147">
        <v>15</v>
      </c>
      <c r="B284" s="143" t="s">
        <v>790</v>
      </c>
      <c r="C284" s="143" t="s">
        <v>787</v>
      </c>
      <c r="D284" s="143" t="s">
        <v>1291</v>
      </c>
      <c r="E284" s="148" t="s">
        <v>1292</v>
      </c>
      <c r="F284" s="143">
        <v>1</v>
      </c>
      <c r="G284" s="143" t="s">
        <v>1287</v>
      </c>
      <c r="H284" s="149">
        <f t="shared" si="43"/>
        <v>1</v>
      </c>
      <c r="I284" s="157">
        <v>65000</v>
      </c>
      <c r="J284" s="159">
        <f t="shared" si="44"/>
        <v>65000</v>
      </c>
      <c r="K284" s="152"/>
      <c r="L284" s="203"/>
    </row>
    <row r="285" spans="1:12" s="141" customFormat="1">
      <c r="A285" s="147">
        <v>16</v>
      </c>
      <c r="B285" s="143" t="s">
        <v>790</v>
      </c>
      <c r="C285" s="143" t="s">
        <v>787</v>
      </c>
      <c r="D285" s="143" t="s">
        <v>1288</v>
      </c>
      <c r="E285" s="148" t="s">
        <v>1394</v>
      </c>
      <c r="F285" s="143">
        <v>8</v>
      </c>
      <c r="G285" s="143" t="s">
        <v>1287</v>
      </c>
      <c r="H285" s="149">
        <f t="shared" si="43"/>
        <v>8</v>
      </c>
      <c r="I285" s="157">
        <v>2800</v>
      </c>
      <c r="J285" s="159">
        <f t="shared" si="44"/>
        <v>22400</v>
      </c>
      <c r="K285" s="152"/>
      <c r="L285" s="203"/>
    </row>
    <row r="286" spans="1:12" s="141" customFormat="1">
      <c r="A286" s="147">
        <v>17</v>
      </c>
      <c r="B286" s="143" t="s">
        <v>790</v>
      </c>
      <c r="C286" s="143" t="s">
        <v>787</v>
      </c>
      <c r="D286" s="143" t="s">
        <v>1487</v>
      </c>
      <c r="E286" s="148" t="s">
        <v>1488</v>
      </c>
      <c r="F286" s="143">
        <v>1</v>
      </c>
      <c r="G286" s="143" t="s">
        <v>1254</v>
      </c>
      <c r="H286" s="149">
        <v>1</v>
      </c>
      <c r="I286" s="157">
        <v>2500</v>
      </c>
      <c r="J286" s="159">
        <f t="shared" si="44"/>
        <v>2500</v>
      </c>
      <c r="K286" s="152"/>
      <c r="L286" s="203"/>
    </row>
    <row r="287" spans="1:12" s="141" customFormat="1">
      <c r="A287" s="147">
        <v>18</v>
      </c>
      <c r="B287" s="143" t="s">
        <v>790</v>
      </c>
      <c r="C287" s="143" t="s">
        <v>787</v>
      </c>
      <c r="D287" s="143" t="s">
        <v>1489</v>
      </c>
      <c r="E287" s="148" t="s">
        <v>1490</v>
      </c>
      <c r="F287" s="143">
        <v>1</v>
      </c>
      <c r="G287" s="143" t="s">
        <v>1491</v>
      </c>
      <c r="H287" s="149">
        <v>1</v>
      </c>
      <c r="I287" s="157">
        <v>2400</v>
      </c>
      <c r="J287" s="159">
        <f t="shared" si="44"/>
        <v>2400</v>
      </c>
      <c r="K287" s="152"/>
      <c r="L287" s="203"/>
    </row>
    <row r="288" spans="1:12" s="141" customFormat="1">
      <c r="A288" s="147">
        <v>19</v>
      </c>
      <c r="B288" s="143" t="s">
        <v>790</v>
      </c>
      <c r="C288" s="143" t="s">
        <v>787</v>
      </c>
      <c r="D288" s="143" t="s">
        <v>1492</v>
      </c>
      <c r="E288" s="148" t="s">
        <v>1493</v>
      </c>
      <c r="F288" s="143">
        <v>1</v>
      </c>
      <c r="G288" s="143" t="s">
        <v>643</v>
      </c>
      <c r="H288" s="149">
        <v>1</v>
      </c>
      <c r="I288" s="157">
        <v>1250</v>
      </c>
      <c r="J288" s="159">
        <f t="shared" si="44"/>
        <v>1250</v>
      </c>
      <c r="K288" s="152"/>
      <c r="L288" s="203"/>
    </row>
    <row r="289" spans="1:12" s="141" customFormat="1">
      <c r="A289" s="147">
        <v>20</v>
      </c>
      <c r="B289" s="143" t="s">
        <v>790</v>
      </c>
      <c r="C289" s="143" t="s">
        <v>787</v>
      </c>
      <c r="D289" s="143" t="s">
        <v>1494</v>
      </c>
      <c r="E289" s="148" t="s">
        <v>1495</v>
      </c>
      <c r="F289" s="143">
        <v>40</v>
      </c>
      <c r="G289" s="143" t="s">
        <v>1254</v>
      </c>
      <c r="H289" s="149">
        <v>40</v>
      </c>
      <c r="I289" s="157">
        <v>3600</v>
      </c>
      <c r="J289" s="159">
        <f t="shared" si="44"/>
        <v>144000</v>
      </c>
      <c r="K289" s="152"/>
      <c r="L289" s="203"/>
    </row>
    <row r="290" spans="1:12" s="141" customFormat="1">
      <c r="A290" s="147">
        <v>21</v>
      </c>
      <c r="B290" s="143" t="s">
        <v>790</v>
      </c>
      <c r="C290" s="143" t="s">
        <v>787</v>
      </c>
      <c r="D290" s="143" t="s">
        <v>1496</v>
      </c>
      <c r="E290" s="148" t="s">
        <v>1497</v>
      </c>
      <c r="F290" s="143">
        <v>1</v>
      </c>
      <c r="G290" s="143" t="s">
        <v>1498</v>
      </c>
      <c r="H290" s="149">
        <v>1</v>
      </c>
      <c r="I290" s="157">
        <v>24500</v>
      </c>
      <c r="J290" s="159">
        <f t="shared" si="44"/>
        <v>24500</v>
      </c>
      <c r="K290" s="152"/>
      <c r="L290" s="203"/>
    </row>
    <row r="291" spans="1:12" s="141" customFormat="1">
      <c r="A291" s="147">
        <v>22</v>
      </c>
      <c r="B291" s="143" t="s">
        <v>790</v>
      </c>
      <c r="C291" s="143" t="s">
        <v>787</v>
      </c>
      <c r="D291" s="143" t="s">
        <v>1499</v>
      </c>
      <c r="E291" s="148" t="s">
        <v>1500</v>
      </c>
      <c r="F291" s="143">
        <v>1</v>
      </c>
      <c r="G291" s="143" t="s">
        <v>1254</v>
      </c>
      <c r="H291" s="149">
        <v>1</v>
      </c>
      <c r="I291" s="157">
        <v>6500</v>
      </c>
      <c r="J291" s="159">
        <f t="shared" si="44"/>
        <v>6500</v>
      </c>
      <c r="K291" s="152"/>
      <c r="L291" s="203"/>
    </row>
    <row r="292" spans="1:12" s="141" customFormat="1">
      <c r="A292" s="147">
        <v>23</v>
      </c>
      <c r="B292" s="143" t="s">
        <v>790</v>
      </c>
      <c r="C292" s="143" t="s">
        <v>787</v>
      </c>
      <c r="D292" s="143" t="s">
        <v>1501</v>
      </c>
      <c r="E292" s="148" t="s">
        <v>1502</v>
      </c>
      <c r="F292" s="143">
        <v>1</v>
      </c>
      <c r="G292" s="143" t="s">
        <v>1254</v>
      </c>
      <c r="H292" s="149">
        <v>1</v>
      </c>
      <c r="I292" s="157">
        <v>8000</v>
      </c>
      <c r="J292" s="159">
        <f t="shared" si="44"/>
        <v>8000</v>
      </c>
      <c r="K292" s="152"/>
      <c r="L292" s="203"/>
    </row>
    <row r="293" spans="1:12" s="141" customFormat="1">
      <c r="A293" s="147">
        <v>24</v>
      </c>
      <c r="B293" s="143" t="s">
        <v>790</v>
      </c>
      <c r="C293" s="143" t="s">
        <v>787</v>
      </c>
      <c r="D293" s="143" t="s">
        <v>1503</v>
      </c>
      <c r="E293" s="148" t="s">
        <v>1504</v>
      </c>
      <c r="F293" s="143">
        <v>1</v>
      </c>
      <c r="G293" s="143" t="s">
        <v>1505</v>
      </c>
      <c r="H293" s="149">
        <v>1</v>
      </c>
      <c r="I293" s="157">
        <v>2500</v>
      </c>
      <c r="J293" s="159">
        <f t="shared" si="44"/>
        <v>2500</v>
      </c>
      <c r="K293" s="152"/>
      <c r="L293" s="203"/>
    </row>
    <row r="294" spans="1:12" s="141" customFormat="1">
      <c r="A294" s="147">
        <v>25</v>
      </c>
      <c r="B294" s="143" t="s">
        <v>790</v>
      </c>
      <c r="C294" s="143" t="s">
        <v>787</v>
      </c>
      <c r="D294" s="143" t="s">
        <v>1414</v>
      </c>
      <c r="E294" s="148" t="s">
        <v>1506</v>
      </c>
      <c r="F294" s="143">
        <v>2</v>
      </c>
      <c r="G294" s="143" t="s">
        <v>1254</v>
      </c>
      <c r="H294" s="149">
        <v>2</v>
      </c>
      <c r="I294" s="157">
        <v>5500</v>
      </c>
      <c r="J294" s="159">
        <f t="shared" si="44"/>
        <v>11000</v>
      </c>
      <c r="K294" s="152"/>
      <c r="L294" s="203"/>
    </row>
    <row r="295" spans="1:12" s="141" customFormat="1">
      <c r="A295" s="147">
        <v>26</v>
      </c>
      <c r="B295" s="143" t="s">
        <v>790</v>
      </c>
      <c r="C295" s="143" t="s">
        <v>787</v>
      </c>
      <c r="D295" s="143" t="s">
        <v>1507</v>
      </c>
      <c r="E295" s="148" t="s">
        <v>1508</v>
      </c>
      <c r="F295" s="143">
        <v>1</v>
      </c>
      <c r="G295" s="143" t="s">
        <v>1505</v>
      </c>
      <c r="H295" s="149">
        <v>1</v>
      </c>
      <c r="I295" s="157">
        <v>15000</v>
      </c>
      <c r="J295" s="159">
        <f t="shared" si="44"/>
        <v>15000</v>
      </c>
      <c r="K295" s="152"/>
      <c r="L295" s="203"/>
    </row>
    <row r="296" spans="1:12" s="141" customFormat="1">
      <c r="A296" s="147">
        <v>27</v>
      </c>
      <c r="B296" s="143" t="s">
        <v>790</v>
      </c>
      <c r="C296" s="143" t="s">
        <v>787</v>
      </c>
      <c r="D296" s="143" t="s">
        <v>1509</v>
      </c>
      <c r="E296" s="148" t="s">
        <v>1510</v>
      </c>
      <c r="F296" s="143">
        <v>1</v>
      </c>
      <c r="G296" s="143" t="s">
        <v>1254</v>
      </c>
      <c r="H296" s="149">
        <v>1</v>
      </c>
      <c r="I296" s="157">
        <v>2500</v>
      </c>
      <c r="J296" s="159">
        <f t="shared" si="44"/>
        <v>2500</v>
      </c>
      <c r="K296" s="152"/>
      <c r="L296" s="203"/>
    </row>
    <row r="297" spans="1:12" s="141" customFormat="1">
      <c r="A297" s="147">
        <v>28</v>
      </c>
      <c r="B297" s="143" t="s">
        <v>790</v>
      </c>
      <c r="C297" s="143" t="s">
        <v>787</v>
      </c>
      <c r="D297" s="143" t="s">
        <v>1511</v>
      </c>
      <c r="E297" s="148" t="s">
        <v>1512</v>
      </c>
      <c r="F297" s="143">
        <v>6</v>
      </c>
      <c r="G297" s="143" t="s">
        <v>1254</v>
      </c>
      <c r="H297" s="149">
        <v>6</v>
      </c>
      <c r="I297" s="157">
        <v>7500</v>
      </c>
      <c r="J297" s="159">
        <f t="shared" si="44"/>
        <v>45000</v>
      </c>
      <c r="K297" s="152"/>
      <c r="L297" s="203"/>
    </row>
    <row r="298" spans="1:12" s="141" customFormat="1">
      <c r="A298" s="147">
        <v>29</v>
      </c>
      <c r="B298" s="143" t="s">
        <v>790</v>
      </c>
      <c r="C298" s="143" t="s">
        <v>787</v>
      </c>
      <c r="D298" s="143" t="s">
        <v>1513</v>
      </c>
      <c r="E298" s="148" t="s">
        <v>1514</v>
      </c>
      <c r="F298" s="143">
        <v>1</v>
      </c>
      <c r="G298" s="143" t="s">
        <v>1254</v>
      </c>
      <c r="H298" s="149">
        <v>1</v>
      </c>
      <c r="I298" s="157">
        <v>5500</v>
      </c>
      <c r="J298" s="159">
        <f t="shared" si="44"/>
        <v>5500</v>
      </c>
      <c r="K298" s="152"/>
      <c r="L298" s="203"/>
    </row>
    <row r="299" spans="1:12" s="141" customFormat="1">
      <c r="A299" s="147">
        <v>30</v>
      </c>
      <c r="B299" s="143" t="s">
        <v>790</v>
      </c>
      <c r="C299" s="143" t="s">
        <v>787</v>
      </c>
      <c r="D299" s="143" t="s">
        <v>1515</v>
      </c>
      <c r="E299" s="148" t="s">
        <v>1486</v>
      </c>
      <c r="F299" s="143">
        <v>1</v>
      </c>
      <c r="G299" s="143" t="s">
        <v>1410</v>
      </c>
      <c r="H299" s="149">
        <v>1</v>
      </c>
      <c r="I299" s="157">
        <v>1500</v>
      </c>
      <c r="J299" s="159">
        <f t="shared" si="44"/>
        <v>1500</v>
      </c>
      <c r="K299" s="152"/>
      <c r="L299" s="203"/>
    </row>
    <row r="300" spans="1:12" s="141" customFormat="1">
      <c r="A300" s="147">
        <v>31</v>
      </c>
      <c r="B300" s="143" t="s">
        <v>790</v>
      </c>
      <c r="C300" s="143" t="s">
        <v>787</v>
      </c>
      <c r="D300" s="143" t="s">
        <v>1516</v>
      </c>
      <c r="E300" s="148" t="s">
        <v>1517</v>
      </c>
      <c r="F300" s="143">
        <v>1</v>
      </c>
      <c r="G300" s="143" t="s">
        <v>1410</v>
      </c>
      <c r="H300" s="149">
        <v>1</v>
      </c>
      <c r="I300" s="157">
        <v>85000</v>
      </c>
      <c r="J300" s="159">
        <f t="shared" si="44"/>
        <v>85000</v>
      </c>
      <c r="K300" s="152"/>
      <c r="L300" s="203"/>
    </row>
    <row r="301" spans="1:12" s="141" customFormat="1">
      <c r="A301" s="147">
        <v>32</v>
      </c>
      <c r="B301" s="143" t="s">
        <v>790</v>
      </c>
      <c r="C301" s="143" t="s">
        <v>787</v>
      </c>
      <c r="D301" s="143" t="s">
        <v>1485</v>
      </c>
      <c r="E301" s="148" t="s">
        <v>1486</v>
      </c>
      <c r="F301" s="143">
        <v>36</v>
      </c>
      <c r="G301" s="143" t="s">
        <v>1410</v>
      </c>
      <c r="H301" s="149">
        <f t="shared" ref="H301" si="45">F301*J$4</f>
        <v>36</v>
      </c>
      <c r="I301" s="157">
        <v>600</v>
      </c>
      <c r="J301" s="159">
        <f t="shared" si="44"/>
        <v>21600</v>
      </c>
      <c r="K301" s="152"/>
      <c r="L301" s="203"/>
    </row>
    <row r="302" spans="1:12" s="141" customFormat="1">
      <c r="A302" s="197"/>
      <c r="B302" s="187"/>
      <c r="C302" s="187"/>
      <c r="D302" s="200" t="s">
        <v>1547</v>
      </c>
      <c r="E302" s="187" t="s">
        <v>1309</v>
      </c>
      <c r="F302" s="187">
        <v>1</v>
      </c>
      <c r="G302" s="187"/>
      <c r="H302" s="188"/>
      <c r="I302" s="189"/>
      <c r="J302" s="196"/>
      <c r="K302" s="191"/>
      <c r="L302" s="203"/>
    </row>
    <row r="303" spans="1:12" s="141" customFormat="1">
      <c r="A303" s="147">
        <v>1</v>
      </c>
      <c r="B303" s="143" t="s">
        <v>790</v>
      </c>
      <c r="C303" s="143" t="s">
        <v>787</v>
      </c>
      <c r="D303" s="143" t="s">
        <v>1339</v>
      </c>
      <c r="E303" s="143" t="s">
        <v>1310</v>
      </c>
      <c r="F303" s="143">
        <v>2</v>
      </c>
      <c r="G303" s="143" t="s">
        <v>1314</v>
      </c>
      <c r="H303" s="149">
        <f t="shared" ref="H303:H308" si="46">F303*J$4</f>
        <v>2</v>
      </c>
      <c r="I303" s="157">
        <v>33000</v>
      </c>
      <c r="J303" s="159">
        <f t="shared" ref="J303:J308" si="47">H303*I303</f>
        <v>66000</v>
      </c>
      <c r="K303" s="152"/>
      <c r="L303" s="203"/>
    </row>
    <row r="304" spans="1:12" s="141" customFormat="1">
      <c r="A304" s="147">
        <v>2</v>
      </c>
      <c r="B304" s="143" t="s">
        <v>790</v>
      </c>
      <c r="C304" s="143" t="s">
        <v>787</v>
      </c>
      <c r="D304" s="143" t="s">
        <v>1340</v>
      </c>
      <c r="E304" s="143" t="s">
        <v>1341</v>
      </c>
      <c r="F304" s="143">
        <v>1</v>
      </c>
      <c r="G304" s="143" t="s">
        <v>1314</v>
      </c>
      <c r="H304" s="149">
        <f t="shared" si="46"/>
        <v>1</v>
      </c>
      <c r="I304" s="157">
        <v>23000</v>
      </c>
      <c r="J304" s="159">
        <f t="shared" si="47"/>
        <v>23000</v>
      </c>
      <c r="K304" s="152"/>
      <c r="L304" s="203"/>
    </row>
    <row r="305" spans="1:12" s="141" customFormat="1">
      <c r="A305" s="147">
        <v>3</v>
      </c>
      <c r="B305" s="143" t="s">
        <v>790</v>
      </c>
      <c r="C305" s="143" t="s">
        <v>787</v>
      </c>
      <c r="D305" s="143" t="s">
        <v>1315</v>
      </c>
      <c r="E305" s="143" t="s">
        <v>1311</v>
      </c>
      <c r="F305" s="143">
        <v>2</v>
      </c>
      <c r="G305" s="143" t="s">
        <v>1314</v>
      </c>
      <c r="H305" s="149">
        <f t="shared" si="46"/>
        <v>2</v>
      </c>
      <c r="I305" s="157">
        <v>54000</v>
      </c>
      <c r="J305" s="159">
        <f t="shared" si="47"/>
        <v>108000</v>
      </c>
      <c r="K305" s="152"/>
      <c r="L305" s="203"/>
    </row>
    <row r="306" spans="1:12" s="141" customFormat="1">
      <c r="A306" s="147">
        <v>4</v>
      </c>
      <c r="B306" s="143" t="s">
        <v>790</v>
      </c>
      <c r="C306" s="143" t="s">
        <v>787</v>
      </c>
      <c r="D306" s="143" t="s">
        <v>1316</v>
      </c>
      <c r="E306" s="143" t="s">
        <v>1318</v>
      </c>
      <c r="F306" s="143">
        <v>1</v>
      </c>
      <c r="G306" s="143" t="s">
        <v>1317</v>
      </c>
      <c r="H306" s="149">
        <f t="shared" si="46"/>
        <v>1</v>
      </c>
      <c r="I306" s="157">
        <v>43000</v>
      </c>
      <c r="J306" s="159">
        <f t="shared" si="47"/>
        <v>43000</v>
      </c>
      <c r="K306" s="152"/>
      <c r="L306" s="203"/>
    </row>
    <row r="307" spans="1:12" s="141" customFormat="1">
      <c r="A307" s="147">
        <v>5</v>
      </c>
      <c r="B307" s="143" t="s">
        <v>790</v>
      </c>
      <c r="C307" s="143" t="s">
        <v>787</v>
      </c>
      <c r="D307" s="143" t="s">
        <v>1430</v>
      </c>
      <c r="E307" s="143" t="s">
        <v>1407</v>
      </c>
      <c r="F307" s="143">
        <v>4</v>
      </c>
      <c r="G307" s="143" t="s">
        <v>1326</v>
      </c>
      <c r="H307" s="149">
        <f t="shared" si="46"/>
        <v>4</v>
      </c>
      <c r="I307" s="157">
        <v>1000</v>
      </c>
      <c r="J307" s="159">
        <f t="shared" si="47"/>
        <v>4000</v>
      </c>
      <c r="K307" s="152"/>
      <c r="L307" s="203"/>
    </row>
    <row r="308" spans="1:12" s="141" customFormat="1">
      <c r="A308" s="147">
        <v>6</v>
      </c>
      <c r="B308" s="143" t="s">
        <v>790</v>
      </c>
      <c r="C308" s="143" t="s">
        <v>787</v>
      </c>
      <c r="D308" s="143" t="s">
        <v>1431</v>
      </c>
      <c r="E308" s="143" t="s">
        <v>1432</v>
      </c>
      <c r="F308" s="143">
        <v>12</v>
      </c>
      <c r="G308" s="143" t="s">
        <v>1427</v>
      </c>
      <c r="H308" s="149">
        <f t="shared" si="46"/>
        <v>12</v>
      </c>
      <c r="I308" s="157">
        <v>1300</v>
      </c>
      <c r="J308" s="159">
        <f t="shared" si="47"/>
        <v>15600</v>
      </c>
      <c r="K308" s="152"/>
      <c r="L308" s="203"/>
    </row>
    <row r="309" spans="1:12" s="141" customFormat="1">
      <c r="A309" s="197"/>
      <c r="B309" s="187"/>
      <c r="C309" s="187"/>
      <c r="D309" s="200" t="s">
        <v>1548</v>
      </c>
      <c r="E309" s="200" t="s">
        <v>1549</v>
      </c>
      <c r="F309" s="187">
        <v>1</v>
      </c>
      <c r="G309" s="187"/>
      <c r="H309" s="188"/>
      <c r="I309" s="189"/>
      <c r="J309" s="196"/>
      <c r="K309" s="191"/>
      <c r="L309" s="203"/>
    </row>
    <row r="310" spans="1:12" s="141" customFormat="1">
      <c r="A310" s="147">
        <v>1</v>
      </c>
      <c r="B310" s="143" t="s">
        <v>790</v>
      </c>
      <c r="C310" s="143" t="s">
        <v>787</v>
      </c>
      <c r="D310" s="143" t="s">
        <v>1339</v>
      </c>
      <c r="E310" s="143" t="s">
        <v>1310</v>
      </c>
      <c r="F310" s="143">
        <v>4</v>
      </c>
      <c r="G310" s="143" t="s">
        <v>1314</v>
      </c>
      <c r="H310" s="149">
        <f t="shared" ref="H310:H315" si="48">F310*J$4</f>
        <v>4</v>
      </c>
      <c r="I310" s="157">
        <v>33000</v>
      </c>
      <c r="J310" s="159">
        <f t="shared" ref="J310:J315" si="49">H310*I310</f>
        <v>132000</v>
      </c>
      <c r="K310" s="152"/>
      <c r="L310" s="203"/>
    </row>
    <row r="311" spans="1:12" s="141" customFormat="1">
      <c r="A311" s="147">
        <v>2</v>
      </c>
      <c r="B311" s="143" t="s">
        <v>790</v>
      </c>
      <c r="C311" s="143" t="s">
        <v>787</v>
      </c>
      <c r="D311" s="143" t="s">
        <v>1340</v>
      </c>
      <c r="E311" s="143" t="s">
        <v>1341</v>
      </c>
      <c r="F311" s="143">
        <v>1</v>
      </c>
      <c r="G311" s="143" t="s">
        <v>1314</v>
      </c>
      <c r="H311" s="149">
        <f t="shared" si="48"/>
        <v>1</v>
      </c>
      <c r="I311" s="157">
        <v>23000</v>
      </c>
      <c r="J311" s="159">
        <f t="shared" si="49"/>
        <v>23000</v>
      </c>
      <c r="K311" s="152"/>
      <c r="L311" s="203"/>
    </row>
    <row r="312" spans="1:12" s="141" customFormat="1">
      <c r="A312" s="147">
        <v>3</v>
      </c>
      <c r="B312" s="143" t="s">
        <v>790</v>
      </c>
      <c r="C312" s="143" t="s">
        <v>787</v>
      </c>
      <c r="D312" s="143" t="s">
        <v>1315</v>
      </c>
      <c r="E312" s="143" t="s">
        <v>1311</v>
      </c>
      <c r="F312" s="143">
        <v>6</v>
      </c>
      <c r="G312" s="143" t="s">
        <v>1314</v>
      </c>
      <c r="H312" s="149">
        <f t="shared" si="48"/>
        <v>6</v>
      </c>
      <c r="I312" s="157">
        <v>54000</v>
      </c>
      <c r="J312" s="159">
        <f t="shared" si="49"/>
        <v>324000</v>
      </c>
      <c r="K312" s="152"/>
      <c r="L312" s="203"/>
    </row>
    <row r="313" spans="1:12" s="141" customFormat="1">
      <c r="A313" s="147">
        <v>4</v>
      </c>
      <c r="B313" s="143" t="s">
        <v>790</v>
      </c>
      <c r="C313" s="143" t="s">
        <v>787</v>
      </c>
      <c r="D313" s="143" t="s">
        <v>1316</v>
      </c>
      <c r="E313" s="143" t="s">
        <v>1318</v>
      </c>
      <c r="F313" s="143">
        <v>2</v>
      </c>
      <c r="G313" s="143" t="s">
        <v>1317</v>
      </c>
      <c r="H313" s="149">
        <f t="shared" si="48"/>
        <v>2</v>
      </c>
      <c r="I313" s="157">
        <v>43000</v>
      </c>
      <c r="J313" s="159">
        <f t="shared" si="49"/>
        <v>86000</v>
      </c>
      <c r="K313" s="152"/>
      <c r="L313" s="203"/>
    </row>
    <row r="314" spans="1:12" s="141" customFormat="1">
      <c r="A314" s="147">
        <v>5</v>
      </c>
      <c r="B314" s="143" t="s">
        <v>790</v>
      </c>
      <c r="C314" s="143" t="s">
        <v>787</v>
      </c>
      <c r="D314" s="143" t="s">
        <v>1430</v>
      </c>
      <c r="E314" s="143" t="s">
        <v>1407</v>
      </c>
      <c r="F314" s="143">
        <v>4</v>
      </c>
      <c r="G314" s="143" t="s">
        <v>1326</v>
      </c>
      <c r="H314" s="149">
        <f t="shared" si="48"/>
        <v>4</v>
      </c>
      <c r="I314" s="157">
        <v>1000</v>
      </c>
      <c r="J314" s="159">
        <f t="shared" si="49"/>
        <v>4000</v>
      </c>
      <c r="K314" s="152"/>
      <c r="L314" s="203"/>
    </row>
    <row r="315" spans="1:12" s="141" customFormat="1">
      <c r="A315" s="147">
        <v>6</v>
      </c>
      <c r="B315" s="143" t="s">
        <v>790</v>
      </c>
      <c r="C315" s="143" t="s">
        <v>787</v>
      </c>
      <c r="D315" s="143" t="s">
        <v>1431</v>
      </c>
      <c r="E315" s="143" t="s">
        <v>1432</v>
      </c>
      <c r="F315" s="143">
        <v>12</v>
      </c>
      <c r="G315" s="143" t="s">
        <v>1427</v>
      </c>
      <c r="H315" s="149">
        <f t="shared" si="48"/>
        <v>12</v>
      </c>
      <c r="I315" s="157">
        <v>1300</v>
      </c>
      <c r="J315" s="159">
        <f t="shared" si="49"/>
        <v>15600</v>
      </c>
      <c r="K315" s="152"/>
      <c r="L315" s="203"/>
    </row>
    <row r="316" spans="1:12" s="141" customFormat="1">
      <c r="A316" s="197"/>
      <c r="B316" s="187"/>
      <c r="C316" s="187"/>
      <c r="D316" s="200" t="s">
        <v>1550</v>
      </c>
      <c r="E316" s="187" t="s">
        <v>1320</v>
      </c>
      <c r="F316" s="187">
        <v>1</v>
      </c>
      <c r="G316" s="187"/>
      <c r="H316" s="188"/>
      <c r="I316" s="189"/>
      <c r="J316" s="196"/>
      <c r="K316" s="191"/>
      <c r="L316" s="203"/>
    </row>
    <row r="317" spans="1:12" s="141" customFormat="1">
      <c r="A317" s="147">
        <v>1</v>
      </c>
      <c r="B317" s="143" t="s">
        <v>790</v>
      </c>
      <c r="C317" s="143" t="s">
        <v>787</v>
      </c>
      <c r="D317" s="143" t="s">
        <v>1313</v>
      </c>
      <c r="E317" s="143" t="s">
        <v>1369</v>
      </c>
      <c r="F317" s="143">
        <v>2</v>
      </c>
      <c r="G317" s="143" t="s">
        <v>1314</v>
      </c>
      <c r="H317" s="149">
        <f t="shared" ref="H317:H320" si="50">F317*J$4</f>
        <v>2</v>
      </c>
      <c r="I317" s="157">
        <v>90000</v>
      </c>
      <c r="J317" s="159">
        <f t="shared" ref="J317:J320" si="51">H317*I317</f>
        <v>180000</v>
      </c>
      <c r="K317" s="152"/>
      <c r="L317" s="203"/>
    </row>
    <row r="318" spans="1:12" s="141" customFormat="1">
      <c r="A318" s="147">
        <v>2</v>
      </c>
      <c r="B318" s="143" t="s">
        <v>790</v>
      </c>
      <c r="C318" s="143" t="s">
        <v>787</v>
      </c>
      <c r="D318" s="143" t="s">
        <v>1433</v>
      </c>
      <c r="E318" s="143" t="s">
        <v>1434</v>
      </c>
      <c r="F318" s="143">
        <v>1</v>
      </c>
      <c r="G318" s="143" t="s">
        <v>1326</v>
      </c>
      <c r="H318" s="149">
        <f t="shared" si="50"/>
        <v>1</v>
      </c>
      <c r="I318" s="157">
        <v>11000</v>
      </c>
      <c r="J318" s="159">
        <f t="shared" si="51"/>
        <v>11000</v>
      </c>
      <c r="K318" s="152"/>
      <c r="L318" s="203"/>
    </row>
    <row r="319" spans="1:12" s="141" customFormat="1">
      <c r="A319" s="147">
        <v>3</v>
      </c>
      <c r="B319" s="143" t="s">
        <v>790</v>
      </c>
      <c r="C319" s="143" t="s">
        <v>787</v>
      </c>
      <c r="D319" s="143" t="s">
        <v>1537</v>
      </c>
      <c r="E319" s="143" t="s">
        <v>1540</v>
      </c>
      <c r="F319" s="143">
        <v>1</v>
      </c>
      <c r="G319" s="143" t="s">
        <v>1326</v>
      </c>
      <c r="H319" s="149">
        <f t="shared" si="50"/>
        <v>1</v>
      </c>
      <c r="I319" s="157">
        <v>15000</v>
      </c>
      <c r="J319" s="159">
        <f t="shared" si="51"/>
        <v>15000</v>
      </c>
      <c r="K319" s="152"/>
      <c r="L319" s="203"/>
    </row>
    <row r="320" spans="1:12" s="141" customFormat="1">
      <c r="A320" s="147">
        <v>4</v>
      </c>
      <c r="B320" s="143" t="s">
        <v>790</v>
      </c>
      <c r="C320" s="143" t="s">
        <v>787</v>
      </c>
      <c r="D320" s="143" t="s">
        <v>1431</v>
      </c>
      <c r="E320" s="143" t="s">
        <v>1432</v>
      </c>
      <c r="F320" s="143">
        <v>4</v>
      </c>
      <c r="G320" s="143" t="s">
        <v>1427</v>
      </c>
      <c r="H320" s="149">
        <f t="shared" si="50"/>
        <v>4</v>
      </c>
      <c r="I320" s="157">
        <v>1100</v>
      </c>
      <c r="J320" s="159">
        <f t="shared" si="51"/>
        <v>4400</v>
      </c>
      <c r="K320" s="152"/>
      <c r="L320" s="203"/>
    </row>
    <row r="321" spans="1:14" s="141" customFormat="1">
      <c r="A321" s="197"/>
      <c r="B321" s="187"/>
      <c r="C321" s="187"/>
      <c r="D321" s="200" t="s">
        <v>1551</v>
      </c>
      <c r="E321" s="187" t="s">
        <v>1320</v>
      </c>
      <c r="F321" s="187">
        <v>1</v>
      </c>
      <c r="G321" s="187"/>
      <c r="H321" s="188"/>
      <c r="I321" s="189"/>
      <c r="J321" s="196"/>
      <c r="K321" s="191"/>
      <c r="L321" s="203"/>
      <c r="M321" s="206">
        <v>9545455</v>
      </c>
      <c r="N321" s="207" t="s">
        <v>1556</v>
      </c>
    </row>
    <row r="322" spans="1:14" s="141" customFormat="1">
      <c r="A322" s="147">
        <v>1</v>
      </c>
      <c r="B322" s="143" t="s">
        <v>790</v>
      </c>
      <c r="C322" s="143" t="s">
        <v>787</v>
      </c>
      <c r="D322" s="143" t="s">
        <v>1313</v>
      </c>
      <c r="E322" s="143" t="s">
        <v>1369</v>
      </c>
      <c r="F322" s="143">
        <v>2</v>
      </c>
      <c r="G322" s="143" t="s">
        <v>1314</v>
      </c>
      <c r="H322" s="149">
        <f t="shared" ref="H322:H325" si="52">F322*J$4</f>
        <v>2</v>
      </c>
      <c r="I322" s="157">
        <v>90000</v>
      </c>
      <c r="J322" s="159">
        <f t="shared" ref="J322:J325" si="53">H322*I322</f>
        <v>180000</v>
      </c>
      <c r="K322" s="152"/>
      <c r="L322" s="203"/>
      <c r="M322" s="154">
        <f>900000+500000</f>
        <v>1400000</v>
      </c>
      <c r="N322" s="208" t="s">
        <v>1560</v>
      </c>
    </row>
    <row r="323" spans="1:14" s="141" customFormat="1">
      <c r="A323" s="147">
        <v>2</v>
      </c>
      <c r="B323" s="143" t="s">
        <v>790</v>
      </c>
      <c r="C323" s="143" t="s">
        <v>787</v>
      </c>
      <c r="D323" s="143" t="s">
        <v>1433</v>
      </c>
      <c r="E323" s="143" t="s">
        <v>1434</v>
      </c>
      <c r="F323" s="143">
        <v>1</v>
      </c>
      <c r="G323" s="143" t="s">
        <v>1326</v>
      </c>
      <c r="H323" s="149">
        <f t="shared" si="52"/>
        <v>1</v>
      </c>
      <c r="I323" s="157">
        <v>11000</v>
      </c>
      <c r="J323" s="159">
        <f t="shared" si="53"/>
        <v>11000</v>
      </c>
      <c r="K323" s="152"/>
      <c r="L323" s="203"/>
      <c r="M323" s="154">
        <f>L326*7%</f>
        <v>285166.7</v>
      </c>
      <c r="N323" s="208" t="s">
        <v>1557</v>
      </c>
    </row>
    <row r="324" spans="1:14" s="141" customFormat="1">
      <c r="A324" s="147">
        <v>3</v>
      </c>
      <c r="B324" s="143" t="s">
        <v>790</v>
      </c>
      <c r="C324" s="143" t="s">
        <v>787</v>
      </c>
      <c r="D324" s="143" t="s">
        <v>1537</v>
      </c>
      <c r="E324" s="143" t="s">
        <v>1540</v>
      </c>
      <c r="F324" s="143">
        <v>1</v>
      </c>
      <c r="G324" s="143" t="s">
        <v>1326</v>
      </c>
      <c r="H324" s="149">
        <f t="shared" si="52"/>
        <v>1</v>
      </c>
      <c r="I324" s="157">
        <v>15000</v>
      </c>
      <c r="J324" s="159">
        <f t="shared" si="53"/>
        <v>15000</v>
      </c>
      <c r="K324" s="152"/>
      <c r="L324" s="203"/>
      <c r="M324" s="154">
        <f>(L326+M323)*20%</f>
        <v>871795.34000000008</v>
      </c>
      <c r="N324" s="208" t="s">
        <v>1558</v>
      </c>
    </row>
    <row r="325" spans="1:14" s="141" customFormat="1" ht="23" thickBot="1">
      <c r="A325" s="147">
        <v>4</v>
      </c>
      <c r="B325" s="143" t="s">
        <v>790</v>
      </c>
      <c r="C325" s="143" t="s">
        <v>787</v>
      </c>
      <c r="D325" s="143" t="s">
        <v>1431</v>
      </c>
      <c r="E325" s="143" t="s">
        <v>1432</v>
      </c>
      <c r="F325" s="143">
        <v>4</v>
      </c>
      <c r="G325" s="143" t="s">
        <v>1427</v>
      </c>
      <c r="H325" s="149">
        <f t="shared" si="52"/>
        <v>4</v>
      </c>
      <c r="I325" s="157">
        <v>1100</v>
      </c>
      <c r="J325" s="159">
        <f t="shared" si="53"/>
        <v>4400</v>
      </c>
      <c r="K325" s="152"/>
      <c r="L325" s="203"/>
      <c r="M325" s="154">
        <f>(L326+M323+M324)*25%</f>
        <v>1307693.01</v>
      </c>
      <c r="N325" s="208" t="s">
        <v>1559</v>
      </c>
    </row>
    <row r="326" spans="1:14" s="141" customFormat="1" ht="23" thickBot="1">
      <c r="A326" s="160">
        <v>8</v>
      </c>
      <c r="B326" s="193" t="s">
        <v>790</v>
      </c>
      <c r="C326" s="193" t="s">
        <v>787</v>
      </c>
      <c r="D326" s="193" t="s">
        <v>1290</v>
      </c>
      <c r="E326" s="193"/>
      <c r="F326" s="193">
        <v>1</v>
      </c>
      <c r="G326" s="193"/>
      <c r="H326" s="194">
        <v>1</v>
      </c>
      <c r="I326" s="227">
        <v>1170990</v>
      </c>
      <c r="J326" s="226">
        <f>H326*I326</f>
        <v>1170990</v>
      </c>
      <c r="K326" s="195"/>
      <c r="L326" s="204">
        <f>SUM(J270:J301)+SUM(J303:J308)</f>
        <v>4073810</v>
      </c>
      <c r="M326" s="209">
        <f>L326+M322+M323+M324+M325</f>
        <v>7938465.0499999998</v>
      </c>
      <c r="N326" s="141" t="s">
        <v>1307</v>
      </c>
    </row>
    <row r="327" spans="1:14" ht="5.25" customHeight="1" thickBot="1"/>
    <row r="328" spans="1:14" s="141" customFormat="1" ht="23" thickBot="1">
      <c r="A328" s="137" t="s">
        <v>80</v>
      </c>
      <c r="B328" s="138" t="s">
        <v>1276</v>
      </c>
      <c r="C328" s="138" t="s">
        <v>1277</v>
      </c>
      <c r="D328" s="138" t="s">
        <v>1278</v>
      </c>
      <c r="E328" s="138" t="s">
        <v>1279</v>
      </c>
      <c r="F328" s="138" t="s">
        <v>1280</v>
      </c>
      <c r="G328" s="138" t="s">
        <v>1281</v>
      </c>
      <c r="H328" s="138" t="s">
        <v>1282</v>
      </c>
      <c r="I328" s="139" t="s">
        <v>1283</v>
      </c>
      <c r="J328" s="138" t="s">
        <v>1030</v>
      </c>
      <c r="K328" s="140" t="s">
        <v>1031</v>
      </c>
      <c r="L328" s="203"/>
    </row>
    <row r="329" spans="1:14" s="141" customFormat="1">
      <c r="A329" s="142">
        <v>1</v>
      </c>
      <c r="B329" s="144" t="s">
        <v>793</v>
      </c>
      <c r="C329" s="144" t="s">
        <v>780</v>
      </c>
      <c r="D329" s="144" t="s">
        <v>1284</v>
      </c>
      <c r="E329" s="144" t="s">
        <v>1372</v>
      </c>
      <c r="F329" s="144">
        <v>1</v>
      </c>
      <c r="G329" s="145" t="s">
        <v>1285</v>
      </c>
      <c r="H329" s="145">
        <f>F329*J$4</f>
        <v>1</v>
      </c>
      <c r="I329" s="156">
        <v>784030</v>
      </c>
      <c r="J329" s="158">
        <f>H329*I329</f>
        <v>784030</v>
      </c>
      <c r="K329" s="146"/>
      <c r="L329" s="203"/>
    </row>
    <row r="330" spans="1:14" s="141" customFormat="1">
      <c r="A330" s="147">
        <v>2</v>
      </c>
      <c r="B330" s="143" t="s">
        <v>792</v>
      </c>
      <c r="C330" s="143" t="s">
        <v>796</v>
      </c>
      <c r="D330" s="143" t="s">
        <v>1284</v>
      </c>
      <c r="E330" s="148" t="s">
        <v>1343</v>
      </c>
      <c r="F330" s="143">
        <v>1</v>
      </c>
      <c r="G330" s="149" t="s">
        <v>1194</v>
      </c>
      <c r="H330" s="149">
        <f>F330*J$4</f>
        <v>1</v>
      </c>
      <c r="I330" s="157">
        <v>740050</v>
      </c>
      <c r="J330" s="159">
        <f>H330*I330</f>
        <v>740050</v>
      </c>
      <c r="K330" s="152"/>
      <c r="L330" s="203"/>
    </row>
    <row r="331" spans="1:14" s="141" customFormat="1">
      <c r="A331" s="147">
        <v>3</v>
      </c>
      <c r="B331" s="143" t="s">
        <v>792</v>
      </c>
      <c r="C331" s="143" t="s">
        <v>796</v>
      </c>
      <c r="D331" s="143" t="s">
        <v>1284</v>
      </c>
      <c r="E331" s="148" t="s">
        <v>1344</v>
      </c>
      <c r="F331" s="143">
        <v>1</v>
      </c>
      <c r="G331" s="149" t="s">
        <v>1194</v>
      </c>
      <c r="H331" s="149">
        <f>F331*J$4</f>
        <v>1</v>
      </c>
      <c r="I331" s="157">
        <v>634960</v>
      </c>
      <c r="J331" s="159">
        <f>H331*I331</f>
        <v>634960</v>
      </c>
      <c r="K331" s="152"/>
      <c r="L331" s="203"/>
    </row>
    <row r="332" spans="1:14" s="141" customFormat="1">
      <c r="A332" s="147">
        <v>4</v>
      </c>
      <c r="B332" s="143" t="s">
        <v>792</v>
      </c>
      <c r="C332" s="143" t="s">
        <v>796</v>
      </c>
      <c r="D332" s="143" t="s">
        <v>1284</v>
      </c>
      <c r="E332" s="148" t="s">
        <v>1373</v>
      </c>
      <c r="F332" s="143">
        <v>1</v>
      </c>
      <c r="G332" s="149" t="s">
        <v>1194</v>
      </c>
      <c r="H332" s="149">
        <f>F332*J$4</f>
        <v>1</v>
      </c>
      <c r="I332" s="157">
        <f>384160/3</f>
        <v>128053.33333333333</v>
      </c>
      <c r="J332" s="159">
        <f>H332*I332</f>
        <v>128053.33333333333</v>
      </c>
      <c r="K332" s="152"/>
      <c r="L332" s="203"/>
    </row>
    <row r="333" spans="1:14" s="141" customFormat="1">
      <c r="A333" s="147">
        <v>5</v>
      </c>
      <c r="B333" s="143" t="s">
        <v>792</v>
      </c>
      <c r="C333" s="143" t="s">
        <v>796</v>
      </c>
      <c r="D333" s="143" t="s">
        <v>1286</v>
      </c>
      <c r="E333" s="148" t="s">
        <v>1451</v>
      </c>
      <c r="F333" s="143">
        <v>1</v>
      </c>
      <c r="G333" s="143" t="s">
        <v>1287</v>
      </c>
      <c r="H333" s="149">
        <f t="shared" ref="H333:H349" si="54">F333*J$4</f>
        <v>1</v>
      </c>
      <c r="I333" s="157">
        <v>300000</v>
      </c>
      <c r="J333" s="159">
        <f t="shared" ref="J333:J397" si="55">H333*I333</f>
        <v>300000</v>
      </c>
      <c r="K333" s="152"/>
      <c r="L333" s="203"/>
    </row>
    <row r="334" spans="1:14" s="141" customFormat="1">
      <c r="A334" s="147">
        <v>6</v>
      </c>
      <c r="B334" s="143" t="s">
        <v>792</v>
      </c>
      <c r="C334" s="143" t="s">
        <v>796</v>
      </c>
      <c r="D334" s="143" t="s">
        <v>1288</v>
      </c>
      <c r="E334" s="148" t="s">
        <v>1395</v>
      </c>
      <c r="F334" s="143">
        <v>12</v>
      </c>
      <c r="G334" s="143" t="s">
        <v>1287</v>
      </c>
      <c r="H334" s="149">
        <f t="shared" si="54"/>
        <v>12</v>
      </c>
      <c r="I334" s="157">
        <v>3200</v>
      </c>
      <c r="J334" s="159">
        <f t="shared" si="55"/>
        <v>38400</v>
      </c>
      <c r="K334" s="152"/>
      <c r="L334" s="203"/>
    </row>
    <row r="335" spans="1:14" s="141" customFormat="1">
      <c r="A335" s="147">
        <v>7</v>
      </c>
      <c r="B335" s="143" t="s">
        <v>792</v>
      </c>
      <c r="C335" s="143" t="s">
        <v>796</v>
      </c>
      <c r="D335" s="143" t="s">
        <v>1286</v>
      </c>
      <c r="E335" s="148" t="s">
        <v>1452</v>
      </c>
      <c r="F335" s="143">
        <v>1</v>
      </c>
      <c r="G335" s="143" t="s">
        <v>1287</v>
      </c>
      <c r="H335" s="149">
        <f t="shared" si="54"/>
        <v>1</v>
      </c>
      <c r="I335" s="157">
        <v>250000</v>
      </c>
      <c r="J335" s="159">
        <f t="shared" si="55"/>
        <v>250000</v>
      </c>
      <c r="K335" s="152"/>
      <c r="L335" s="203"/>
    </row>
    <row r="336" spans="1:14" s="141" customFormat="1">
      <c r="A336" s="147">
        <v>8</v>
      </c>
      <c r="B336" s="143" t="s">
        <v>792</v>
      </c>
      <c r="C336" s="143" t="s">
        <v>796</v>
      </c>
      <c r="D336" s="143" t="s">
        <v>1288</v>
      </c>
      <c r="E336" s="148" t="s">
        <v>1296</v>
      </c>
      <c r="F336" s="143">
        <v>8</v>
      </c>
      <c r="G336" s="143" t="s">
        <v>1287</v>
      </c>
      <c r="H336" s="149">
        <f t="shared" si="54"/>
        <v>8</v>
      </c>
      <c r="I336" s="157">
        <v>1000</v>
      </c>
      <c r="J336" s="159">
        <f t="shared" si="55"/>
        <v>8000</v>
      </c>
      <c r="K336" s="152"/>
      <c r="L336" s="203"/>
    </row>
    <row r="337" spans="1:12" s="141" customFormat="1">
      <c r="A337" s="147">
        <v>9</v>
      </c>
      <c r="B337" s="143" t="s">
        <v>792</v>
      </c>
      <c r="C337" s="143" t="s">
        <v>796</v>
      </c>
      <c r="D337" s="143" t="s">
        <v>1286</v>
      </c>
      <c r="E337" s="148" t="s">
        <v>1453</v>
      </c>
      <c r="F337" s="143">
        <v>1</v>
      </c>
      <c r="G337" s="143" t="s">
        <v>1287</v>
      </c>
      <c r="H337" s="149">
        <f t="shared" si="54"/>
        <v>1</v>
      </c>
      <c r="I337" s="157">
        <v>250000</v>
      </c>
      <c r="J337" s="159">
        <f t="shared" si="55"/>
        <v>250000</v>
      </c>
      <c r="K337" s="152"/>
      <c r="L337" s="203"/>
    </row>
    <row r="338" spans="1:12" s="141" customFormat="1">
      <c r="A338" s="147">
        <v>10</v>
      </c>
      <c r="B338" s="143" t="s">
        <v>792</v>
      </c>
      <c r="C338" s="143" t="s">
        <v>796</v>
      </c>
      <c r="D338" s="143" t="s">
        <v>1288</v>
      </c>
      <c r="E338" s="148" t="s">
        <v>1396</v>
      </c>
      <c r="F338" s="143">
        <v>8</v>
      </c>
      <c r="G338" s="143" t="s">
        <v>1287</v>
      </c>
      <c r="H338" s="149">
        <f t="shared" si="54"/>
        <v>8</v>
      </c>
      <c r="I338" s="157">
        <v>1500</v>
      </c>
      <c r="J338" s="159">
        <f t="shared" si="55"/>
        <v>12000</v>
      </c>
      <c r="K338" s="152"/>
      <c r="L338" s="203"/>
    </row>
    <row r="339" spans="1:12" s="141" customFormat="1">
      <c r="A339" s="147">
        <v>11</v>
      </c>
      <c r="B339" s="143" t="s">
        <v>792</v>
      </c>
      <c r="C339" s="143" t="s">
        <v>796</v>
      </c>
      <c r="D339" s="143" t="s">
        <v>1286</v>
      </c>
      <c r="E339" s="148" t="s">
        <v>1454</v>
      </c>
      <c r="F339" s="143">
        <v>1</v>
      </c>
      <c r="G339" s="143" t="s">
        <v>1287</v>
      </c>
      <c r="H339" s="149">
        <f t="shared" si="54"/>
        <v>1</v>
      </c>
      <c r="I339" s="157">
        <v>180000</v>
      </c>
      <c r="J339" s="159">
        <f t="shared" si="55"/>
        <v>180000</v>
      </c>
      <c r="K339" s="152"/>
      <c r="L339" s="203"/>
    </row>
    <row r="340" spans="1:12" s="141" customFormat="1">
      <c r="A340" s="147">
        <v>12</v>
      </c>
      <c r="B340" s="143" t="s">
        <v>792</v>
      </c>
      <c r="C340" s="143" t="s">
        <v>796</v>
      </c>
      <c r="D340" s="143" t="s">
        <v>1288</v>
      </c>
      <c r="E340" s="148" t="s">
        <v>1296</v>
      </c>
      <c r="F340" s="143">
        <v>8</v>
      </c>
      <c r="G340" s="143" t="s">
        <v>1287</v>
      </c>
      <c r="H340" s="149">
        <f t="shared" si="54"/>
        <v>8</v>
      </c>
      <c r="I340" s="157">
        <v>1000</v>
      </c>
      <c r="J340" s="159">
        <f t="shared" si="55"/>
        <v>8000</v>
      </c>
      <c r="K340" s="152"/>
      <c r="L340" s="203"/>
    </row>
    <row r="341" spans="1:12" s="141" customFormat="1">
      <c r="A341" s="147">
        <v>13</v>
      </c>
      <c r="B341" s="143" t="s">
        <v>792</v>
      </c>
      <c r="C341" s="143" t="s">
        <v>796</v>
      </c>
      <c r="D341" s="143" t="s">
        <v>1286</v>
      </c>
      <c r="E341" s="148" t="s">
        <v>1455</v>
      </c>
      <c r="F341" s="143">
        <v>1</v>
      </c>
      <c r="G341" s="143" t="s">
        <v>1287</v>
      </c>
      <c r="H341" s="149">
        <f t="shared" si="54"/>
        <v>1</v>
      </c>
      <c r="I341" s="157">
        <v>180000</v>
      </c>
      <c r="J341" s="159">
        <f t="shared" si="55"/>
        <v>180000</v>
      </c>
      <c r="K341" s="152"/>
      <c r="L341" s="203"/>
    </row>
    <row r="342" spans="1:12" s="141" customFormat="1">
      <c r="A342" s="147">
        <v>14</v>
      </c>
      <c r="B342" s="143" t="s">
        <v>792</v>
      </c>
      <c r="C342" s="143" t="s">
        <v>796</v>
      </c>
      <c r="D342" s="143" t="s">
        <v>1288</v>
      </c>
      <c r="E342" s="148" t="s">
        <v>1396</v>
      </c>
      <c r="F342" s="143">
        <v>8</v>
      </c>
      <c r="G342" s="143" t="s">
        <v>1287</v>
      </c>
      <c r="H342" s="149">
        <f t="shared" si="54"/>
        <v>8</v>
      </c>
      <c r="I342" s="157">
        <v>1500</v>
      </c>
      <c r="J342" s="159">
        <f t="shared" si="55"/>
        <v>12000</v>
      </c>
      <c r="K342" s="152"/>
      <c r="L342" s="203"/>
    </row>
    <row r="343" spans="1:12" s="141" customFormat="1">
      <c r="A343" s="147">
        <v>15</v>
      </c>
      <c r="B343" s="143" t="s">
        <v>792</v>
      </c>
      <c r="C343" s="143" t="s">
        <v>796</v>
      </c>
      <c r="D343" s="143" t="s">
        <v>1286</v>
      </c>
      <c r="E343" s="148" t="s">
        <v>1456</v>
      </c>
      <c r="F343" s="143">
        <v>1</v>
      </c>
      <c r="G343" s="143" t="s">
        <v>1287</v>
      </c>
      <c r="H343" s="149">
        <f t="shared" ref="H343:H346" si="56">F343*J$4</f>
        <v>1</v>
      </c>
      <c r="I343" s="157">
        <v>102000</v>
      </c>
      <c r="J343" s="159">
        <f t="shared" si="55"/>
        <v>102000</v>
      </c>
      <c r="K343" s="152"/>
      <c r="L343" s="203"/>
    </row>
    <row r="344" spans="1:12" s="141" customFormat="1">
      <c r="A344" s="147">
        <v>16</v>
      </c>
      <c r="B344" s="143" t="s">
        <v>792</v>
      </c>
      <c r="C344" s="143" t="s">
        <v>796</v>
      </c>
      <c r="D344" s="143" t="s">
        <v>1288</v>
      </c>
      <c r="E344" s="148" t="s">
        <v>1296</v>
      </c>
      <c r="F344" s="143">
        <v>8</v>
      </c>
      <c r="G344" s="143" t="s">
        <v>1287</v>
      </c>
      <c r="H344" s="149">
        <f t="shared" si="56"/>
        <v>8</v>
      </c>
      <c r="I344" s="157">
        <v>1000</v>
      </c>
      <c r="J344" s="159">
        <f t="shared" si="55"/>
        <v>8000</v>
      </c>
      <c r="K344" s="152"/>
      <c r="L344" s="203"/>
    </row>
    <row r="345" spans="1:12" s="141" customFormat="1">
      <c r="A345" s="147">
        <v>17</v>
      </c>
      <c r="B345" s="143" t="s">
        <v>792</v>
      </c>
      <c r="C345" s="143" t="s">
        <v>796</v>
      </c>
      <c r="D345" s="143" t="s">
        <v>1286</v>
      </c>
      <c r="E345" s="148" t="s">
        <v>1457</v>
      </c>
      <c r="F345" s="143">
        <v>1</v>
      </c>
      <c r="G345" s="143" t="s">
        <v>1287</v>
      </c>
      <c r="H345" s="149">
        <f t="shared" si="56"/>
        <v>1</v>
      </c>
      <c r="I345" s="157">
        <v>102000</v>
      </c>
      <c r="J345" s="159">
        <f t="shared" si="55"/>
        <v>102000</v>
      </c>
      <c r="K345" s="152"/>
      <c r="L345" s="203"/>
    </row>
    <row r="346" spans="1:12" s="141" customFormat="1">
      <c r="A346" s="147">
        <v>18</v>
      </c>
      <c r="B346" s="143" t="s">
        <v>792</v>
      </c>
      <c r="C346" s="143" t="s">
        <v>796</v>
      </c>
      <c r="D346" s="143" t="s">
        <v>1288</v>
      </c>
      <c r="E346" s="148" t="s">
        <v>1396</v>
      </c>
      <c r="F346" s="143">
        <v>8</v>
      </c>
      <c r="G346" s="143" t="s">
        <v>1287</v>
      </c>
      <c r="H346" s="149">
        <f t="shared" si="56"/>
        <v>8</v>
      </c>
      <c r="I346" s="157">
        <v>1500</v>
      </c>
      <c r="J346" s="159">
        <f t="shared" si="55"/>
        <v>12000</v>
      </c>
      <c r="K346" s="152"/>
      <c r="L346" s="203"/>
    </row>
    <row r="347" spans="1:12" s="141" customFormat="1">
      <c r="A347" s="147">
        <v>19</v>
      </c>
      <c r="B347" s="143" t="s">
        <v>792</v>
      </c>
      <c r="C347" s="143" t="s">
        <v>796</v>
      </c>
      <c r="D347" s="143" t="s">
        <v>1291</v>
      </c>
      <c r="E347" s="148" t="s">
        <v>1381</v>
      </c>
      <c r="F347" s="143">
        <v>1</v>
      </c>
      <c r="G347" s="143" t="s">
        <v>1287</v>
      </c>
      <c r="H347" s="149">
        <f t="shared" si="54"/>
        <v>1</v>
      </c>
      <c r="I347" s="157">
        <v>50000</v>
      </c>
      <c r="J347" s="159">
        <f t="shared" si="55"/>
        <v>50000</v>
      </c>
      <c r="K347" s="152"/>
      <c r="L347" s="203"/>
    </row>
    <row r="348" spans="1:12" s="141" customFormat="1">
      <c r="A348" s="147">
        <v>20</v>
      </c>
      <c r="B348" s="143" t="s">
        <v>792</v>
      </c>
      <c r="C348" s="143" t="s">
        <v>796</v>
      </c>
      <c r="D348" s="143" t="s">
        <v>1291</v>
      </c>
      <c r="E348" s="148" t="s">
        <v>1382</v>
      </c>
      <c r="F348" s="143">
        <v>1</v>
      </c>
      <c r="G348" s="143" t="s">
        <v>1287</v>
      </c>
      <c r="H348" s="149">
        <f t="shared" si="54"/>
        <v>1</v>
      </c>
      <c r="I348" s="157">
        <v>52000</v>
      </c>
      <c r="J348" s="159">
        <f t="shared" si="55"/>
        <v>52000</v>
      </c>
      <c r="K348" s="152"/>
      <c r="L348" s="203"/>
    </row>
    <row r="349" spans="1:12" s="141" customFormat="1">
      <c r="A349" s="147">
        <v>21</v>
      </c>
      <c r="B349" s="143" t="s">
        <v>792</v>
      </c>
      <c r="C349" s="143" t="s">
        <v>796</v>
      </c>
      <c r="D349" s="143" t="s">
        <v>1288</v>
      </c>
      <c r="E349" s="148" t="s">
        <v>1374</v>
      </c>
      <c r="F349" s="143">
        <v>8</v>
      </c>
      <c r="G349" s="143" t="s">
        <v>1287</v>
      </c>
      <c r="H349" s="149">
        <f t="shared" si="54"/>
        <v>8</v>
      </c>
      <c r="I349" s="157">
        <v>1600</v>
      </c>
      <c r="J349" s="159">
        <f t="shared" si="55"/>
        <v>12800</v>
      </c>
      <c r="K349" s="152"/>
      <c r="L349" s="203"/>
    </row>
    <row r="350" spans="1:12" s="141" customFormat="1">
      <c r="A350" s="147">
        <v>22</v>
      </c>
      <c r="B350" s="143" t="s">
        <v>792</v>
      </c>
      <c r="C350" s="143" t="s">
        <v>796</v>
      </c>
      <c r="D350" s="143" t="s">
        <v>1487</v>
      </c>
      <c r="E350" s="148" t="s">
        <v>1488</v>
      </c>
      <c r="F350" s="143">
        <v>1</v>
      </c>
      <c r="G350" s="143" t="s">
        <v>1254</v>
      </c>
      <c r="H350" s="149">
        <v>1</v>
      </c>
      <c r="I350" s="157">
        <v>2500</v>
      </c>
      <c r="J350" s="159">
        <f t="shared" si="55"/>
        <v>2500</v>
      </c>
      <c r="K350" s="152"/>
      <c r="L350" s="203"/>
    </row>
    <row r="351" spans="1:12" s="141" customFormat="1">
      <c r="A351" s="147">
        <v>23</v>
      </c>
      <c r="B351" s="143" t="s">
        <v>792</v>
      </c>
      <c r="C351" s="143" t="s">
        <v>796</v>
      </c>
      <c r="D351" s="143" t="s">
        <v>1489</v>
      </c>
      <c r="E351" s="148" t="s">
        <v>1490</v>
      </c>
      <c r="F351" s="143">
        <v>1</v>
      </c>
      <c r="G351" s="143" t="s">
        <v>1491</v>
      </c>
      <c r="H351" s="149">
        <v>1</v>
      </c>
      <c r="I351" s="157">
        <v>2400</v>
      </c>
      <c r="J351" s="159">
        <f t="shared" si="55"/>
        <v>2400</v>
      </c>
      <c r="K351" s="152"/>
      <c r="L351" s="203"/>
    </row>
    <row r="352" spans="1:12" s="141" customFormat="1">
      <c r="A352" s="147">
        <v>24</v>
      </c>
      <c r="B352" s="143" t="s">
        <v>792</v>
      </c>
      <c r="C352" s="143" t="s">
        <v>796</v>
      </c>
      <c r="D352" s="143" t="s">
        <v>1492</v>
      </c>
      <c r="E352" s="148" t="s">
        <v>1493</v>
      </c>
      <c r="F352" s="143">
        <v>1</v>
      </c>
      <c r="G352" s="143" t="s">
        <v>643</v>
      </c>
      <c r="H352" s="149">
        <v>1</v>
      </c>
      <c r="I352" s="157">
        <v>1250</v>
      </c>
      <c r="J352" s="159">
        <f t="shared" si="55"/>
        <v>1250</v>
      </c>
      <c r="K352" s="152"/>
      <c r="L352" s="203"/>
    </row>
    <row r="353" spans="1:12" s="141" customFormat="1">
      <c r="A353" s="147">
        <v>25</v>
      </c>
      <c r="B353" s="143" t="s">
        <v>792</v>
      </c>
      <c r="C353" s="143" t="s">
        <v>796</v>
      </c>
      <c r="D353" s="143" t="s">
        <v>1494</v>
      </c>
      <c r="E353" s="148" t="s">
        <v>1495</v>
      </c>
      <c r="F353" s="143">
        <v>43</v>
      </c>
      <c r="G353" s="143" t="s">
        <v>1254</v>
      </c>
      <c r="H353" s="149">
        <v>43</v>
      </c>
      <c r="I353" s="157">
        <v>3600</v>
      </c>
      <c r="J353" s="159">
        <f t="shared" si="55"/>
        <v>154800</v>
      </c>
      <c r="K353" s="152"/>
      <c r="L353" s="203"/>
    </row>
    <row r="354" spans="1:12" s="141" customFormat="1">
      <c r="A354" s="147">
        <v>26</v>
      </c>
      <c r="B354" s="143" t="s">
        <v>792</v>
      </c>
      <c r="C354" s="143" t="s">
        <v>796</v>
      </c>
      <c r="D354" s="143" t="s">
        <v>1496</v>
      </c>
      <c r="E354" s="148" t="s">
        <v>1497</v>
      </c>
      <c r="F354" s="143">
        <v>1</v>
      </c>
      <c r="G354" s="143" t="s">
        <v>1498</v>
      </c>
      <c r="H354" s="149">
        <v>1</v>
      </c>
      <c r="I354" s="157">
        <v>24500</v>
      </c>
      <c r="J354" s="159">
        <f t="shared" si="55"/>
        <v>24500</v>
      </c>
      <c r="K354" s="152"/>
      <c r="L354" s="203"/>
    </row>
    <row r="355" spans="1:12" s="141" customFormat="1">
      <c r="A355" s="147">
        <v>27</v>
      </c>
      <c r="B355" s="143" t="s">
        <v>792</v>
      </c>
      <c r="C355" s="143" t="s">
        <v>796</v>
      </c>
      <c r="D355" s="143" t="s">
        <v>1499</v>
      </c>
      <c r="E355" s="148" t="s">
        <v>1500</v>
      </c>
      <c r="F355" s="143">
        <v>1</v>
      </c>
      <c r="G355" s="143" t="s">
        <v>1254</v>
      </c>
      <c r="H355" s="149">
        <v>1</v>
      </c>
      <c r="I355" s="157">
        <v>6500</v>
      </c>
      <c r="J355" s="159">
        <f t="shared" si="55"/>
        <v>6500</v>
      </c>
      <c r="K355" s="152"/>
      <c r="L355" s="203"/>
    </row>
    <row r="356" spans="1:12" s="141" customFormat="1">
      <c r="A356" s="147">
        <v>28</v>
      </c>
      <c r="B356" s="143" t="s">
        <v>792</v>
      </c>
      <c r="C356" s="143" t="s">
        <v>796</v>
      </c>
      <c r="D356" s="143" t="s">
        <v>1501</v>
      </c>
      <c r="E356" s="148" t="s">
        <v>1502</v>
      </c>
      <c r="F356" s="143">
        <v>1</v>
      </c>
      <c r="G356" s="143" t="s">
        <v>1254</v>
      </c>
      <c r="H356" s="149">
        <v>1</v>
      </c>
      <c r="I356" s="157">
        <v>8000</v>
      </c>
      <c r="J356" s="159">
        <f t="shared" si="55"/>
        <v>8000</v>
      </c>
      <c r="K356" s="152"/>
      <c r="L356" s="203"/>
    </row>
    <row r="357" spans="1:12" s="141" customFormat="1">
      <c r="A357" s="147">
        <v>29</v>
      </c>
      <c r="B357" s="143" t="s">
        <v>792</v>
      </c>
      <c r="C357" s="143" t="s">
        <v>796</v>
      </c>
      <c r="D357" s="143" t="s">
        <v>1503</v>
      </c>
      <c r="E357" s="148" t="s">
        <v>1504</v>
      </c>
      <c r="F357" s="143">
        <v>1</v>
      </c>
      <c r="G357" s="143" t="s">
        <v>1505</v>
      </c>
      <c r="H357" s="149">
        <v>1</v>
      </c>
      <c r="I357" s="157">
        <v>2500</v>
      </c>
      <c r="J357" s="159">
        <f t="shared" si="55"/>
        <v>2500</v>
      </c>
      <c r="K357" s="152"/>
      <c r="L357" s="203"/>
    </row>
    <row r="358" spans="1:12" s="141" customFormat="1">
      <c r="A358" s="147">
        <v>30</v>
      </c>
      <c r="B358" s="143" t="s">
        <v>792</v>
      </c>
      <c r="C358" s="143" t="s">
        <v>796</v>
      </c>
      <c r="D358" s="143" t="s">
        <v>1414</v>
      </c>
      <c r="E358" s="148" t="s">
        <v>1506</v>
      </c>
      <c r="F358" s="143">
        <v>2</v>
      </c>
      <c r="G358" s="143" t="s">
        <v>1254</v>
      </c>
      <c r="H358" s="149">
        <v>2</v>
      </c>
      <c r="I358" s="157">
        <v>5500</v>
      </c>
      <c r="J358" s="159">
        <f t="shared" si="55"/>
        <v>11000</v>
      </c>
      <c r="K358" s="152"/>
      <c r="L358" s="203"/>
    </row>
    <row r="359" spans="1:12" s="141" customFormat="1">
      <c r="A359" s="147">
        <v>31</v>
      </c>
      <c r="B359" s="143" t="s">
        <v>792</v>
      </c>
      <c r="C359" s="143" t="s">
        <v>796</v>
      </c>
      <c r="D359" s="143" t="s">
        <v>1507</v>
      </c>
      <c r="E359" s="148" t="s">
        <v>1508</v>
      </c>
      <c r="F359" s="143">
        <v>1</v>
      </c>
      <c r="G359" s="143" t="s">
        <v>1505</v>
      </c>
      <c r="H359" s="149">
        <v>1</v>
      </c>
      <c r="I359" s="157">
        <v>15000</v>
      </c>
      <c r="J359" s="159">
        <f t="shared" si="55"/>
        <v>15000</v>
      </c>
      <c r="K359" s="152"/>
      <c r="L359" s="203"/>
    </row>
    <row r="360" spans="1:12" s="141" customFormat="1">
      <c r="A360" s="147">
        <v>32</v>
      </c>
      <c r="B360" s="143" t="s">
        <v>792</v>
      </c>
      <c r="C360" s="143" t="s">
        <v>796</v>
      </c>
      <c r="D360" s="143" t="s">
        <v>1509</v>
      </c>
      <c r="E360" s="148" t="s">
        <v>1510</v>
      </c>
      <c r="F360" s="143">
        <v>1</v>
      </c>
      <c r="G360" s="143" t="s">
        <v>1254</v>
      </c>
      <c r="H360" s="149">
        <v>1</v>
      </c>
      <c r="I360" s="157">
        <v>2500</v>
      </c>
      <c r="J360" s="159">
        <f t="shared" si="55"/>
        <v>2500</v>
      </c>
      <c r="K360" s="152"/>
      <c r="L360" s="203"/>
    </row>
    <row r="361" spans="1:12" s="141" customFormat="1">
      <c r="A361" s="147">
        <v>33</v>
      </c>
      <c r="B361" s="143" t="s">
        <v>792</v>
      </c>
      <c r="C361" s="143" t="s">
        <v>796</v>
      </c>
      <c r="D361" s="143" t="s">
        <v>1511</v>
      </c>
      <c r="E361" s="148" t="s">
        <v>1512</v>
      </c>
      <c r="F361" s="143">
        <v>6</v>
      </c>
      <c r="G361" s="143" t="s">
        <v>1254</v>
      </c>
      <c r="H361" s="149">
        <v>6</v>
      </c>
      <c r="I361" s="157">
        <v>7500</v>
      </c>
      <c r="J361" s="159">
        <f t="shared" si="55"/>
        <v>45000</v>
      </c>
      <c r="K361" s="152"/>
      <c r="L361" s="203"/>
    </row>
    <row r="362" spans="1:12" s="141" customFormat="1">
      <c r="A362" s="147">
        <v>34</v>
      </c>
      <c r="B362" s="143" t="s">
        <v>792</v>
      </c>
      <c r="C362" s="143" t="s">
        <v>796</v>
      </c>
      <c r="D362" s="143" t="s">
        <v>1513</v>
      </c>
      <c r="E362" s="148" t="s">
        <v>1514</v>
      </c>
      <c r="F362" s="143">
        <v>1</v>
      </c>
      <c r="G362" s="143" t="s">
        <v>1254</v>
      </c>
      <c r="H362" s="149">
        <v>1</v>
      </c>
      <c r="I362" s="157">
        <v>5500</v>
      </c>
      <c r="J362" s="159">
        <f t="shared" si="55"/>
        <v>5500</v>
      </c>
      <c r="K362" s="152"/>
      <c r="L362" s="203"/>
    </row>
    <row r="363" spans="1:12" s="141" customFormat="1">
      <c r="A363" s="147">
        <v>35</v>
      </c>
      <c r="B363" s="143" t="s">
        <v>792</v>
      </c>
      <c r="C363" s="143" t="s">
        <v>796</v>
      </c>
      <c r="D363" s="143" t="s">
        <v>1515</v>
      </c>
      <c r="E363" s="148" t="s">
        <v>1486</v>
      </c>
      <c r="F363" s="143">
        <v>1</v>
      </c>
      <c r="G363" s="143" t="s">
        <v>1410</v>
      </c>
      <c r="H363" s="149">
        <v>1</v>
      </c>
      <c r="I363" s="157">
        <v>1500</v>
      </c>
      <c r="J363" s="159">
        <f t="shared" si="55"/>
        <v>1500</v>
      </c>
      <c r="K363" s="152"/>
      <c r="L363" s="203"/>
    </row>
    <row r="364" spans="1:12" s="141" customFormat="1">
      <c r="A364" s="147">
        <v>36</v>
      </c>
      <c r="B364" s="143" t="s">
        <v>792</v>
      </c>
      <c r="C364" s="143" t="s">
        <v>796</v>
      </c>
      <c r="D364" s="143" t="s">
        <v>1516</v>
      </c>
      <c r="E364" s="148" t="s">
        <v>1517</v>
      </c>
      <c r="F364" s="143">
        <v>1</v>
      </c>
      <c r="G364" s="143" t="s">
        <v>1410</v>
      </c>
      <c r="H364" s="149">
        <v>1</v>
      </c>
      <c r="I364" s="157">
        <v>180000</v>
      </c>
      <c r="J364" s="159">
        <f t="shared" si="55"/>
        <v>180000</v>
      </c>
      <c r="K364" s="152"/>
      <c r="L364" s="203"/>
    </row>
    <row r="365" spans="1:12" s="141" customFormat="1">
      <c r="A365" s="147">
        <v>37</v>
      </c>
      <c r="B365" s="143" t="s">
        <v>792</v>
      </c>
      <c r="C365" s="143" t="s">
        <v>796</v>
      </c>
      <c r="D365" s="143" t="s">
        <v>1485</v>
      </c>
      <c r="E365" s="148" t="s">
        <v>1486</v>
      </c>
      <c r="F365" s="143">
        <v>36</v>
      </c>
      <c r="G365" s="143" t="s">
        <v>1410</v>
      </c>
      <c r="H365" s="149">
        <v>36</v>
      </c>
      <c r="I365" s="157">
        <v>600</v>
      </c>
      <c r="J365" s="159">
        <f t="shared" si="55"/>
        <v>21600</v>
      </c>
      <c r="K365" s="152"/>
      <c r="L365" s="203"/>
    </row>
    <row r="366" spans="1:12" s="141" customFormat="1">
      <c r="A366" s="147"/>
      <c r="B366" s="187"/>
      <c r="C366" s="187"/>
      <c r="D366" s="201" t="s">
        <v>1552</v>
      </c>
      <c r="E366" s="202" t="s">
        <v>1554</v>
      </c>
      <c r="F366" s="187">
        <v>1</v>
      </c>
      <c r="G366" s="187"/>
      <c r="H366" s="188"/>
      <c r="I366" s="199"/>
      <c r="J366" s="196"/>
      <c r="K366" s="191"/>
      <c r="L366" s="203"/>
    </row>
    <row r="367" spans="1:12" s="141" customFormat="1">
      <c r="A367" s="147">
        <v>1</v>
      </c>
      <c r="B367" s="143" t="s">
        <v>792</v>
      </c>
      <c r="C367" s="143" t="s">
        <v>796</v>
      </c>
      <c r="D367" s="143" t="s">
        <v>1518</v>
      </c>
      <c r="E367" s="148" t="s">
        <v>1519</v>
      </c>
      <c r="F367" s="143">
        <v>3</v>
      </c>
      <c r="G367" s="143" t="s">
        <v>1520</v>
      </c>
      <c r="H367" s="149">
        <v>3</v>
      </c>
      <c r="I367" s="157">
        <v>33000</v>
      </c>
      <c r="J367" s="159">
        <f t="shared" ref="J367:J372" si="57">H367*I367</f>
        <v>99000</v>
      </c>
      <c r="K367" s="152"/>
      <c r="L367" s="203"/>
    </row>
    <row r="368" spans="1:12" s="141" customFormat="1">
      <c r="A368" s="147">
        <v>2</v>
      </c>
      <c r="B368" s="143" t="s">
        <v>792</v>
      </c>
      <c r="C368" s="143" t="s">
        <v>796</v>
      </c>
      <c r="D368" s="143" t="s">
        <v>1521</v>
      </c>
      <c r="E368" s="148" t="s">
        <v>1522</v>
      </c>
      <c r="F368" s="143">
        <v>1</v>
      </c>
      <c r="G368" s="143" t="s">
        <v>1520</v>
      </c>
      <c r="H368" s="149">
        <v>1</v>
      </c>
      <c r="I368" s="157">
        <v>23000</v>
      </c>
      <c r="J368" s="159">
        <f t="shared" si="57"/>
        <v>23000</v>
      </c>
      <c r="K368" s="152"/>
      <c r="L368" s="203"/>
    </row>
    <row r="369" spans="1:12" s="141" customFormat="1">
      <c r="A369" s="147">
        <v>3</v>
      </c>
      <c r="B369" s="143" t="s">
        <v>792</v>
      </c>
      <c r="C369" s="143" t="s">
        <v>796</v>
      </c>
      <c r="D369" s="143" t="s">
        <v>1523</v>
      </c>
      <c r="E369" s="148" t="s">
        <v>1524</v>
      </c>
      <c r="F369" s="143">
        <v>6</v>
      </c>
      <c r="G369" s="143" t="s">
        <v>1520</v>
      </c>
      <c r="H369" s="149">
        <v>6</v>
      </c>
      <c r="I369" s="157">
        <v>54000</v>
      </c>
      <c r="J369" s="159">
        <f t="shared" si="57"/>
        <v>324000</v>
      </c>
      <c r="K369" s="152"/>
      <c r="L369" s="203"/>
    </row>
    <row r="370" spans="1:12" s="141" customFormat="1">
      <c r="A370" s="147">
        <v>4</v>
      </c>
      <c r="B370" s="143" t="s">
        <v>792</v>
      </c>
      <c r="C370" s="143" t="s">
        <v>796</v>
      </c>
      <c r="D370" s="143" t="s">
        <v>1525</v>
      </c>
      <c r="E370" s="148" t="s">
        <v>1526</v>
      </c>
      <c r="F370" s="143">
        <v>3</v>
      </c>
      <c r="G370" s="143" t="s">
        <v>1527</v>
      </c>
      <c r="H370" s="149">
        <v>3</v>
      </c>
      <c r="I370" s="157">
        <v>43000</v>
      </c>
      <c r="J370" s="159">
        <f t="shared" si="57"/>
        <v>129000</v>
      </c>
      <c r="K370" s="152"/>
      <c r="L370" s="203"/>
    </row>
    <row r="371" spans="1:12" s="141" customFormat="1">
      <c r="A371" s="147">
        <v>5</v>
      </c>
      <c r="B371" s="143" t="s">
        <v>792</v>
      </c>
      <c r="C371" s="143" t="s">
        <v>796</v>
      </c>
      <c r="D371" s="143" t="s">
        <v>1528</v>
      </c>
      <c r="E371" s="148" t="s">
        <v>1529</v>
      </c>
      <c r="F371" s="143">
        <v>4</v>
      </c>
      <c r="G371" s="143" t="s">
        <v>1254</v>
      </c>
      <c r="H371" s="149">
        <v>4</v>
      </c>
      <c r="I371" s="157">
        <v>1000</v>
      </c>
      <c r="J371" s="159">
        <f t="shared" si="57"/>
        <v>4000</v>
      </c>
      <c r="K371" s="152"/>
      <c r="L371" s="203"/>
    </row>
    <row r="372" spans="1:12" s="141" customFormat="1">
      <c r="A372" s="147">
        <v>6</v>
      </c>
      <c r="B372" s="143" t="s">
        <v>792</v>
      </c>
      <c r="C372" s="143" t="s">
        <v>796</v>
      </c>
      <c r="D372" s="143" t="s">
        <v>1530</v>
      </c>
      <c r="E372" s="148" t="s">
        <v>1409</v>
      </c>
      <c r="F372" s="143">
        <v>12</v>
      </c>
      <c r="G372" s="143" t="s">
        <v>1410</v>
      </c>
      <c r="H372" s="149">
        <v>12</v>
      </c>
      <c r="I372" s="157">
        <v>1300</v>
      </c>
      <c r="J372" s="159">
        <f t="shared" si="57"/>
        <v>15600</v>
      </c>
      <c r="K372" s="152"/>
      <c r="L372" s="203"/>
    </row>
    <row r="373" spans="1:12" s="141" customFormat="1">
      <c r="A373" s="147"/>
      <c r="B373" s="187"/>
      <c r="C373" s="187"/>
      <c r="D373" s="201" t="s">
        <v>1553</v>
      </c>
      <c r="E373" s="202" t="s">
        <v>1555</v>
      </c>
      <c r="F373" s="187">
        <v>1</v>
      </c>
      <c r="G373" s="187"/>
      <c r="H373" s="188"/>
      <c r="I373" s="199"/>
      <c r="J373" s="196"/>
      <c r="K373" s="191"/>
      <c r="L373" s="203"/>
    </row>
    <row r="374" spans="1:12" s="141" customFormat="1">
      <c r="A374" s="147">
        <v>1</v>
      </c>
      <c r="B374" s="143" t="s">
        <v>792</v>
      </c>
      <c r="C374" s="143" t="s">
        <v>796</v>
      </c>
      <c r="D374" s="143" t="s">
        <v>1518</v>
      </c>
      <c r="E374" s="148" t="s">
        <v>1519</v>
      </c>
      <c r="F374" s="143">
        <v>4</v>
      </c>
      <c r="G374" s="143" t="s">
        <v>1520</v>
      </c>
      <c r="H374" s="149">
        <v>4</v>
      </c>
      <c r="I374" s="157">
        <v>33000</v>
      </c>
      <c r="J374" s="159">
        <f t="shared" si="55"/>
        <v>132000</v>
      </c>
      <c r="K374" s="152"/>
      <c r="L374" s="203"/>
    </row>
    <row r="375" spans="1:12" s="141" customFormat="1">
      <c r="A375" s="147">
        <v>2</v>
      </c>
      <c r="B375" s="143" t="s">
        <v>792</v>
      </c>
      <c r="C375" s="143" t="s">
        <v>796</v>
      </c>
      <c r="D375" s="143" t="s">
        <v>1521</v>
      </c>
      <c r="E375" s="148" t="s">
        <v>1522</v>
      </c>
      <c r="F375" s="143">
        <v>1</v>
      </c>
      <c r="G375" s="143" t="s">
        <v>1520</v>
      </c>
      <c r="H375" s="149">
        <v>1</v>
      </c>
      <c r="I375" s="157">
        <v>23000</v>
      </c>
      <c r="J375" s="159">
        <f t="shared" si="55"/>
        <v>23000</v>
      </c>
      <c r="K375" s="152"/>
      <c r="L375" s="203"/>
    </row>
    <row r="376" spans="1:12" s="141" customFormat="1">
      <c r="A376" s="147">
        <v>3</v>
      </c>
      <c r="B376" s="143" t="s">
        <v>792</v>
      </c>
      <c r="C376" s="143" t="s">
        <v>796</v>
      </c>
      <c r="D376" s="143" t="s">
        <v>1523</v>
      </c>
      <c r="E376" s="148" t="s">
        <v>1524</v>
      </c>
      <c r="F376" s="143">
        <v>8</v>
      </c>
      <c r="G376" s="143" t="s">
        <v>1520</v>
      </c>
      <c r="H376" s="149">
        <v>8</v>
      </c>
      <c r="I376" s="157">
        <v>54000</v>
      </c>
      <c r="J376" s="159">
        <f t="shared" si="55"/>
        <v>432000</v>
      </c>
      <c r="K376" s="152"/>
      <c r="L376" s="203"/>
    </row>
    <row r="377" spans="1:12" s="141" customFormat="1">
      <c r="A377" s="147">
        <v>4</v>
      </c>
      <c r="B377" s="143" t="s">
        <v>792</v>
      </c>
      <c r="C377" s="143" t="s">
        <v>796</v>
      </c>
      <c r="D377" s="143" t="s">
        <v>1525</v>
      </c>
      <c r="E377" s="148" t="s">
        <v>1526</v>
      </c>
      <c r="F377" s="143">
        <v>3</v>
      </c>
      <c r="G377" s="143" t="s">
        <v>1527</v>
      </c>
      <c r="H377" s="149">
        <v>3</v>
      </c>
      <c r="I377" s="157">
        <v>43000</v>
      </c>
      <c r="J377" s="159">
        <f t="shared" si="55"/>
        <v>129000</v>
      </c>
      <c r="K377" s="152"/>
      <c r="L377" s="203"/>
    </row>
    <row r="378" spans="1:12" s="141" customFormat="1">
      <c r="A378" s="147">
        <v>5</v>
      </c>
      <c r="B378" s="143" t="s">
        <v>792</v>
      </c>
      <c r="C378" s="143" t="s">
        <v>796</v>
      </c>
      <c r="D378" s="143" t="s">
        <v>1528</v>
      </c>
      <c r="E378" s="148" t="s">
        <v>1529</v>
      </c>
      <c r="F378" s="143">
        <v>4</v>
      </c>
      <c r="G378" s="143" t="s">
        <v>1254</v>
      </c>
      <c r="H378" s="149">
        <v>4</v>
      </c>
      <c r="I378" s="157">
        <v>1000</v>
      </c>
      <c r="J378" s="159">
        <f t="shared" si="55"/>
        <v>4000</v>
      </c>
      <c r="K378" s="152"/>
      <c r="L378" s="203"/>
    </row>
    <row r="379" spans="1:12" s="141" customFormat="1" ht="23" thickBot="1">
      <c r="A379" s="147">
        <v>6</v>
      </c>
      <c r="B379" s="143" t="s">
        <v>792</v>
      </c>
      <c r="C379" s="143" t="s">
        <v>796</v>
      </c>
      <c r="D379" s="143" t="s">
        <v>1530</v>
      </c>
      <c r="E379" s="148" t="s">
        <v>1409</v>
      </c>
      <c r="F379" s="143">
        <v>12</v>
      </c>
      <c r="G379" s="143" t="s">
        <v>1410</v>
      </c>
      <c r="H379" s="149">
        <v>12</v>
      </c>
      <c r="I379" s="157">
        <v>1300</v>
      </c>
      <c r="J379" s="159">
        <f t="shared" si="55"/>
        <v>15600</v>
      </c>
      <c r="K379" s="152"/>
      <c r="L379" s="203"/>
    </row>
    <row r="380" spans="1:12" s="141" customFormat="1">
      <c r="A380" s="147"/>
      <c r="B380" s="187"/>
      <c r="C380" s="187"/>
      <c r="D380" s="200" t="s">
        <v>1550</v>
      </c>
      <c r="E380" s="187" t="s">
        <v>1320</v>
      </c>
      <c r="F380" s="187">
        <v>1</v>
      </c>
      <c r="G380" s="187"/>
      <c r="H380" s="188"/>
      <c r="I380" s="189"/>
      <c r="J380" s="196"/>
      <c r="K380" s="191"/>
      <c r="L380" s="203"/>
    </row>
    <row r="381" spans="1:12" s="141" customFormat="1">
      <c r="A381" s="147">
        <v>1</v>
      </c>
      <c r="B381" s="143" t="s">
        <v>792</v>
      </c>
      <c r="C381" s="143" t="s">
        <v>796</v>
      </c>
      <c r="D381" s="143" t="s">
        <v>1313</v>
      </c>
      <c r="E381" s="143" t="s">
        <v>1369</v>
      </c>
      <c r="F381" s="143">
        <v>2</v>
      </c>
      <c r="G381" s="143" t="s">
        <v>1314</v>
      </c>
      <c r="H381" s="149">
        <f t="shared" ref="H381:H384" si="58">F381*J$4</f>
        <v>2</v>
      </c>
      <c r="I381" s="157">
        <v>90000</v>
      </c>
      <c r="J381" s="159">
        <f t="shared" ref="J381:J384" si="59">H381*I381</f>
        <v>180000</v>
      </c>
      <c r="K381" s="152"/>
      <c r="L381" s="203"/>
    </row>
    <row r="382" spans="1:12" s="141" customFormat="1">
      <c r="A382" s="147">
        <v>2</v>
      </c>
      <c r="B382" s="143" t="s">
        <v>792</v>
      </c>
      <c r="C382" s="143" t="s">
        <v>796</v>
      </c>
      <c r="D382" s="143" t="s">
        <v>1433</v>
      </c>
      <c r="E382" s="143" t="s">
        <v>1434</v>
      </c>
      <c r="F382" s="143">
        <v>1</v>
      </c>
      <c r="G382" s="143" t="s">
        <v>1326</v>
      </c>
      <c r="H382" s="149">
        <f t="shared" si="58"/>
        <v>1</v>
      </c>
      <c r="I382" s="157">
        <v>11000</v>
      </c>
      <c r="J382" s="159">
        <f t="shared" si="59"/>
        <v>11000</v>
      </c>
      <c r="K382" s="152"/>
      <c r="L382" s="203"/>
    </row>
    <row r="383" spans="1:12" s="141" customFormat="1">
      <c r="A383" s="147">
        <v>3</v>
      </c>
      <c r="B383" s="143" t="s">
        <v>792</v>
      </c>
      <c r="C383" s="143" t="s">
        <v>796</v>
      </c>
      <c r="D383" s="143" t="s">
        <v>1537</v>
      </c>
      <c r="E383" s="143" t="s">
        <v>1540</v>
      </c>
      <c r="F383" s="143">
        <v>1</v>
      </c>
      <c r="G383" s="143" t="s">
        <v>1326</v>
      </c>
      <c r="H383" s="149">
        <f t="shared" si="58"/>
        <v>1</v>
      </c>
      <c r="I383" s="157">
        <v>15000</v>
      </c>
      <c r="J383" s="159">
        <f t="shared" si="59"/>
        <v>15000</v>
      </c>
      <c r="K383" s="152"/>
      <c r="L383" s="203"/>
    </row>
    <row r="384" spans="1:12" s="141" customFormat="1">
      <c r="A384" s="147">
        <v>4</v>
      </c>
      <c r="B384" s="143" t="s">
        <v>792</v>
      </c>
      <c r="C384" s="143" t="s">
        <v>796</v>
      </c>
      <c r="D384" s="143" t="s">
        <v>1431</v>
      </c>
      <c r="E384" s="143" t="s">
        <v>1432</v>
      </c>
      <c r="F384" s="143">
        <v>4</v>
      </c>
      <c r="G384" s="143" t="s">
        <v>1427</v>
      </c>
      <c r="H384" s="149">
        <f t="shared" si="58"/>
        <v>4</v>
      </c>
      <c r="I384" s="157">
        <v>1100</v>
      </c>
      <c r="J384" s="159">
        <f t="shared" si="59"/>
        <v>4400</v>
      </c>
      <c r="K384" s="152"/>
      <c r="L384" s="203"/>
    </row>
    <row r="385" spans="1:14" s="141" customFormat="1">
      <c r="A385" s="147"/>
      <c r="B385" s="187"/>
      <c r="C385" s="187"/>
      <c r="D385" s="200" t="s">
        <v>1551</v>
      </c>
      <c r="E385" s="187" t="s">
        <v>1320</v>
      </c>
      <c r="F385" s="187">
        <v>1</v>
      </c>
      <c r="G385" s="187"/>
      <c r="H385" s="188"/>
      <c r="I385" s="189"/>
      <c r="J385" s="196"/>
      <c r="K385" s="191"/>
      <c r="L385" s="203"/>
    </row>
    <row r="386" spans="1:14" s="141" customFormat="1">
      <c r="A386" s="147">
        <v>1</v>
      </c>
      <c r="B386" s="143" t="s">
        <v>792</v>
      </c>
      <c r="C386" s="143" t="s">
        <v>796</v>
      </c>
      <c r="D386" s="143" t="s">
        <v>1313</v>
      </c>
      <c r="E386" s="143" t="s">
        <v>1369</v>
      </c>
      <c r="F386" s="143">
        <v>2</v>
      </c>
      <c r="G386" s="143" t="s">
        <v>1314</v>
      </c>
      <c r="H386" s="149">
        <f t="shared" ref="H386:H389" si="60">F386*J$4</f>
        <v>2</v>
      </c>
      <c r="I386" s="157">
        <v>90000</v>
      </c>
      <c r="J386" s="159">
        <f t="shared" si="55"/>
        <v>180000</v>
      </c>
      <c r="K386" s="152"/>
      <c r="L386" s="203"/>
    </row>
    <row r="387" spans="1:14" s="141" customFormat="1">
      <c r="A387" s="147">
        <v>2</v>
      </c>
      <c r="B387" s="143" t="s">
        <v>792</v>
      </c>
      <c r="C387" s="143" t="s">
        <v>796</v>
      </c>
      <c r="D387" s="143" t="s">
        <v>1433</v>
      </c>
      <c r="E387" s="143" t="s">
        <v>1434</v>
      </c>
      <c r="F387" s="143">
        <v>1</v>
      </c>
      <c r="G387" s="143" t="s">
        <v>1326</v>
      </c>
      <c r="H387" s="149">
        <f t="shared" si="60"/>
        <v>1</v>
      </c>
      <c r="I387" s="157">
        <v>11000</v>
      </c>
      <c r="J387" s="159">
        <f t="shared" si="55"/>
        <v>11000</v>
      </c>
      <c r="K387" s="152"/>
      <c r="L387" s="203"/>
    </row>
    <row r="388" spans="1:14" s="141" customFormat="1">
      <c r="A388" s="147">
        <v>3</v>
      </c>
      <c r="B388" s="143" t="s">
        <v>792</v>
      </c>
      <c r="C388" s="143" t="s">
        <v>796</v>
      </c>
      <c r="D388" s="143" t="s">
        <v>1537</v>
      </c>
      <c r="E388" s="143" t="s">
        <v>1540</v>
      </c>
      <c r="F388" s="143">
        <v>1</v>
      </c>
      <c r="G388" s="143" t="s">
        <v>1326</v>
      </c>
      <c r="H388" s="149">
        <f t="shared" si="60"/>
        <v>1</v>
      </c>
      <c r="I388" s="157">
        <v>15000</v>
      </c>
      <c r="J388" s="159">
        <f t="shared" si="55"/>
        <v>15000</v>
      </c>
      <c r="K388" s="152"/>
      <c r="L388" s="203"/>
    </row>
    <row r="389" spans="1:14" s="141" customFormat="1">
      <c r="A389" s="147">
        <v>4</v>
      </c>
      <c r="B389" s="143" t="s">
        <v>792</v>
      </c>
      <c r="C389" s="143" t="s">
        <v>796</v>
      </c>
      <c r="D389" s="143" t="s">
        <v>1431</v>
      </c>
      <c r="E389" s="143" t="s">
        <v>1432</v>
      </c>
      <c r="F389" s="143">
        <v>4</v>
      </c>
      <c r="G389" s="143" t="s">
        <v>1427</v>
      </c>
      <c r="H389" s="149">
        <f t="shared" si="60"/>
        <v>4</v>
      </c>
      <c r="I389" s="157">
        <v>1100</v>
      </c>
      <c r="J389" s="159">
        <f t="shared" si="55"/>
        <v>4400</v>
      </c>
      <c r="K389" s="152"/>
      <c r="L389" s="203"/>
    </row>
    <row r="390" spans="1:14" s="141" customFormat="1">
      <c r="A390" s="147"/>
      <c r="B390" s="187"/>
      <c r="C390" s="187"/>
      <c r="D390" s="187" t="s">
        <v>1532</v>
      </c>
      <c r="E390" s="198" t="s">
        <v>1533</v>
      </c>
      <c r="F390" s="187">
        <v>1</v>
      </c>
      <c r="G390" s="187"/>
      <c r="H390" s="188"/>
      <c r="I390" s="199"/>
      <c r="J390" s="196"/>
      <c r="K390" s="191"/>
      <c r="L390" s="203"/>
    </row>
    <row r="391" spans="1:14" s="141" customFormat="1">
      <c r="A391" s="147">
        <v>1</v>
      </c>
      <c r="B391" s="143" t="s">
        <v>792</v>
      </c>
      <c r="C391" s="143" t="s">
        <v>796</v>
      </c>
      <c r="D391" s="143" t="s">
        <v>1531</v>
      </c>
      <c r="E391" s="148" t="s">
        <v>1519</v>
      </c>
      <c r="F391" s="143">
        <v>3</v>
      </c>
      <c r="G391" s="143" t="s">
        <v>1520</v>
      </c>
      <c r="H391" s="149">
        <v>3</v>
      </c>
      <c r="I391" s="157">
        <v>33000</v>
      </c>
      <c r="J391" s="159">
        <f t="shared" si="55"/>
        <v>99000</v>
      </c>
      <c r="K391" s="152"/>
      <c r="L391" s="203"/>
    </row>
    <row r="392" spans="1:14" s="141" customFormat="1">
      <c r="A392" s="147">
        <v>2</v>
      </c>
      <c r="B392" s="143" t="s">
        <v>792</v>
      </c>
      <c r="C392" s="143" t="s">
        <v>796</v>
      </c>
      <c r="D392" s="143" t="s">
        <v>1521</v>
      </c>
      <c r="E392" s="148" t="s">
        <v>1522</v>
      </c>
      <c r="F392" s="143">
        <v>1</v>
      </c>
      <c r="G392" s="143" t="s">
        <v>1520</v>
      </c>
      <c r="H392" s="149">
        <v>1</v>
      </c>
      <c r="I392" s="157">
        <v>23000</v>
      </c>
      <c r="J392" s="159">
        <f t="shared" si="55"/>
        <v>23000</v>
      </c>
      <c r="K392" s="152"/>
      <c r="L392" s="203"/>
    </row>
    <row r="393" spans="1:14" s="141" customFormat="1">
      <c r="A393" s="147">
        <v>3</v>
      </c>
      <c r="B393" s="143" t="s">
        <v>792</v>
      </c>
      <c r="C393" s="143" t="s">
        <v>796</v>
      </c>
      <c r="D393" s="143" t="s">
        <v>1523</v>
      </c>
      <c r="E393" s="148" t="s">
        <v>1524</v>
      </c>
      <c r="F393" s="143">
        <v>4</v>
      </c>
      <c r="G393" s="143" t="s">
        <v>1520</v>
      </c>
      <c r="H393" s="149">
        <v>4</v>
      </c>
      <c r="I393" s="157">
        <v>54000</v>
      </c>
      <c r="J393" s="159">
        <f t="shared" si="55"/>
        <v>216000</v>
      </c>
      <c r="K393" s="152"/>
      <c r="L393" s="203"/>
      <c r="M393" s="206">
        <v>13636364</v>
      </c>
      <c r="N393" s="207" t="s">
        <v>1556</v>
      </c>
    </row>
    <row r="394" spans="1:14" s="141" customFormat="1">
      <c r="A394" s="147">
        <v>4</v>
      </c>
      <c r="B394" s="143" t="s">
        <v>792</v>
      </c>
      <c r="C394" s="143" t="s">
        <v>796</v>
      </c>
      <c r="D394" s="143" t="s">
        <v>1525</v>
      </c>
      <c r="E394" s="148" t="s">
        <v>1526</v>
      </c>
      <c r="F394" s="143">
        <v>3</v>
      </c>
      <c r="G394" s="143" t="s">
        <v>1527</v>
      </c>
      <c r="H394" s="149">
        <v>3</v>
      </c>
      <c r="I394" s="157">
        <v>43000</v>
      </c>
      <c r="J394" s="159">
        <f t="shared" si="55"/>
        <v>129000</v>
      </c>
      <c r="K394" s="152"/>
      <c r="L394" s="203"/>
      <c r="M394" s="154">
        <f>1300000+700000</f>
        <v>2000000</v>
      </c>
      <c r="N394" s="208" t="s">
        <v>1560</v>
      </c>
    </row>
    <row r="395" spans="1:14" s="141" customFormat="1">
      <c r="A395" s="147">
        <v>5</v>
      </c>
      <c r="B395" s="143" t="s">
        <v>792</v>
      </c>
      <c r="C395" s="143" t="s">
        <v>796</v>
      </c>
      <c r="D395" s="143" t="s">
        <v>1528</v>
      </c>
      <c r="E395" s="148" t="s">
        <v>1534</v>
      </c>
      <c r="F395" s="143">
        <v>4</v>
      </c>
      <c r="G395" s="143" t="s">
        <v>1254</v>
      </c>
      <c r="H395" s="149">
        <v>4</v>
      </c>
      <c r="I395" s="157">
        <v>1000</v>
      </c>
      <c r="J395" s="159">
        <f t="shared" si="55"/>
        <v>4000</v>
      </c>
      <c r="K395" s="152"/>
      <c r="L395" s="203"/>
      <c r="M395" s="154">
        <f>L398*7%</f>
        <v>346041.03333333338</v>
      </c>
      <c r="N395" s="208" t="s">
        <v>1557</v>
      </c>
    </row>
    <row r="396" spans="1:14" s="141" customFormat="1">
      <c r="A396" s="147">
        <v>6</v>
      </c>
      <c r="B396" s="143" t="s">
        <v>792</v>
      </c>
      <c r="C396" s="143" t="s">
        <v>796</v>
      </c>
      <c r="D396" s="143" t="s">
        <v>1535</v>
      </c>
      <c r="E396" s="148" t="s">
        <v>1536</v>
      </c>
      <c r="F396" s="143">
        <v>1</v>
      </c>
      <c r="G396" s="143" t="s">
        <v>1254</v>
      </c>
      <c r="H396" s="149">
        <v>1</v>
      </c>
      <c r="I396" s="157">
        <v>3000</v>
      </c>
      <c r="J396" s="159">
        <f t="shared" si="55"/>
        <v>3000</v>
      </c>
      <c r="K396" s="152"/>
      <c r="L396" s="203"/>
      <c r="M396" s="154">
        <f>(L398+M395)*20%</f>
        <v>1057896.8733333335</v>
      </c>
      <c r="N396" s="208" t="s">
        <v>1558</v>
      </c>
    </row>
    <row r="397" spans="1:14" s="141" customFormat="1" ht="23" thickBot="1">
      <c r="A397" s="147">
        <v>7</v>
      </c>
      <c r="B397" s="143" t="s">
        <v>792</v>
      </c>
      <c r="C397" s="143" t="s">
        <v>796</v>
      </c>
      <c r="D397" s="143" t="s">
        <v>1530</v>
      </c>
      <c r="E397" s="148" t="s">
        <v>1409</v>
      </c>
      <c r="F397" s="143">
        <v>12</v>
      </c>
      <c r="G397" s="143" t="s">
        <v>1410</v>
      </c>
      <c r="H397" s="149">
        <v>12</v>
      </c>
      <c r="I397" s="157">
        <v>1300</v>
      </c>
      <c r="J397" s="159">
        <f t="shared" si="55"/>
        <v>15600</v>
      </c>
      <c r="K397" s="152"/>
      <c r="L397" s="203"/>
      <c r="M397" s="154">
        <f>(L398+M395+M396)*25%</f>
        <v>1586845.31</v>
      </c>
      <c r="N397" s="208" t="s">
        <v>1559</v>
      </c>
    </row>
    <row r="398" spans="1:14" s="141" customFormat="1" ht="23" thickBot="1">
      <c r="A398" s="192">
        <v>8</v>
      </c>
      <c r="B398" s="193" t="s">
        <v>792</v>
      </c>
      <c r="C398" s="193" t="s">
        <v>796</v>
      </c>
      <c r="D398" s="193" t="s">
        <v>1290</v>
      </c>
      <c r="E398" s="193"/>
      <c r="F398" s="193">
        <v>1</v>
      </c>
      <c r="G398" s="193"/>
      <c r="H398" s="194">
        <f>J9*F398</f>
        <v>1</v>
      </c>
      <c r="I398" s="227">
        <v>1427050</v>
      </c>
      <c r="J398" s="226">
        <f>H398*I398</f>
        <v>1427050</v>
      </c>
      <c r="K398" s="195"/>
      <c r="L398" s="204">
        <f>SUM(J329:J365)+SUM(J367:J372)</f>
        <v>4943443.333333334</v>
      </c>
      <c r="M398" s="209">
        <f>L398+M394+M395+M396+M397</f>
        <v>9934226.5500000007</v>
      </c>
      <c r="N398" s="141" t="s">
        <v>1307</v>
      </c>
    </row>
    <row r="399" spans="1:14" ht="4.5" customHeight="1" thickBot="1"/>
    <row r="400" spans="1:14" s="141" customFormat="1" ht="23" thickBot="1">
      <c r="A400" s="137" t="s">
        <v>80</v>
      </c>
      <c r="B400" s="138" t="s">
        <v>1276</v>
      </c>
      <c r="C400" s="138" t="s">
        <v>1277</v>
      </c>
      <c r="D400" s="138" t="s">
        <v>1278</v>
      </c>
      <c r="E400" s="138" t="s">
        <v>1279</v>
      </c>
      <c r="F400" s="138" t="s">
        <v>1280</v>
      </c>
      <c r="G400" s="138" t="s">
        <v>1281</v>
      </c>
      <c r="H400" s="138" t="s">
        <v>1282</v>
      </c>
      <c r="I400" s="139" t="s">
        <v>1283</v>
      </c>
      <c r="J400" s="138" t="s">
        <v>1030</v>
      </c>
      <c r="K400" s="140" t="s">
        <v>1031</v>
      </c>
      <c r="L400" s="203"/>
    </row>
    <row r="401" spans="1:12" s="141" customFormat="1">
      <c r="A401" s="142">
        <v>1</v>
      </c>
      <c r="B401" s="144" t="s">
        <v>795</v>
      </c>
      <c r="C401" s="144" t="s">
        <v>781</v>
      </c>
      <c r="D401" s="144" t="s">
        <v>1284</v>
      </c>
      <c r="E401" s="144" t="s">
        <v>1357</v>
      </c>
      <c r="F401" s="144">
        <v>1</v>
      </c>
      <c r="G401" s="145" t="s">
        <v>1285</v>
      </c>
      <c r="H401" s="145">
        <f>F401*J$4</f>
        <v>1</v>
      </c>
      <c r="I401" s="156">
        <v>1056740</v>
      </c>
      <c r="J401" s="158">
        <f>H401*I401</f>
        <v>1056740</v>
      </c>
      <c r="K401" s="146"/>
      <c r="L401" s="203"/>
    </row>
    <row r="402" spans="1:12" s="141" customFormat="1">
      <c r="A402" s="147">
        <v>2</v>
      </c>
      <c r="B402" s="143" t="s">
        <v>794</v>
      </c>
      <c r="C402" s="143" t="s">
        <v>797</v>
      </c>
      <c r="D402" s="143" t="s">
        <v>1284</v>
      </c>
      <c r="E402" s="148" t="s">
        <v>1358</v>
      </c>
      <c r="F402" s="143">
        <v>1</v>
      </c>
      <c r="G402" s="149" t="s">
        <v>1194</v>
      </c>
      <c r="H402" s="149">
        <f>F402*J$4</f>
        <v>1</v>
      </c>
      <c r="I402" s="157">
        <v>740050</v>
      </c>
      <c r="J402" s="159">
        <f>H402*I402</f>
        <v>740050</v>
      </c>
      <c r="K402" s="152"/>
      <c r="L402" s="203"/>
    </row>
    <row r="403" spans="1:12" s="141" customFormat="1">
      <c r="A403" s="147">
        <v>3</v>
      </c>
      <c r="B403" s="143" t="s">
        <v>794</v>
      </c>
      <c r="C403" s="143" t="s">
        <v>797</v>
      </c>
      <c r="D403" s="143" t="s">
        <v>1284</v>
      </c>
      <c r="E403" s="148" t="s">
        <v>1359</v>
      </c>
      <c r="F403" s="143">
        <v>1</v>
      </c>
      <c r="G403" s="149" t="s">
        <v>1194</v>
      </c>
      <c r="H403" s="149">
        <f>F403*J$4</f>
        <v>1</v>
      </c>
      <c r="I403" s="157">
        <v>634960</v>
      </c>
      <c r="J403" s="159">
        <f>H403*I403</f>
        <v>634960</v>
      </c>
      <c r="K403" s="152"/>
      <c r="L403" s="203"/>
    </row>
    <row r="404" spans="1:12" s="141" customFormat="1">
      <c r="A404" s="147">
        <v>4</v>
      </c>
      <c r="B404" s="143" t="s">
        <v>794</v>
      </c>
      <c r="C404" s="143" t="s">
        <v>797</v>
      </c>
      <c r="D404" s="143" t="s">
        <v>1284</v>
      </c>
      <c r="E404" s="148" t="s">
        <v>1360</v>
      </c>
      <c r="F404" s="143">
        <v>1</v>
      </c>
      <c r="G404" s="149" t="s">
        <v>1194</v>
      </c>
      <c r="H404" s="149">
        <f>F404*J$4</f>
        <v>1</v>
      </c>
      <c r="I404" s="157">
        <f>384160/3</f>
        <v>128053.33333333333</v>
      </c>
      <c r="J404" s="159">
        <f>H404*I404</f>
        <v>128053.33333333333</v>
      </c>
      <c r="K404" s="152"/>
      <c r="L404" s="203"/>
    </row>
    <row r="405" spans="1:12" s="141" customFormat="1">
      <c r="A405" s="147">
        <v>5</v>
      </c>
      <c r="B405" s="143" t="s">
        <v>794</v>
      </c>
      <c r="C405" s="143" t="s">
        <v>797</v>
      </c>
      <c r="D405" s="143" t="s">
        <v>1286</v>
      </c>
      <c r="E405" s="148" t="s">
        <v>1458</v>
      </c>
      <c r="F405" s="143">
        <v>1</v>
      </c>
      <c r="G405" s="143" t="s">
        <v>1287</v>
      </c>
      <c r="H405" s="149">
        <f t="shared" ref="H405:H421" si="61">F405*J$4</f>
        <v>1</v>
      </c>
      <c r="I405" s="157">
        <v>420000</v>
      </c>
      <c r="J405" s="159">
        <f t="shared" ref="J405:J437" si="62">H405*I405</f>
        <v>420000</v>
      </c>
      <c r="K405" s="152"/>
      <c r="L405" s="203"/>
    </row>
    <row r="406" spans="1:12" s="141" customFormat="1">
      <c r="A406" s="147">
        <v>6</v>
      </c>
      <c r="B406" s="143" t="s">
        <v>794</v>
      </c>
      <c r="C406" s="143" t="s">
        <v>797</v>
      </c>
      <c r="D406" s="143" t="s">
        <v>1288</v>
      </c>
      <c r="E406" s="148" t="s">
        <v>1401</v>
      </c>
      <c r="F406" s="143">
        <v>12</v>
      </c>
      <c r="G406" s="143" t="s">
        <v>1287</v>
      </c>
      <c r="H406" s="149">
        <f t="shared" si="61"/>
        <v>12</v>
      </c>
      <c r="I406" s="157">
        <v>3300</v>
      </c>
      <c r="J406" s="159">
        <f t="shared" si="62"/>
        <v>39600</v>
      </c>
      <c r="K406" s="152"/>
      <c r="L406" s="203"/>
    </row>
    <row r="407" spans="1:12" s="141" customFormat="1">
      <c r="A407" s="147">
        <v>7</v>
      </c>
      <c r="B407" s="143" t="s">
        <v>794</v>
      </c>
      <c r="C407" s="143" t="s">
        <v>797</v>
      </c>
      <c r="D407" s="143" t="s">
        <v>1286</v>
      </c>
      <c r="E407" s="148" t="s">
        <v>1459</v>
      </c>
      <c r="F407" s="143">
        <v>1</v>
      </c>
      <c r="G407" s="143" t="s">
        <v>1287</v>
      </c>
      <c r="H407" s="149">
        <f t="shared" si="61"/>
        <v>1</v>
      </c>
      <c r="I407" s="157">
        <v>380000</v>
      </c>
      <c r="J407" s="159">
        <f t="shared" si="62"/>
        <v>380000</v>
      </c>
      <c r="K407" s="152"/>
      <c r="L407" s="203"/>
    </row>
    <row r="408" spans="1:12" s="141" customFormat="1">
      <c r="A408" s="147">
        <v>8</v>
      </c>
      <c r="B408" s="143" t="s">
        <v>794</v>
      </c>
      <c r="C408" s="143" t="s">
        <v>797</v>
      </c>
      <c r="D408" s="143" t="s">
        <v>1288</v>
      </c>
      <c r="E408" s="148" t="s">
        <v>1402</v>
      </c>
      <c r="F408" s="143">
        <v>8</v>
      </c>
      <c r="G408" s="143" t="s">
        <v>1287</v>
      </c>
      <c r="H408" s="149">
        <f t="shared" si="61"/>
        <v>8</v>
      </c>
      <c r="I408" s="157">
        <v>2200</v>
      </c>
      <c r="J408" s="159">
        <f t="shared" si="62"/>
        <v>17600</v>
      </c>
      <c r="K408" s="152"/>
      <c r="L408" s="203"/>
    </row>
    <row r="409" spans="1:12" s="141" customFormat="1">
      <c r="A409" s="147">
        <v>9</v>
      </c>
      <c r="B409" s="143" t="s">
        <v>794</v>
      </c>
      <c r="C409" s="143" t="s">
        <v>797</v>
      </c>
      <c r="D409" s="143" t="s">
        <v>1286</v>
      </c>
      <c r="E409" s="148" t="s">
        <v>1460</v>
      </c>
      <c r="F409" s="143">
        <v>1</v>
      </c>
      <c r="G409" s="143" t="s">
        <v>1287</v>
      </c>
      <c r="H409" s="149">
        <f t="shared" si="61"/>
        <v>1</v>
      </c>
      <c r="I409" s="157">
        <v>380000</v>
      </c>
      <c r="J409" s="159">
        <f t="shared" si="62"/>
        <v>380000</v>
      </c>
      <c r="K409" s="152"/>
      <c r="L409" s="203"/>
    </row>
    <row r="410" spans="1:12" s="141" customFormat="1">
      <c r="A410" s="147">
        <v>10</v>
      </c>
      <c r="B410" s="143" t="s">
        <v>794</v>
      </c>
      <c r="C410" s="143" t="s">
        <v>797</v>
      </c>
      <c r="D410" s="143" t="s">
        <v>1288</v>
      </c>
      <c r="E410" s="148" t="s">
        <v>1403</v>
      </c>
      <c r="F410" s="143">
        <v>8</v>
      </c>
      <c r="G410" s="143" t="s">
        <v>1287</v>
      </c>
      <c r="H410" s="149">
        <f t="shared" si="61"/>
        <v>8</v>
      </c>
      <c r="I410" s="157">
        <v>2800</v>
      </c>
      <c r="J410" s="159">
        <f t="shared" si="62"/>
        <v>22400</v>
      </c>
      <c r="K410" s="152"/>
      <c r="L410" s="203"/>
    </row>
    <row r="411" spans="1:12" s="141" customFormat="1">
      <c r="A411" s="147">
        <v>11</v>
      </c>
      <c r="B411" s="143" t="s">
        <v>794</v>
      </c>
      <c r="C411" s="143" t="s">
        <v>797</v>
      </c>
      <c r="D411" s="143" t="s">
        <v>1286</v>
      </c>
      <c r="E411" s="148" t="s">
        <v>1461</v>
      </c>
      <c r="F411" s="143">
        <v>1</v>
      </c>
      <c r="G411" s="143" t="s">
        <v>1287</v>
      </c>
      <c r="H411" s="149">
        <f t="shared" si="61"/>
        <v>1</v>
      </c>
      <c r="I411" s="157">
        <v>230000</v>
      </c>
      <c r="J411" s="159">
        <f t="shared" si="62"/>
        <v>230000</v>
      </c>
      <c r="K411" s="152"/>
      <c r="L411" s="203"/>
    </row>
    <row r="412" spans="1:12" s="141" customFormat="1">
      <c r="A412" s="147">
        <v>12</v>
      </c>
      <c r="B412" s="143" t="s">
        <v>794</v>
      </c>
      <c r="C412" s="143" t="s">
        <v>797</v>
      </c>
      <c r="D412" s="143" t="s">
        <v>1288</v>
      </c>
      <c r="E412" s="148" t="s">
        <v>1462</v>
      </c>
      <c r="F412" s="143">
        <v>8</v>
      </c>
      <c r="G412" s="143" t="s">
        <v>1287</v>
      </c>
      <c r="H412" s="149">
        <f t="shared" si="61"/>
        <v>8</v>
      </c>
      <c r="I412" s="157">
        <v>1000</v>
      </c>
      <c r="J412" s="159">
        <f t="shared" si="62"/>
        <v>8000</v>
      </c>
      <c r="K412" s="152"/>
      <c r="L412" s="203"/>
    </row>
    <row r="413" spans="1:12" s="141" customFormat="1">
      <c r="A413" s="147">
        <v>13</v>
      </c>
      <c r="B413" s="143" t="s">
        <v>794</v>
      </c>
      <c r="C413" s="143" t="s">
        <v>797</v>
      </c>
      <c r="D413" s="143" t="s">
        <v>1286</v>
      </c>
      <c r="E413" s="148" t="s">
        <v>1463</v>
      </c>
      <c r="F413" s="143">
        <v>1</v>
      </c>
      <c r="G413" s="143" t="s">
        <v>1287</v>
      </c>
      <c r="H413" s="149">
        <f t="shared" si="61"/>
        <v>1</v>
      </c>
      <c r="I413" s="157">
        <v>230000</v>
      </c>
      <c r="J413" s="159">
        <f t="shared" si="62"/>
        <v>230000</v>
      </c>
      <c r="K413" s="152"/>
      <c r="L413" s="203"/>
    </row>
    <row r="414" spans="1:12" s="141" customFormat="1">
      <c r="A414" s="147">
        <v>14</v>
      </c>
      <c r="B414" s="143" t="s">
        <v>794</v>
      </c>
      <c r="C414" s="143" t="s">
        <v>797</v>
      </c>
      <c r="D414" s="143" t="s">
        <v>1288</v>
      </c>
      <c r="E414" s="148" t="s">
        <v>1464</v>
      </c>
      <c r="F414" s="143">
        <v>8</v>
      </c>
      <c r="G414" s="143" t="s">
        <v>1287</v>
      </c>
      <c r="H414" s="149">
        <f t="shared" si="61"/>
        <v>8</v>
      </c>
      <c r="I414" s="157">
        <v>1500</v>
      </c>
      <c r="J414" s="159">
        <f t="shared" si="62"/>
        <v>12000</v>
      </c>
      <c r="K414" s="152"/>
      <c r="L414" s="203"/>
    </row>
    <row r="415" spans="1:12" s="141" customFormat="1">
      <c r="A415" s="147">
        <v>15</v>
      </c>
      <c r="B415" s="143" t="s">
        <v>794</v>
      </c>
      <c r="C415" s="143" t="s">
        <v>797</v>
      </c>
      <c r="D415" s="143" t="s">
        <v>1286</v>
      </c>
      <c r="E415" s="148" t="s">
        <v>1465</v>
      </c>
      <c r="F415" s="143">
        <v>1</v>
      </c>
      <c r="G415" s="143" t="s">
        <v>1287</v>
      </c>
      <c r="H415" s="149">
        <f t="shared" si="61"/>
        <v>1</v>
      </c>
      <c r="I415" s="157">
        <v>165000</v>
      </c>
      <c r="J415" s="159">
        <f t="shared" si="62"/>
        <v>165000</v>
      </c>
      <c r="K415" s="152"/>
      <c r="L415" s="203"/>
    </row>
    <row r="416" spans="1:12" s="141" customFormat="1">
      <c r="A416" s="147">
        <v>16</v>
      </c>
      <c r="B416" s="143" t="s">
        <v>794</v>
      </c>
      <c r="C416" s="143" t="s">
        <v>797</v>
      </c>
      <c r="D416" s="143" t="s">
        <v>1288</v>
      </c>
      <c r="E416" s="148" t="s">
        <v>1462</v>
      </c>
      <c r="F416" s="143">
        <v>8</v>
      </c>
      <c r="G416" s="143" t="s">
        <v>1287</v>
      </c>
      <c r="H416" s="149">
        <f t="shared" si="61"/>
        <v>8</v>
      </c>
      <c r="I416" s="157">
        <v>1000</v>
      </c>
      <c r="J416" s="159">
        <f t="shared" si="62"/>
        <v>8000</v>
      </c>
      <c r="K416" s="152"/>
      <c r="L416" s="203"/>
    </row>
    <row r="417" spans="1:12" s="141" customFormat="1">
      <c r="A417" s="147">
        <v>17</v>
      </c>
      <c r="B417" s="143" t="s">
        <v>794</v>
      </c>
      <c r="C417" s="143" t="s">
        <v>797</v>
      </c>
      <c r="D417" s="143" t="s">
        <v>1286</v>
      </c>
      <c r="E417" s="148" t="s">
        <v>1466</v>
      </c>
      <c r="F417" s="143">
        <v>1</v>
      </c>
      <c r="G417" s="143" t="s">
        <v>1287</v>
      </c>
      <c r="H417" s="149">
        <f t="shared" si="61"/>
        <v>1</v>
      </c>
      <c r="I417" s="157">
        <v>165000</v>
      </c>
      <c r="J417" s="159">
        <f t="shared" si="62"/>
        <v>165000</v>
      </c>
      <c r="K417" s="152"/>
      <c r="L417" s="203"/>
    </row>
    <row r="418" spans="1:12" s="141" customFormat="1">
      <c r="A418" s="147">
        <v>18</v>
      </c>
      <c r="B418" s="143" t="s">
        <v>794</v>
      </c>
      <c r="C418" s="143" t="s">
        <v>797</v>
      </c>
      <c r="D418" s="143" t="s">
        <v>1288</v>
      </c>
      <c r="E418" s="148" t="s">
        <v>1464</v>
      </c>
      <c r="F418" s="143">
        <v>8</v>
      </c>
      <c r="G418" s="143" t="s">
        <v>1287</v>
      </c>
      <c r="H418" s="149">
        <f t="shared" si="61"/>
        <v>8</v>
      </c>
      <c r="I418" s="157">
        <v>1500</v>
      </c>
      <c r="J418" s="159">
        <f t="shared" si="62"/>
        <v>12000</v>
      </c>
      <c r="K418" s="152"/>
      <c r="L418" s="203"/>
    </row>
    <row r="419" spans="1:12" s="141" customFormat="1">
      <c r="A419" s="147">
        <v>19</v>
      </c>
      <c r="B419" s="143" t="s">
        <v>794</v>
      </c>
      <c r="C419" s="143" t="s">
        <v>797</v>
      </c>
      <c r="D419" s="143" t="s">
        <v>1291</v>
      </c>
      <c r="E419" s="148" t="s">
        <v>1467</v>
      </c>
      <c r="F419" s="143">
        <v>1</v>
      </c>
      <c r="G419" s="143" t="s">
        <v>1287</v>
      </c>
      <c r="H419" s="149">
        <f t="shared" si="61"/>
        <v>1</v>
      </c>
      <c r="I419" s="157">
        <v>75000</v>
      </c>
      <c r="J419" s="159">
        <f t="shared" si="62"/>
        <v>75000</v>
      </c>
      <c r="K419" s="152"/>
      <c r="L419" s="203"/>
    </row>
    <row r="420" spans="1:12" s="141" customFormat="1">
      <c r="A420" s="147">
        <v>20</v>
      </c>
      <c r="B420" s="143" t="s">
        <v>794</v>
      </c>
      <c r="C420" s="143" t="s">
        <v>797</v>
      </c>
      <c r="D420" s="143" t="s">
        <v>1291</v>
      </c>
      <c r="E420" s="148" t="s">
        <v>1468</v>
      </c>
      <c r="F420" s="143">
        <v>1</v>
      </c>
      <c r="G420" s="143" t="s">
        <v>1287</v>
      </c>
      <c r="H420" s="149">
        <f t="shared" si="61"/>
        <v>1</v>
      </c>
      <c r="I420" s="157">
        <v>79000</v>
      </c>
      <c r="J420" s="159">
        <f t="shared" si="62"/>
        <v>79000</v>
      </c>
      <c r="K420" s="152"/>
      <c r="L420" s="203"/>
    </row>
    <row r="421" spans="1:12" s="141" customFormat="1">
      <c r="A421" s="147">
        <v>21</v>
      </c>
      <c r="B421" s="143" t="s">
        <v>794</v>
      </c>
      <c r="C421" s="143" t="s">
        <v>797</v>
      </c>
      <c r="D421" s="143" t="s">
        <v>1288</v>
      </c>
      <c r="E421" s="148" t="s">
        <v>1469</v>
      </c>
      <c r="F421" s="143">
        <v>8</v>
      </c>
      <c r="G421" s="143" t="s">
        <v>1287</v>
      </c>
      <c r="H421" s="149">
        <f t="shared" si="61"/>
        <v>8</v>
      </c>
      <c r="I421" s="157">
        <v>1600</v>
      </c>
      <c r="J421" s="159">
        <f t="shared" si="62"/>
        <v>12800</v>
      </c>
      <c r="K421" s="152"/>
      <c r="L421" s="203"/>
    </row>
    <row r="422" spans="1:12" s="141" customFormat="1">
      <c r="A422" s="147">
        <v>22</v>
      </c>
      <c r="B422" s="143" t="s">
        <v>794</v>
      </c>
      <c r="C422" s="143" t="s">
        <v>797</v>
      </c>
      <c r="D422" s="143" t="s">
        <v>1487</v>
      </c>
      <c r="E422" s="148" t="s">
        <v>1488</v>
      </c>
      <c r="F422" s="143">
        <v>1</v>
      </c>
      <c r="G422" s="143" t="s">
        <v>1254</v>
      </c>
      <c r="H422" s="149">
        <v>1</v>
      </c>
      <c r="I422" s="157">
        <v>2500</v>
      </c>
      <c r="J422" s="159">
        <f t="shared" si="62"/>
        <v>2500</v>
      </c>
      <c r="K422" s="152"/>
      <c r="L422" s="203"/>
    </row>
    <row r="423" spans="1:12" s="141" customFormat="1">
      <c r="A423" s="147">
        <v>23</v>
      </c>
      <c r="B423" s="143" t="s">
        <v>794</v>
      </c>
      <c r="C423" s="143" t="s">
        <v>797</v>
      </c>
      <c r="D423" s="143" t="s">
        <v>1489</v>
      </c>
      <c r="E423" s="148" t="s">
        <v>1490</v>
      </c>
      <c r="F423" s="143">
        <v>1</v>
      </c>
      <c r="G423" s="143" t="s">
        <v>1491</v>
      </c>
      <c r="H423" s="149">
        <v>1</v>
      </c>
      <c r="I423" s="157">
        <v>2400</v>
      </c>
      <c r="J423" s="159">
        <f t="shared" si="62"/>
        <v>2400</v>
      </c>
      <c r="K423" s="152"/>
      <c r="L423" s="203"/>
    </row>
    <row r="424" spans="1:12" s="141" customFormat="1">
      <c r="A424" s="147">
        <v>24</v>
      </c>
      <c r="B424" s="143" t="s">
        <v>794</v>
      </c>
      <c r="C424" s="143" t="s">
        <v>797</v>
      </c>
      <c r="D424" s="143" t="s">
        <v>1492</v>
      </c>
      <c r="E424" s="148" t="s">
        <v>1493</v>
      </c>
      <c r="F424" s="143">
        <v>1</v>
      </c>
      <c r="G424" s="143" t="s">
        <v>643</v>
      </c>
      <c r="H424" s="149">
        <v>1</v>
      </c>
      <c r="I424" s="157">
        <v>1250</v>
      </c>
      <c r="J424" s="159">
        <f t="shared" si="62"/>
        <v>1250</v>
      </c>
      <c r="K424" s="152"/>
      <c r="L424" s="203"/>
    </row>
    <row r="425" spans="1:12" s="141" customFormat="1">
      <c r="A425" s="147">
        <v>25</v>
      </c>
      <c r="B425" s="143" t="s">
        <v>794</v>
      </c>
      <c r="C425" s="143" t="s">
        <v>797</v>
      </c>
      <c r="D425" s="143" t="s">
        <v>1494</v>
      </c>
      <c r="E425" s="148" t="s">
        <v>1495</v>
      </c>
      <c r="F425" s="143">
        <v>43</v>
      </c>
      <c r="G425" s="143" t="s">
        <v>1254</v>
      </c>
      <c r="H425" s="149">
        <v>43</v>
      </c>
      <c r="I425" s="157">
        <v>3600</v>
      </c>
      <c r="J425" s="159">
        <f t="shared" si="62"/>
        <v>154800</v>
      </c>
      <c r="K425" s="152"/>
      <c r="L425" s="203"/>
    </row>
    <row r="426" spans="1:12" s="141" customFormat="1">
      <c r="A426" s="147">
        <v>26</v>
      </c>
      <c r="B426" s="143" t="s">
        <v>794</v>
      </c>
      <c r="C426" s="143" t="s">
        <v>797</v>
      </c>
      <c r="D426" s="143" t="s">
        <v>1496</v>
      </c>
      <c r="E426" s="148" t="s">
        <v>1497</v>
      </c>
      <c r="F426" s="143">
        <v>1</v>
      </c>
      <c r="G426" s="143" t="s">
        <v>1498</v>
      </c>
      <c r="H426" s="149">
        <v>1</v>
      </c>
      <c r="I426" s="157">
        <v>24500</v>
      </c>
      <c r="J426" s="159">
        <f t="shared" si="62"/>
        <v>24500</v>
      </c>
      <c r="K426" s="152"/>
      <c r="L426" s="203"/>
    </row>
    <row r="427" spans="1:12" s="141" customFormat="1">
      <c r="A427" s="147">
        <v>27</v>
      </c>
      <c r="B427" s="143" t="s">
        <v>794</v>
      </c>
      <c r="C427" s="143" t="s">
        <v>797</v>
      </c>
      <c r="D427" s="143" t="s">
        <v>1499</v>
      </c>
      <c r="E427" s="148" t="s">
        <v>1500</v>
      </c>
      <c r="F427" s="143">
        <v>1</v>
      </c>
      <c r="G427" s="143" t="s">
        <v>1254</v>
      </c>
      <c r="H427" s="149">
        <v>1</v>
      </c>
      <c r="I427" s="157">
        <v>6500</v>
      </c>
      <c r="J427" s="159">
        <f t="shared" si="62"/>
        <v>6500</v>
      </c>
      <c r="K427" s="152"/>
      <c r="L427" s="203"/>
    </row>
    <row r="428" spans="1:12" s="141" customFormat="1">
      <c r="A428" s="147">
        <v>28</v>
      </c>
      <c r="B428" s="143" t="s">
        <v>794</v>
      </c>
      <c r="C428" s="143" t="s">
        <v>797</v>
      </c>
      <c r="D428" s="143" t="s">
        <v>1501</v>
      </c>
      <c r="E428" s="148" t="s">
        <v>1502</v>
      </c>
      <c r="F428" s="143">
        <v>1</v>
      </c>
      <c r="G428" s="143" t="s">
        <v>1254</v>
      </c>
      <c r="H428" s="149">
        <v>1</v>
      </c>
      <c r="I428" s="157">
        <v>8000</v>
      </c>
      <c r="J428" s="159">
        <f t="shared" si="62"/>
        <v>8000</v>
      </c>
      <c r="K428" s="152"/>
      <c r="L428" s="203"/>
    </row>
    <row r="429" spans="1:12" s="141" customFormat="1">
      <c r="A429" s="147">
        <v>29</v>
      </c>
      <c r="B429" s="143" t="s">
        <v>794</v>
      </c>
      <c r="C429" s="143" t="s">
        <v>797</v>
      </c>
      <c r="D429" s="143" t="s">
        <v>1503</v>
      </c>
      <c r="E429" s="148" t="s">
        <v>1504</v>
      </c>
      <c r="F429" s="143">
        <v>1</v>
      </c>
      <c r="G429" s="143" t="s">
        <v>1505</v>
      </c>
      <c r="H429" s="149">
        <v>1</v>
      </c>
      <c r="I429" s="157">
        <v>2500</v>
      </c>
      <c r="J429" s="159">
        <f t="shared" si="62"/>
        <v>2500</v>
      </c>
      <c r="K429" s="152"/>
      <c r="L429" s="203"/>
    </row>
    <row r="430" spans="1:12" s="141" customFormat="1">
      <c r="A430" s="147">
        <v>30</v>
      </c>
      <c r="B430" s="143" t="s">
        <v>794</v>
      </c>
      <c r="C430" s="143" t="s">
        <v>797</v>
      </c>
      <c r="D430" s="143" t="s">
        <v>1414</v>
      </c>
      <c r="E430" s="148" t="s">
        <v>1506</v>
      </c>
      <c r="F430" s="143">
        <v>2</v>
      </c>
      <c r="G430" s="143" t="s">
        <v>1254</v>
      </c>
      <c r="H430" s="149">
        <v>2</v>
      </c>
      <c r="I430" s="157">
        <v>5500</v>
      </c>
      <c r="J430" s="159">
        <f t="shared" si="62"/>
        <v>11000</v>
      </c>
      <c r="K430" s="152"/>
      <c r="L430" s="203"/>
    </row>
    <row r="431" spans="1:12" s="141" customFormat="1">
      <c r="A431" s="147">
        <v>31</v>
      </c>
      <c r="B431" s="143" t="s">
        <v>794</v>
      </c>
      <c r="C431" s="143" t="s">
        <v>797</v>
      </c>
      <c r="D431" s="143" t="s">
        <v>1507</v>
      </c>
      <c r="E431" s="148" t="s">
        <v>1508</v>
      </c>
      <c r="F431" s="143">
        <v>1</v>
      </c>
      <c r="G431" s="143" t="s">
        <v>1505</v>
      </c>
      <c r="H431" s="149">
        <v>1</v>
      </c>
      <c r="I431" s="157">
        <v>15000</v>
      </c>
      <c r="J431" s="159">
        <f t="shared" si="62"/>
        <v>15000</v>
      </c>
      <c r="K431" s="152"/>
      <c r="L431" s="203"/>
    </row>
    <row r="432" spans="1:12" s="141" customFormat="1">
      <c r="A432" s="147">
        <v>32</v>
      </c>
      <c r="B432" s="143" t="s">
        <v>794</v>
      </c>
      <c r="C432" s="143" t="s">
        <v>797</v>
      </c>
      <c r="D432" s="143" t="s">
        <v>1509</v>
      </c>
      <c r="E432" s="148" t="s">
        <v>1510</v>
      </c>
      <c r="F432" s="143">
        <v>1</v>
      </c>
      <c r="G432" s="143" t="s">
        <v>1254</v>
      </c>
      <c r="H432" s="149">
        <v>1</v>
      </c>
      <c r="I432" s="157">
        <v>2500</v>
      </c>
      <c r="J432" s="159">
        <f t="shared" si="62"/>
        <v>2500</v>
      </c>
      <c r="K432" s="152"/>
      <c r="L432" s="203"/>
    </row>
    <row r="433" spans="1:12" s="141" customFormat="1">
      <c r="A433" s="147">
        <v>33</v>
      </c>
      <c r="B433" s="143" t="s">
        <v>794</v>
      </c>
      <c r="C433" s="143" t="s">
        <v>797</v>
      </c>
      <c r="D433" s="143" t="s">
        <v>1511</v>
      </c>
      <c r="E433" s="148" t="s">
        <v>1512</v>
      </c>
      <c r="F433" s="143">
        <v>6</v>
      </c>
      <c r="G433" s="143" t="s">
        <v>1254</v>
      </c>
      <c r="H433" s="149">
        <v>6</v>
      </c>
      <c r="I433" s="157">
        <v>7500</v>
      </c>
      <c r="J433" s="159">
        <f t="shared" si="62"/>
        <v>45000</v>
      </c>
      <c r="K433" s="152"/>
      <c r="L433" s="203"/>
    </row>
    <row r="434" spans="1:12" s="141" customFormat="1">
      <c r="A434" s="147">
        <v>34</v>
      </c>
      <c r="B434" s="143" t="s">
        <v>794</v>
      </c>
      <c r="C434" s="143" t="s">
        <v>797</v>
      </c>
      <c r="D434" s="143" t="s">
        <v>1513</v>
      </c>
      <c r="E434" s="148" t="s">
        <v>1514</v>
      </c>
      <c r="F434" s="143">
        <v>1</v>
      </c>
      <c r="G434" s="143" t="s">
        <v>1254</v>
      </c>
      <c r="H434" s="149">
        <v>1</v>
      </c>
      <c r="I434" s="157">
        <v>5500</v>
      </c>
      <c r="J434" s="159">
        <f t="shared" si="62"/>
        <v>5500</v>
      </c>
      <c r="K434" s="152"/>
      <c r="L434" s="203"/>
    </row>
    <row r="435" spans="1:12" s="141" customFormat="1">
      <c r="A435" s="147">
        <v>35</v>
      </c>
      <c r="B435" s="143" t="s">
        <v>794</v>
      </c>
      <c r="C435" s="143" t="s">
        <v>797</v>
      </c>
      <c r="D435" s="143" t="s">
        <v>1515</v>
      </c>
      <c r="E435" s="148" t="s">
        <v>1486</v>
      </c>
      <c r="F435" s="143">
        <v>1</v>
      </c>
      <c r="G435" s="143" t="s">
        <v>1410</v>
      </c>
      <c r="H435" s="149">
        <v>1</v>
      </c>
      <c r="I435" s="157">
        <v>1500</v>
      </c>
      <c r="J435" s="159">
        <f t="shared" si="62"/>
        <v>1500</v>
      </c>
      <c r="K435" s="152"/>
      <c r="L435" s="203"/>
    </row>
    <row r="436" spans="1:12" s="141" customFormat="1">
      <c r="A436" s="147">
        <v>36</v>
      </c>
      <c r="B436" s="143" t="s">
        <v>794</v>
      </c>
      <c r="C436" s="143" t="s">
        <v>797</v>
      </c>
      <c r="D436" s="143" t="s">
        <v>1516</v>
      </c>
      <c r="E436" s="148" t="s">
        <v>1517</v>
      </c>
      <c r="F436" s="143">
        <v>1</v>
      </c>
      <c r="G436" s="143" t="s">
        <v>1410</v>
      </c>
      <c r="H436" s="149">
        <v>1</v>
      </c>
      <c r="I436" s="157">
        <v>180000</v>
      </c>
      <c r="J436" s="159">
        <f t="shared" si="62"/>
        <v>180000</v>
      </c>
      <c r="K436" s="152"/>
      <c r="L436" s="203"/>
    </row>
    <row r="437" spans="1:12" s="141" customFormat="1">
      <c r="A437" s="147">
        <v>37</v>
      </c>
      <c r="B437" s="143" t="s">
        <v>794</v>
      </c>
      <c r="C437" s="143" t="s">
        <v>797</v>
      </c>
      <c r="D437" s="143" t="s">
        <v>1485</v>
      </c>
      <c r="E437" s="148" t="s">
        <v>1486</v>
      </c>
      <c r="F437" s="143">
        <v>36</v>
      </c>
      <c r="G437" s="143" t="s">
        <v>1410</v>
      </c>
      <c r="H437" s="149">
        <v>36</v>
      </c>
      <c r="I437" s="157">
        <v>600</v>
      </c>
      <c r="J437" s="159">
        <f t="shared" si="62"/>
        <v>21600</v>
      </c>
      <c r="K437" s="152"/>
      <c r="L437" s="203"/>
    </row>
    <row r="438" spans="1:12" s="141" customFormat="1">
      <c r="A438" s="147"/>
      <c r="B438" s="187"/>
      <c r="C438" s="187"/>
      <c r="D438" s="201" t="s">
        <v>1552</v>
      </c>
      <c r="E438" s="202" t="s">
        <v>1554</v>
      </c>
      <c r="F438" s="187">
        <v>1</v>
      </c>
      <c r="G438" s="187"/>
      <c r="H438" s="188"/>
      <c r="I438" s="199"/>
      <c r="J438" s="196"/>
      <c r="K438" s="191"/>
      <c r="L438" s="203"/>
    </row>
    <row r="439" spans="1:12" s="141" customFormat="1">
      <c r="A439" s="147">
        <v>1</v>
      </c>
      <c r="B439" s="143" t="s">
        <v>794</v>
      </c>
      <c r="C439" s="143" t="s">
        <v>797</v>
      </c>
      <c r="D439" s="143" t="s">
        <v>1518</v>
      </c>
      <c r="E439" s="148" t="s">
        <v>1519</v>
      </c>
      <c r="F439" s="143">
        <v>3</v>
      </c>
      <c r="G439" s="143" t="s">
        <v>1520</v>
      </c>
      <c r="H439" s="149">
        <v>3</v>
      </c>
      <c r="I439" s="157">
        <v>33000</v>
      </c>
      <c r="J439" s="159">
        <f t="shared" ref="J439:J444" si="63">H439*I439</f>
        <v>99000</v>
      </c>
      <c r="K439" s="152"/>
      <c r="L439" s="203"/>
    </row>
    <row r="440" spans="1:12" s="141" customFormat="1">
      <c r="A440" s="147">
        <v>2</v>
      </c>
      <c r="B440" s="143" t="s">
        <v>794</v>
      </c>
      <c r="C440" s="143" t="s">
        <v>797</v>
      </c>
      <c r="D440" s="143" t="s">
        <v>1521</v>
      </c>
      <c r="E440" s="148" t="s">
        <v>1522</v>
      </c>
      <c r="F440" s="143">
        <v>1</v>
      </c>
      <c r="G440" s="143" t="s">
        <v>1520</v>
      </c>
      <c r="H440" s="149">
        <v>1</v>
      </c>
      <c r="I440" s="157">
        <v>23000</v>
      </c>
      <c r="J440" s="159">
        <f t="shared" si="63"/>
        <v>23000</v>
      </c>
      <c r="K440" s="152"/>
      <c r="L440" s="203"/>
    </row>
    <row r="441" spans="1:12" s="141" customFormat="1">
      <c r="A441" s="147">
        <v>3</v>
      </c>
      <c r="B441" s="143" t="s">
        <v>794</v>
      </c>
      <c r="C441" s="143" t="s">
        <v>797</v>
      </c>
      <c r="D441" s="143" t="s">
        <v>1523</v>
      </c>
      <c r="E441" s="148" t="s">
        <v>1524</v>
      </c>
      <c r="F441" s="143">
        <v>6</v>
      </c>
      <c r="G441" s="143" t="s">
        <v>1520</v>
      </c>
      <c r="H441" s="149">
        <v>6</v>
      </c>
      <c r="I441" s="157">
        <v>54000</v>
      </c>
      <c r="J441" s="159">
        <f t="shared" si="63"/>
        <v>324000</v>
      </c>
      <c r="K441" s="152"/>
      <c r="L441" s="203"/>
    </row>
    <row r="442" spans="1:12" s="141" customFormat="1">
      <c r="A442" s="147">
        <v>4</v>
      </c>
      <c r="B442" s="143" t="s">
        <v>794</v>
      </c>
      <c r="C442" s="143" t="s">
        <v>797</v>
      </c>
      <c r="D442" s="143" t="s">
        <v>1525</v>
      </c>
      <c r="E442" s="148" t="s">
        <v>1526</v>
      </c>
      <c r="F442" s="143">
        <v>3</v>
      </c>
      <c r="G442" s="143" t="s">
        <v>1527</v>
      </c>
      <c r="H442" s="149">
        <v>3</v>
      </c>
      <c r="I442" s="157">
        <v>43000</v>
      </c>
      <c r="J442" s="159">
        <f t="shared" si="63"/>
        <v>129000</v>
      </c>
      <c r="K442" s="152"/>
      <c r="L442" s="203"/>
    </row>
    <row r="443" spans="1:12" s="141" customFormat="1">
      <c r="A443" s="147">
        <v>5</v>
      </c>
      <c r="B443" s="143" t="s">
        <v>794</v>
      </c>
      <c r="C443" s="143" t="s">
        <v>797</v>
      </c>
      <c r="D443" s="143" t="s">
        <v>1528</v>
      </c>
      <c r="E443" s="148" t="s">
        <v>1529</v>
      </c>
      <c r="F443" s="143">
        <v>4</v>
      </c>
      <c r="G443" s="143" t="s">
        <v>1254</v>
      </c>
      <c r="H443" s="149">
        <v>4</v>
      </c>
      <c r="I443" s="157">
        <v>1000</v>
      </c>
      <c r="J443" s="159">
        <f t="shared" si="63"/>
        <v>4000</v>
      </c>
      <c r="K443" s="152"/>
      <c r="L443" s="203"/>
    </row>
    <row r="444" spans="1:12" s="141" customFormat="1">
      <c r="A444" s="147">
        <v>6</v>
      </c>
      <c r="B444" s="143" t="s">
        <v>794</v>
      </c>
      <c r="C444" s="143" t="s">
        <v>797</v>
      </c>
      <c r="D444" s="143" t="s">
        <v>1530</v>
      </c>
      <c r="E444" s="148" t="s">
        <v>1409</v>
      </c>
      <c r="F444" s="143">
        <v>12</v>
      </c>
      <c r="G444" s="143" t="s">
        <v>1410</v>
      </c>
      <c r="H444" s="149">
        <v>12</v>
      </c>
      <c r="I444" s="157">
        <v>1300</v>
      </c>
      <c r="J444" s="159">
        <f t="shared" si="63"/>
        <v>15600</v>
      </c>
      <c r="K444" s="152"/>
      <c r="L444" s="203"/>
    </row>
    <row r="445" spans="1:12" s="141" customFormat="1">
      <c r="A445" s="147"/>
      <c r="B445" s="187"/>
      <c r="C445" s="187"/>
      <c r="D445" s="201" t="s">
        <v>1553</v>
      </c>
      <c r="E445" s="202" t="s">
        <v>1555</v>
      </c>
      <c r="F445" s="187">
        <v>1</v>
      </c>
      <c r="G445" s="187"/>
      <c r="H445" s="188"/>
      <c r="I445" s="199"/>
      <c r="J445" s="196"/>
      <c r="K445" s="191"/>
      <c r="L445" s="203"/>
    </row>
    <row r="446" spans="1:12" s="141" customFormat="1">
      <c r="A446" s="147">
        <v>1</v>
      </c>
      <c r="B446" s="143" t="s">
        <v>794</v>
      </c>
      <c r="C446" s="143" t="s">
        <v>797</v>
      </c>
      <c r="D446" s="143" t="s">
        <v>1518</v>
      </c>
      <c r="E446" s="148" t="s">
        <v>1519</v>
      </c>
      <c r="F446" s="143">
        <v>4</v>
      </c>
      <c r="G446" s="143" t="s">
        <v>1520</v>
      </c>
      <c r="H446" s="149">
        <v>4</v>
      </c>
      <c r="I446" s="157">
        <v>33000</v>
      </c>
      <c r="J446" s="159">
        <f t="shared" ref="J446:J451" si="64">H446*I446</f>
        <v>132000</v>
      </c>
      <c r="K446" s="152"/>
      <c r="L446" s="203"/>
    </row>
    <row r="447" spans="1:12" s="141" customFormat="1">
      <c r="A447" s="147">
        <v>2</v>
      </c>
      <c r="B447" s="143" t="s">
        <v>794</v>
      </c>
      <c r="C447" s="143" t="s">
        <v>797</v>
      </c>
      <c r="D447" s="143" t="s">
        <v>1521</v>
      </c>
      <c r="E447" s="148" t="s">
        <v>1522</v>
      </c>
      <c r="F447" s="143">
        <v>1</v>
      </c>
      <c r="G447" s="143" t="s">
        <v>1520</v>
      </c>
      <c r="H447" s="149">
        <v>1</v>
      </c>
      <c r="I447" s="157">
        <v>23000</v>
      </c>
      <c r="J447" s="159">
        <f t="shared" si="64"/>
        <v>23000</v>
      </c>
      <c r="K447" s="152"/>
      <c r="L447" s="203"/>
    </row>
    <row r="448" spans="1:12" s="141" customFormat="1">
      <c r="A448" s="147">
        <v>3</v>
      </c>
      <c r="B448" s="143" t="s">
        <v>794</v>
      </c>
      <c r="C448" s="143" t="s">
        <v>797</v>
      </c>
      <c r="D448" s="143" t="s">
        <v>1523</v>
      </c>
      <c r="E448" s="148" t="s">
        <v>1524</v>
      </c>
      <c r="F448" s="143">
        <v>8</v>
      </c>
      <c r="G448" s="143" t="s">
        <v>1520</v>
      </c>
      <c r="H448" s="149">
        <v>8</v>
      </c>
      <c r="I448" s="157">
        <v>54000</v>
      </c>
      <c r="J448" s="159">
        <f t="shared" si="64"/>
        <v>432000</v>
      </c>
      <c r="K448" s="152"/>
      <c r="L448" s="203"/>
    </row>
    <row r="449" spans="1:12" s="141" customFormat="1">
      <c r="A449" s="147">
        <v>4</v>
      </c>
      <c r="B449" s="143" t="s">
        <v>794</v>
      </c>
      <c r="C449" s="143" t="s">
        <v>797</v>
      </c>
      <c r="D449" s="143" t="s">
        <v>1525</v>
      </c>
      <c r="E449" s="148" t="s">
        <v>1526</v>
      </c>
      <c r="F449" s="143">
        <v>3</v>
      </c>
      <c r="G449" s="143" t="s">
        <v>1527</v>
      </c>
      <c r="H449" s="149">
        <v>3</v>
      </c>
      <c r="I449" s="157">
        <v>43000</v>
      </c>
      <c r="J449" s="159">
        <f t="shared" si="64"/>
        <v>129000</v>
      </c>
      <c r="K449" s="152"/>
      <c r="L449" s="203"/>
    </row>
    <row r="450" spans="1:12" s="141" customFormat="1">
      <c r="A450" s="147">
        <v>5</v>
      </c>
      <c r="B450" s="143" t="s">
        <v>794</v>
      </c>
      <c r="C450" s="143" t="s">
        <v>797</v>
      </c>
      <c r="D450" s="143" t="s">
        <v>1528</v>
      </c>
      <c r="E450" s="148" t="s">
        <v>1529</v>
      </c>
      <c r="F450" s="143">
        <v>4</v>
      </c>
      <c r="G450" s="143" t="s">
        <v>1254</v>
      </c>
      <c r="H450" s="149">
        <v>4</v>
      </c>
      <c r="I450" s="157">
        <v>1000</v>
      </c>
      <c r="J450" s="159">
        <f t="shared" si="64"/>
        <v>4000</v>
      </c>
      <c r="K450" s="152"/>
      <c r="L450" s="203"/>
    </row>
    <row r="451" spans="1:12" s="141" customFormat="1">
      <c r="A451" s="147">
        <v>6</v>
      </c>
      <c r="B451" s="143" t="s">
        <v>794</v>
      </c>
      <c r="C451" s="143" t="s">
        <v>797</v>
      </c>
      <c r="D451" s="143" t="s">
        <v>1530</v>
      </c>
      <c r="E451" s="148" t="s">
        <v>1409</v>
      </c>
      <c r="F451" s="143">
        <v>12</v>
      </c>
      <c r="G451" s="143" t="s">
        <v>1410</v>
      </c>
      <c r="H451" s="149">
        <v>12</v>
      </c>
      <c r="I451" s="157">
        <v>1300</v>
      </c>
      <c r="J451" s="159">
        <f t="shared" si="64"/>
        <v>15600</v>
      </c>
      <c r="K451" s="152"/>
      <c r="L451" s="203"/>
    </row>
    <row r="452" spans="1:12" s="141" customFormat="1">
      <c r="A452" s="147"/>
      <c r="B452" s="187"/>
      <c r="C452" s="187"/>
      <c r="D452" s="200" t="s">
        <v>1550</v>
      </c>
      <c r="E452" s="187" t="s">
        <v>1320</v>
      </c>
      <c r="F452" s="187">
        <v>1</v>
      </c>
      <c r="G452" s="187"/>
      <c r="H452" s="188"/>
      <c r="I452" s="189"/>
      <c r="J452" s="196"/>
      <c r="K452" s="191"/>
      <c r="L452" s="203"/>
    </row>
    <row r="453" spans="1:12" s="141" customFormat="1">
      <c r="A453" s="147">
        <v>1</v>
      </c>
      <c r="B453" s="143" t="s">
        <v>794</v>
      </c>
      <c r="C453" s="143" t="s">
        <v>797</v>
      </c>
      <c r="D453" s="143" t="s">
        <v>1313</v>
      </c>
      <c r="E453" s="143" t="s">
        <v>1369</v>
      </c>
      <c r="F453" s="143">
        <v>2</v>
      </c>
      <c r="G453" s="143" t="s">
        <v>1314</v>
      </c>
      <c r="H453" s="149">
        <f t="shared" ref="H453:H456" si="65">F453*J$4</f>
        <v>2</v>
      </c>
      <c r="I453" s="157">
        <v>90000</v>
      </c>
      <c r="J453" s="159">
        <f t="shared" ref="J453:J456" si="66">H453*I453</f>
        <v>180000</v>
      </c>
      <c r="K453" s="152"/>
      <c r="L453" s="203"/>
    </row>
    <row r="454" spans="1:12" s="141" customFormat="1">
      <c r="A454" s="147">
        <v>2</v>
      </c>
      <c r="B454" s="143" t="s">
        <v>794</v>
      </c>
      <c r="C454" s="143" t="s">
        <v>797</v>
      </c>
      <c r="D454" s="143" t="s">
        <v>1433</v>
      </c>
      <c r="E454" s="143" t="s">
        <v>1434</v>
      </c>
      <c r="F454" s="143">
        <v>1</v>
      </c>
      <c r="G454" s="143" t="s">
        <v>1326</v>
      </c>
      <c r="H454" s="149">
        <f t="shared" si="65"/>
        <v>1</v>
      </c>
      <c r="I454" s="157">
        <v>11000</v>
      </c>
      <c r="J454" s="159">
        <f t="shared" si="66"/>
        <v>11000</v>
      </c>
      <c r="K454" s="152"/>
      <c r="L454" s="203"/>
    </row>
    <row r="455" spans="1:12" s="141" customFormat="1">
      <c r="A455" s="147">
        <v>3</v>
      </c>
      <c r="B455" s="143" t="s">
        <v>794</v>
      </c>
      <c r="C455" s="143" t="s">
        <v>797</v>
      </c>
      <c r="D455" s="143" t="s">
        <v>1537</v>
      </c>
      <c r="E455" s="143" t="s">
        <v>1540</v>
      </c>
      <c r="F455" s="143">
        <v>1</v>
      </c>
      <c r="G455" s="143" t="s">
        <v>1326</v>
      </c>
      <c r="H455" s="149">
        <f t="shared" si="65"/>
        <v>1</v>
      </c>
      <c r="I455" s="157">
        <v>15000</v>
      </c>
      <c r="J455" s="159">
        <f t="shared" si="66"/>
        <v>15000</v>
      </c>
      <c r="K455" s="152"/>
      <c r="L455" s="203"/>
    </row>
    <row r="456" spans="1:12" s="141" customFormat="1">
      <c r="A456" s="147">
        <v>4</v>
      </c>
      <c r="B456" s="143" t="s">
        <v>794</v>
      </c>
      <c r="C456" s="143" t="s">
        <v>797</v>
      </c>
      <c r="D456" s="143" t="s">
        <v>1431</v>
      </c>
      <c r="E456" s="143" t="s">
        <v>1432</v>
      </c>
      <c r="F456" s="143">
        <v>4</v>
      </c>
      <c r="G456" s="143" t="s">
        <v>1427</v>
      </c>
      <c r="H456" s="149">
        <f t="shared" si="65"/>
        <v>4</v>
      </c>
      <c r="I456" s="157">
        <v>1100</v>
      </c>
      <c r="J456" s="159">
        <f t="shared" si="66"/>
        <v>4400</v>
      </c>
      <c r="K456" s="152"/>
      <c r="L456" s="203"/>
    </row>
    <row r="457" spans="1:12" s="141" customFormat="1">
      <c r="A457" s="147"/>
      <c r="B457" s="187"/>
      <c r="C457" s="187"/>
      <c r="D457" s="200" t="s">
        <v>1551</v>
      </c>
      <c r="E457" s="187" t="s">
        <v>1320</v>
      </c>
      <c r="F457" s="187">
        <v>1</v>
      </c>
      <c r="G457" s="187"/>
      <c r="H457" s="188"/>
      <c r="I457" s="189"/>
      <c r="J457" s="196"/>
      <c r="K457" s="191"/>
      <c r="L457" s="203"/>
    </row>
    <row r="458" spans="1:12" s="141" customFormat="1">
      <c r="A458" s="147">
        <v>1</v>
      </c>
      <c r="B458" s="143" t="s">
        <v>794</v>
      </c>
      <c r="C458" s="143" t="s">
        <v>797</v>
      </c>
      <c r="D458" s="143" t="s">
        <v>1313</v>
      </c>
      <c r="E458" s="143" t="s">
        <v>1369</v>
      </c>
      <c r="F458" s="143">
        <v>2</v>
      </c>
      <c r="G458" s="143" t="s">
        <v>1314</v>
      </c>
      <c r="H458" s="149">
        <f t="shared" ref="H458:H461" si="67">F458*J$4</f>
        <v>2</v>
      </c>
      <c r="I458" s="157">
        <v>90000</v>
      </c>
      <c r="J458" s="159">
        <f t="shared" ref="J458:J461" si="68">H458*I458</f>
        <v>180000</v>
      </c>
      <c r="K458" s="152"/>
      <c r="L458" s="203"/>
    </row>
    <row r="459" spans="1:12" s="141" customFormat="1">
      <c r="A459" s="147">
        <v>2</v>
      </c>
      <c r="B459" s="143" t="s">
        <v>794</v>
      </c>
      <c r="C459" s="143" t="s">
        <v>797</v>
      </c>
      <c r="D459" s="143" t="s">
        <v>1433</v>
      </c>
      <c r="E459" s="143" t="s">
        <v>1434</v>
      </c>
      <c r="F459" s="143">
        <v>1</v>
      </c>
      <c r="G459" s="143" t="s">
        <v>1326</v>
      </c>
      <c r="H459" s="149">
        <f t="shared" si="67"/>
        <v>1</v>
      </c>
      <c r="I459" s="157">
        <v>11000</v>
      </c>
      <c r="J459" s="159">
        <f t="shared" si="68"/>
        <v>11000</v>
      </c>
      <c r="K459" s="152"/>
      <c r="L459" s="203"/>
    </row>
    <row r="460" spans="1:12" s="141" customFormat="1">
      <c r="A460" s="147">
        <v>3</v>
      </c>
      <c r="B460" s="143" t="s">
        <v>794</v>
      </c>
      <c r="C460" s="143" t="s">
        <v>797</v>
      </c>
      <c r="D460" s="143" t="s">
        <v>1537</v>
      </c>
      <c r="E460" s="143" t="s">
        <v>1540</v>
      </c>
      <c r="F460" s="143">
        <v>1</v>
      </c>
      <c r="G460" s="143" t="s">
        <v>1326</v>
      </c>
      <c r="H460" s="149">
        <f t="shared" si="67"/>
        <v>1</v>
      </c>
      <c r="I460" s="157">
        <v>15000</v>
      </c>
      <c r="J460" s="159">
        <f t="shared" si="68"/>
        <v>15000</v>
      </c>
      <c r="K460" s="152"/>
      <c r="L460" s="203"/>
    </row>
    <row r="461" spans="1:12" s="141" customFormat="1">
      <c r="A461" s="147">
        <v>4</v>
      </c>
      <c r="B461" s="143" t="s">
        <v>794</v>
      </c>
      <c r="C461" s="143" t="s">
        <v>797</v>
      </c>
      <c r="D461" s="143" t="s">
        <v>1431</v>
      </c>
      <c r="E461" s="143" t="s">
        <v>1432</v>
      </c>
      <c r="F461" s="143">
        <v>4</v>
      </c>
      <c r="G461" s="143" t="s">
        <v>1427</v>
      </c>
      <c r="H461" s="149">
        <f t="shared" si="67"/>
        <v>4</v>
      </c>
      <c r="I461" s="157">
        <v>1100</v>
      </c>
      <c r="J461" s="159">
        <f t="shared" si="68"/>
        <v>4400</v>
      </c>
      <c r="K461" s="152"/>
      <c r="L461" s="203"/>
    </row>
    <row r="462" spans="1:12" s="141" customFormat="1">
      <c r="A462" s="147"/>
      <c r="B462" s="187"/>
      <c r="C462" s="187"/>
      <c r="D462" s="187" t="s">
        <v>1532</v>
      </c>
      <c r="E462" s="198" t="s">
        <v>1533</v>
      </c>
      <c r="F462" s="187">
        <v>1</v>
      </c>
      <c r="G462" s="187"/>
      <c r="H462" s="188"/>
      <c r="I462" s="199"/>
      <c r="J462" s="196"/>
      <c r="K462" s="191"/>
      <c r="L462" s="203"/>
    </row>
    <row r="463" spans="1:12" s="141" customFormat="1">
      <c r="A463" s="147">
        <v>1</v>
      </c>
      <c r="B463" s="143" t="s">
        <v>794</v>
      </c>
      <c r="C463" s="143" t="s">
        <v>797</v>
      </c>
      <c r="D463" s="143" t="s">
        <v>1531</v>
      </c>
      <c r="E463" s="148" t="s">
        <v>1519</v>
      </c>
      <c r="F463" s="143">
        <v>3</v>
      </c>
      <c r="G463" s="143" t="s">
        <v>1520</v>
      </c>
      <c r="H463" s="149">
        <v>3</v>
      </c>
      <c r="I463" s="157">
        <v>33000</v>
      </c>
      <c r="J463" s="159">
        <f t="shared" ref="J463:J469" si="69">H463*I463</f>
        <v>99000</v>
      </c>
      <c r="K463" s="152"/>
      <c r="L463" s="203"/>
    </row>
    <row r="464" spans="1:12" s="141" customFormat="1">
      <c r="A464" s="147">
        <v>2</v>
      </c>
      <c r="B464" s="143" t="s">
        <v>794</v>
      </c>
      <c r="C464" s="143" t="s">
        <v>797</v>
      </c>
      <c r="D464" s="143" t="s">
        <v>1521</v>
      </c>
      <c r="E464" s="148" t="s">
        <v>1522</v>
      </c>
      <c r="F464" s="143">
        <v>1</v>
      </c>
      <c r="G464" s="143" t="s">
        <v>1520</v>
      </c>
      <c r="H464" s="149">
        <v>1</v>
      </c>
      <c r="I464" s="157">
        <v>23000</v>
      </c>
      <c r="J464" s="159">
        <f t="shared" si="69"/>
        <v>23000</v>
      </c>
      <c r="K464" s="152"/>
      <c r="L464" s="203"/>
    </row>
    <row r="465" spans="1:14" s="141" customFormat="1">
      <c r="A465" s="147">
        <v>3</v>
      </c>
      <c r="B465" s="143" t="s">
        <v>794</v>
      </c>
      <c r="C465" s="143" t="s">
        <v>797</v>
      </c>
      <c r="D465" s="143" t="s">
        <v>1523</v>
      </c>
      <c r="E465" s="148" t="s">
        <v>1524</v>
      </c>
      <c r="F465" s="143">
        <v>4</v>
      </c>
      <c r="G465" s="143" t="s">
        <v>1520</v>
      </c>
      <c r="H465" s="149">
        <v>4</v>
      </c>
      <c r="I465" s="157">
        <v>54000</v>
      </c>
      <c r="J465" s="159">
        <f t="shared" si="69"/>
        <v>216000</v>
      </c>
      <c r="K465" s="152"/>
      <c r="L465" s="203"/>
      <c r="M465" s="206">
        <v>15000000</v>
      </c>
      <c r="N465" s="207" t="s">
        <v>1556</v>
      </c>
    </row>
    <row r="466" spans="1:14" s="141" customFormat="1">
      <c r="A466" s="147">
        <v>4</v>
      </c>
      <c r="B466" s="143" t="s">
        <v>794</v>
      </c>
      <c r="C466" s="143" t="s">
        <v>797</v>
      </c>
      <c r="D466" s="143" t="s">
        <v>1525</v>
      </c>
      <c r="E466" s="148" t="s">
        <v>1526</v>
      </c>
      <c r="F466" s="143">
        <v>3</v>
      </c>
      <c r="G466" s="143" t="s">
        <v>1527</v>
      </c>
      <c r="H466" s="149">
        <v>3</v>
      </c>
      <c r="I466" s="157">
        <v>43000</v>
      </c>
      <c r="J466" s="159">
        <f t="shared" si="69"/>
        <v>129000</v>
      </c>
      <c r="K466" s="152"/>
      <c r="L466" s="203"/>
      <c r="M466" s="154">
        <f>1300000+700000</f>
        <v>2000000</v>
      </c>
      <c r="N466" s="208" t="s">
        <v>1560</v>
      </c>
    </row>
    <row r="467" spans="1:14" s="141" customFormat="1">
      <c r="A467" s="147">
        <v>5</v>
      </c>
      <c r="B467" s="143" t="s">
        <v>794</v>
      </c>
      <c r="C467" s="143" t="s">
        <v>797</v>
      </c>
      <c r="D467" s="143" t="s">
        <v>1528</v>
      </c>
      <c r="E467" s="148" t="s">
        <v>1534</v>
      </c>
      <c r="F467" s="143">
        <v>4</v>
      </c>
      <c r="G467" s="143" t="s">
        <v>1254</v>
      </c>
      <c r="H467" s="149">
        <v>4</v>
      </c>
      <c r="I467" s="157">
        <v>1000</v>
      </c>
      <c r="J467" s="159">
        <f t="shared" si="69"/>
        <v>4000</v>
      </c>
      <c r="K467" s="152"/>
      <c r="L467" s="203"/>
      <c r="M467" s="154">
        <f>L470*7%</f>
        <v>412674.7333333334</v>
      </c>
      <c r="N467" s="208" t="s">
        <v>1557</v>
      </c>
    </row>
    <row r="468" spans="1:14" s="141" customFormat="1">
      <c r="A468" s="147">
        <v>6</v>
      </c>
      <c r="B468" s="143" t="s">
        <v>794</v>
      </c>
      <c r="C468" s="143" t="s">
        <v>797</v>
      </c>
      <c r="D468" s="143" t="s">
        <v>1535</v>
      </c>
      <c r="E468" s="148" t="s">
        <v>1536</v>
      </c>
      <c r="F468" s="143">
        <v>1</v>
      </c>
      <c r="G468" s="143" t="s">
        <v>1254</v>
      </c>
      <c r="H468" s="149">
        <v>1</v>
      </c>
      <c r="I468" s="157">
        <v>3000</v>
      </c>
      <c r="J468" s="159">
        <f t="shared" si="69"/>
        <v>3000</v>
      </c>
      <c r="K468" s="152"/>
      <c r="L468" s="203"/>
      <c r="M468" s="154">
        <f>(L470+M467)*20%</f>
        <v>1261605.6133333335</v>
      </c>
      <c r="N468" s="208" t="s">
        <v>1558</v>
      </c>
    </row>
    <row r="469" spans="1:14" s="141" customFormat="1" ht="23" thickBot="1">
      <c r="A469" s="147">
        <v>7</v>
      </c>
      <c r="B469" s="143" t="s">
        <v>794</v>
      </c>
      <c r="C469" s="143" t="s">
        <v>797</v>
      </c>
      <c r="D469" s="143" t="s">
        <v>1530</v>
      </c>
      <c r="E469" s="148" t="s">
        <v>1409</v>
      </c>
      <c r="F469" s="143">
        <v>12</v>
      </c>
      <c r="G469" s="143" t="s">
        <v>1410</v>
      </c>
      <c r="H469" s="149">
        <v>12</v>
      </c>
      <c r="I469" s="157">
        <v>1300</v>
      </c>
      <c r="J469" s="159">
        <f t="shared" si="69"/>
        <v>15600</v>
      </c>
      <c r="K469" s="152"/>
      <c r="L469" s="203"/>
      <c r="M469" s="154">
        <f>(L470+M467+M468)*25%</f>
        <v>1892408.4200000002</v>
      </c>
      <c r="N469" s="208" t="s">
        <v>1559</v>
      </c>
    </row>
    <row r="470" spans="1:14" s="141" customFormat="1" ht="23" thickBot="1">
      <c r="A470" s="160">
        <v>8</v>
      </c>
      <c r="B470" s="193" t="s">
        <v>794</v>
      </c>
      <c r="C470" s="193" t="s">
        <v>797</v>
      </c>
      <c r="D470" s="193" t="s">
        <v>1290</v>
      </c>
      <c r="E470" s="193"/>
      <c r="F470" s="193">
        <v>1</v>
      </c>
      <c r="G470" s="193"/>
      <c r="H470" s="194">
        <f>J10*F470</f>
        <v>1</v>
      </c>
      <c r="I470" s="227">
        <v>1427050</v>
      </c>
      <c r="J470" s="226">
        <f>H470*I470</f>
        <v>1427050</v>
      </c>
      <c r="K470" s="195"/>
      <c r="L470" s="204">
        <f>SUM(J401:J437)+SUM(J439:J444)</f>
        <v>5895353.333333334</v>
      </c>
      <c r="M470" s="209">
        <f>L470+M466+M467+M468+M469</f>
        <v>11462042.100000001</v>
      </c>
      <c r="N470" s="141" t="s">
        <v>1307</v>
      </c>
    </row>
    <row r="471" spans="1:14" ht="5.25" customHeight="1" thickBot="1"/>
    <row r="472" spans="1:14" s="141" customFormat="1" ht="23" thickBot="1">
      <c r="A472" s="137" t="s">
        <v>80</v>
      </c>
      <c r="B472" s="138" t="s">
        <v>1276</v>
      </c>
      <c r="C472" s="138" t="s">
        <v>1277</v>
      </c>
      <c r="D472" s="138" t="s">
        <v>1278</v>
      </c>
      <c r="E472" s="138" t="s">
        <v>1279</v>
      </c>
      <c r="F472" s="138" t="s">
        <v>1280</v>
      </c>
      <c r="G472" s="138" t="s">
        <v>1281</v>
      </c>
      <c r="H472" s="138" t="s">
        <v>1282</v>
      </c>
      <c r="I472" s="139" t="s">
        <v>1283</v>
      </c>
      <c r="J472" s="138" t="s">
        <v>1030</v>
      </c>
      <c r="K472" s="140" t="s">
        <v>1031</v>
      </c>
      <c r="L472" s="203"/>
    </row>
    <row r="473" spans="1:14" s="141" customFormat="1">
      <c r="A473" s="142">
        <v>1</v>
      </c>
      <c r="B473" s="144" t="s">
        <v>799</v>
      </c>
      <c r="C473" s="144" t="s">
        <v>782</v>
      </c>
      <c r="D473" s="144" t="s">
        <v>1284</v>
      </c>
      <c r="E473" s="144" t="s">
        <v>1361</v>
      </c>
      <c r="F473" s="144">
        <v>1</v>
      </c>
      <c r="G473" s="145" t="s">
        <v>1285</v>
      </c>
      <c r="H473" s="145">
        <f>F473*J$4</f>
        <v>1</v>
      </c>
      <c r="I473" s="156">
        <v>943690</v>
      </c>
      <c r="J473" s="158">
        <f>H473*I473</f>
        <v>943690</v>
      </c>
      <c r="K473" s="146"/>
      <c r="L473" s="203"/>
    </row>
    <row r="474" spans="1:14" s="141" customFormat="1">
      <c r="A474" s="147">
        <v>2</v>
      </c>
      <c r="B474" s="143" t="s">
        <v>798</v>
      </c>
      <c r="C474" s="143" t="s">
        <v>802</v>
      </c>
      <c r="D474" s="143" t="s">
        <v>1284</v>
      </c>
      <c r="E474" s="148" t="s">
        <v>1362</v>
      </c>
      <c r="F474" s="143">
        <v>1</v>
      </c>
      <c r="G474" s="149" t="s">
        <v>1194</v>
      </c>
      <c r="H474" s="149">
        <f>F474*J$4</f>
        <v>1</v>
      </c>
      <c r="I474" s="157">
        <v>784030</v>
      </c>
      <c r="J474" s="159">
        <f>H474*I474</f>
        <v>784030</v>
      </c>
      <c r="K474" s="152"/>
      <c r="L474" s="203"/>
    </row>
    <row r="475" spans="1:14" s="141" customFormat="1">
      <c r="A475" s="147">
        <v>3</v>
      </c>
      <c r="B475" s="143" t="s">
        <v>798</v>
      </c>
      <c r="C475" s="143" t="s">
        <v>802</v>
      </c>
      <c r="D475" s="143" t="s">
        <v>1284</v>
      </c>
      <c r="E475" s="148" t="s">
        <v>1363</v>
      </c>
      <c r="F475" s="143">
        <v>1</v>
      </c>
      <c r="G475" s="149" t="s">
        <v>1194</v>
      </c>
      <c r="H475" s="149">
        <f>F475*J$4</f>
        <v>1</v>
      </c>
      <c r="I475" s="157">
        <v>634960</v>
      </c>
      <c r="J475" s="159">
        <f>H475*I475</f>
        <v>634960</v>
      </c>
      <c r="K475" s="152"/>
      <c r="L475" s="203"/>
    </row>
    <row r="476" spans="1:14" s="141" customFormat="1">
      <c r="A476" s="147">
        <v>4</v>
      </c>
      <c r="B476" s="143" t="s">
        <v>798</v>
      </c>
      <c r="C476" s="143" t="s">
        <v>802</v>
      </c>
      <c r="D476" s="143" t="s">
        <v>1284</v>
      </c>
      <c r="E476" s="148" t="s">
        <v>1364</v>
      </c>
      <c r="F476" s="143">
        <v>1</v>
      </c>
      <c r="G476" s="149" t="s">
        <v>1194</v>
      </c>
      <c r="H476" s="149">
        <f>F476*J$4</f>
        <v>1</v>
      </c>
      <c r="I476" s="157">
        <f>384160</f>
        <v>384160</v>
      </c>
      <c r="J476" s="159">
        <f>H476*I476</f>
        <v>384160</v>
      </c>
      <c r="K476" s="152"/>
      <c r="L476" s="203"/>
    </row>
    <row r="477" spans="1:14" s="141" customFormat="1">
      <c r="A477" s="147">
        <v>5</v>
      </c>
      <c r="B477" s="143" t="s">
        <v>798</v>
      </c>
      <c r="C477" s="143" t="s">
        <v>802</v>
      </c>
      <c r="D477" s="143" t="s">
        <v>1286</v>
      </c>
      <c r="E477" s="148" t="s">
        <v>1470</v>
      </c>
      <c r="F477" s="143">
        <v>1</v>
      </c>
      <c r="G477" s="143" t="s">
        <v>1287</v>
      </c>
      <c r="H477" s="149">
        <f t="shared" ref="H477:H493" si="70">F477*J$4</f>
        <v>1</v>
      </c>
      <c r="I477" s="157">
        <v>370000</v>
      </c>
      <c r="J477" s="159">
        <f t="shared" ref="J477:J541" si="71">H477*I477</f>
        <v>370000</v>
      </c>
      <c r="K477" s="152"/>
      <c r="L477" s="203"/>
    </row>
    <row r="478" spans="1:14" s="141" customFormat="1">
      <c r="A478" s="147">
        <v>6</v>
      </c>
      <c r="B478" s="143" t="s">
        <v>798</v>
      </c>
      <c r="C478" s="143" t="s">
        <v>802</v>
      </c>
      <c r="D478" s="143" t="s">
        <v>1288</v>
      </c>
      <c r="E478" s="148" t="s">
        <v>1397</v>
      </c>
      <c r="F478" s="143">
        <v>12</v>
      </c>
      <c r="G478" s="143" t="s">
        <v>1287</v>
      </c>
      <c r="H478" s="149">
        <f t="shared" si="70"/>
        <v>12</v>
      </c>
      <c r="I478" s="157">
        <v>5300</v>
      </c>
      <c r="J478" s="159">
        <f t="shared" si="71"/>
        <v>63600</v>
      </c>
      <c r="K478" s="152"/>
      <c r="L478" s="203"/>
    </row>
    <row r="479" spans="1:14" s="141" customFormat="1">
      <c r="A479" s="147">
        <v>7</v>
      </c>
      <c r="B479" s="143" t="s">
        <v>798</v>
      </c>
      <c r="C479" s="143" t="s">
        <v>802</v>
      </c>
      <c r="D479" s="143" t="s">
        <v>1286</v>
      </c>
      <c r="E479" s="148" t="s">
        <v>1471</v>
      </c>
      <c r="F479" s="143">
        <v>1</v>
      </c>
      <c r="G479" s="143" t="s">
        <v>1287</v>
      </c>
      <c r="H479" s="149">
        <f t="shared" si="70"/>
        <v>1</v>
      </c>
      <c r="I479" s="157">
        <v>360000</v>
      </c>
      <c r="J479" s="159">
        <f t="shared" si="71"/>
        <v>360000</v>
      </c>
      <c r="K479" s="152"/>
      <c r="L479" s="203"/>
    </row>
    <row r="480" spans="1:14" s="141" customFormat="1">
      <c r="A480" s="147">
        <v>8</v>
      </c>
      <c r="B480" s="143" t="s">
        <v>798</v>
      </c>
      <c r="C480" s="143" t="s">
        <v>802</v>
      </c>
      <c r="D480" s="143" t="s">
        <v>1288</v>
      </c>
      <c r="E480" s="148" t="s">
        <v>1398</v>
      </c>
      <c r="F480" s="143">
        <v>8</v>
      </c>
      <c r="G480" s="143" t="s">
        <v>1287</v>
      </c>
      <c r="H480" s="149">
        <f t="shared" si="70"/>
        <v>8</v>
      </c>
      <c r="I480" s="157">
        <v>2200</v>
      </c>
      <c r="J480" s="159">
        <f t="shared" si="71"/>
        <v>17600</v>
      </c>
      <c r="K480" s="152"/>
      <c r="L480" s="203"/>
    </row>
    <row r="481" spans="1:12" s="141" customFormat="1">
      <c r="A481" s="147">
        <v>9</v>
      </c>
      <c r="B481" s="143" t="s">
        <v>798</v>
      </c>
      <c r="C481" s="143" t="s">
        <v>802</v>
      </c>
      <c r="D481" s="143" t="s">
        <v>1286</v>
      </c>
      <c r="E481" s="148" t="s">
        <v>1472</v>
      </c>
      <c r="F481" s="143">
        <v>1</v>
      </c>
      <c r="G481" s="143" t="s">
        <v>1287</v>
      </c>
      <c r="H481" s="149">
        <f t="shared" si="70"/>
        <v>1</v>
      </c>
      <c r="I481" s="157">
        <v>360000</v>
      </c>
      <c r="J481" s="159">
        <f t="shared" si="71"/>
        <v>360000</v>
      </c>
      <c r="K481" s="152"/>
      <c r="L481" s="203"/>
    </row>
    <row r="482" spans="1:12" s="141" customFormat="1">
      <c r="A482" s="147">
        <v>10</v>
      </c>
      <c r="B482" s="143" t="s">
        <v>798</v>
      </c>
      <c r="C482" s="143" t="s">
        <v>802</v>
      </c>
      <c r="D482" s="143" t="s">
        <v>1288</v>
      </c>
      <c r="E482" s="148" t="s">
        <v>1395</v>
      </c>
      <c r="F482" s="143">
        <v>8</v>
      </c>
      <c r="G482" s="143" t="s">
        <v>1287</v>
      </c>
      <c r="H482" s="149">
        <f t="shared" si="70"/>
        <v>8</v>
      </c>
      <c r="I482" s="157">
        <v>3200</v>
      </c>
      <c r="J482" s="159">
        <f t="shared" si="71"/>
        <v>25600</v>
      </c>
      <c r="K482" s="152"/>
      <c r="L482" s="203"/>
    </row>
    <row r="483" spans="1:12" s="141" customFormat="1">
      <c r="A483" s="147">
        <v>11</v>
      </c>
      <c r="B483" s="143" t="s">
        <v>798</v>
      </c>
      <c r="C483" s="143" t="s">
        <v>802</v>
      </c>
      <c r="D483" s="143" t="s">
        <v>1286</v>
      </c>
      <c r="E483" s="148" t="s">
        <v>1473</v>
      </c>
      <c r="F483" s="143">
        <v>1</v>
      </c>
      <c r="G483" s="143" t="s">
        <v>1287</v>
      </c>
      <c r="H483" s="149">
        <f t="shared" si="70"/>
        <v>1</v>
      </c>
      <c r="I483" s="157">
        <v>340000</v>
      </c>
      <c r="J483" s="159">
        <f t="shared" si="71"/>
        <v>340000</v>
      </c>
      <c r="K483" s="152"/>
      <c r="L483" s="203"/>
    </row>
    <row r="484" spans="1:12" s="141" customFormat="1">
      <c r="A484" s="147">
        <v>12</v>
      </c>
      <c r="B484" s="143" t="s">
        <v>798</v>
      </c>
      <c r="C484" s="143" t="s">
        <v>802</v>
      </c>
      <c r="D484" s="143" t="s">
        <v>1288</v>
      </c>
      <c r="E484" s="148" t="s">
        <v>1296</v>
      </c>
      <c r="F484" s="143">
        <v>8</v>
      </c>
      <c r="G484" s="143" t="s">
        <v>1287</v>
      </c>
      <c r="H484" s="149">
        <f t="shared" si="70"/>
        <v>8</v>
      </c>
      <c r="I484" s="157">
        <v>1000</v>
      </c>
      <c r="J484" s="159">
        <f t="shared" si="71"/>
        <v>8000</v>
      </c>
      <c r="K484" s="152"/>
      <c r="L484" s="203"/>
    </row>
    <row r="485" spans="1:12" s="141" customFormat="1">
      <c r="A485" s="147">
        <v>13</v>
      </c>
      <c r="B485" s="143" t="s">
        <v>798</v>
      </c>
      <c r="C485" s="143" t="s">
        <v>802</v>
      </c>
      <c r="D485" s="143" t="s">
        <v>1286</v>
      </c>
      <c r="E485" s="148" t="s">
        <v>1474</v>
      </c>
      <c r="F485" s="143">
        <v>1</v>
      </c>
      <c r="G485" s="143" t="s">
        <v>1287</v>
      </c>
      <c r="H485" s="149">
        <f t="shared" si="70"/>
        <v>1</v>
      </c>
      <c r="I485" s="157">
        <v>340000</v>
      </c>
      <c r="J485" s="159">
        <f t="shared" si="71"/>
        <v>340000</v>
      </c>
      <c r="K485" s="152"/>
      <c r="L485" s="203"/>
    </row>
    <row r="486" spans="1:12" s="141" customFormat="1">
      <c r="A486" s="147">
        <v>14</v>
      </c>
      <c r="B486" s="143" t="s">
        <v>798</v>
      </c>
      <c r="C486" s="143" t="s">
        <v>802</v>
      </c>
      <c r="D486" s="143" t="s">
        <v>1288</v>
      </c>
      <c r="E486" s="148" t="s">
        <v>1399</v>
      </c>
      <c r="F486" s="143">
        <v>8</v>
      </c>
      <c r="G486" s="143" t="s">
        <v>1287</v>
      </c>
      <c r="H486" s="149">
        <f t="shared" si="70"/>
        <v>8</v>
      </c>
      <c r="I486" s="157">
        <v>1900</v>
      </c>
      <c r="J486" s="159">
        <f t="shared" si="71"/>
        <v>15200</v>
      </c>
      <c r="K486" s="152"/>
      <c r="L486" s="203"/>
    </row>
    <row r="487" spans="1:12" s="141" customFormat="1">
      <c r="A487" s="147">
        <v>15</v>
      </c>
      <c r="B487" s="143" t="s">
        <v>798</v>
      </c>
      <c r="C487" s="143" t="s">
        <v>802</v>
      </c>
      <c r="D487" s="143" t="s">
        <v>1286</v>
      </c>
      <c r="E487" s="148" t="s">
        <v>1475</v>
      </c>
      <c r="F487" s="143">
        <v>1</v>
      </c>
      <c r="G487" s="143" t="s">
        <v>1287</v>
      </c>
      <c r="H487" s="149">
        <f t="shared" si="70"/>
        <v>1</v>
      </c>
      <c r="I487" s="157">
        <v>163000</v>
      </c>
      <c r="J487" s="159">
        <f t="shared" si="71"/>
        <v>163000</v>
      </c>
      <c r="K487" s="152"/>
      <c r="L487" s="203"/>
    </row>
    <row r="488" spans="1:12" s="141" customFormat="1">
      <c r="A488" s="147">
        <v>16</v>
      </c>
      <c r="B488" s="143" t="s">
        <v>798</v>
      </c>
      <c r="C488" s="143" t="s">
        <v>802</v>
      </c>
      <c r="D488" s="143" t="s">
        <v>1288</v>
      </c>
      <c r="E488" s="148" t="s">
        <v>1296</v>
      </c>
      <c r="F488" s="143">
        <v>8</v>
      </c>
      <c r="G488" s="143" t="s">
        <v>1287</v>
      </c>
      <c r="H488" s="149">
        <f t="shared" si="70"/>
        <v>8</v>
      </c>
      <c r="I488" s="157">
        <v>1000</v>
      </c>
      <c r="J488" s="159">
        <f t="shared" si="71"/>
        <v>8000</v>
      </c>
      <c r="K488" s="152"/>
      <c r="L488" s="203"/>
    </row>
    <row r="489" spans="1:12" s="141" customFormat="1">
      <c r="A489" s="147">
        <v>17</v>
      </c>
      <c r="B489" s="143" t="s">
        <v>798</v>
      </c>
      <c r="C489" s="143" t="s">
        <v>802</v>
      </c>
      <c r="D489" s="143" t="s">
        <v>1286</v>
      </c>
      <c r="E489" s="148" t="s">
        <v>1476</v>
      </c>
      <c r="F489" s="143">
        <v>1</v>
      </c>
      <c r="G489" s="143" t="s">
        <v>1287</v>
      </c>
      <c r="H489" s="149">
        <f t="shared" si="70"/>
        <v>1</v>
      </c>
      <c r="I489" s="157">
        <v>163000</v>
      </c>
      <c r="J489" s="159">
        <f t="shared" si="71"/>
        <v>163000</v>
      </c>
      <c r="K489" s="152"/>
      <c r="L489" s="203"/>
    </row>
    <row r="490" spans="1:12" s="141" customFormat="1">
      <c r="A490" s="147">
        <v>18</v>
      </c>
      <c r="B490" s="143" t="s">
        <v>798</v>
      </c>
      <c r="C490" s="143" t="s">
        <v>802</v>
      </c>
      <c r="D490" s="143" t="s">
        <v>1288</v>
      </c>
      <c r="E490" s="148" t="s">
        <v>1396</v>
      </c>
      <c r="F490" s="143">
        <v>8</v>
      </c>
      <c r="G490" s="143" t="s">
        <v>1287</v>
      </c>
      <c r="H490" s="149">
        <f t="shared" si="70"/>
        <v>8</v>
      </c>
      <c r="I490" s="157">
        <v>1500</v>
      </c>
      <c r="J490" s="159">
        <f t="shared" si="71"/>
        <v>12000</v>
      </c>
      <c r="K490" s="152"/>
      <c r="L490" s="203"/>
    </row>
    <row r="491" spans="1:12" s="141" customFormat="1">
      <c r="A491" s="147">
        <v>19</v>
      </c>
      <c r="B491" s="143" t="s">
        <v>798</v>
      </c>
      <c r="C491" s="143" t="s">
        <v>802</v>
      </c>
      <c r="D491" s="143" t="s">
        <v>1291</v>
      </c>
      <c r="E491" s="148" t="s">
        <v>1381</v>
      </c>
      <c r="F491" s="143">
        <v>1</v>
      </c>
      <c r="G491" s="143" t="s">
        <v>1287</v>
      </c>
      <c r="H491" s="149">
        <f t="shared" si="70"/>
        <v>1</v>
      </c>
      <c r="I491" s="157">
        <v>60000</v>
      </c>
      <c r="J491" s="159">
        <f t="shared" si="71"/>
        <v>60000</v>
      </c>
      <c r="K491" s="152"/>
      <c r="L491" s="203"/>
    </row>
    <row r="492" spans="1:12" s="141" customFormat="1">
      <c r="A492" s="147">
        <v>20</v>
      </c>
      <c r="B492" s="143" t="s">
        <v>798</v>
      </c>
      <c r="C492" s="143" t="s">
        <v>802</v>
      </c>
      <c r="D492" s="143" t="s">
        <v>1291</v>
      </c>
      <c r="E492" s="148" t="s">
        <v>1382</v>
      </c>
      <c r="F492" s="143">
        <v>1</v>
      </c>
      <c r="G492" s="143" t="s">
        <v>1287</v>
      </c>
      <c r="H492" s="149">
        <f t="shared" si="70"/>
        <v>1</v>
      </c>
      <c r="I492" s="157">
        <v>62000</v>
      </c>
      <c r="J492" s="159">
        <f t="shared" si="71"/>
        <v>62000</v>
      </c>
      <c r="K492" s="152"/>
      <c r="L492" s="203"/>
    </row>
    <row r="493" spans="1:12" s="141" customFormat="1">
      <c r="A493" s="147">
        <v>21</v>
      </c>
      <c r="B493" s="143" t="s">
        <v>798</v>
      </c>
      <c r="C493" s="143" t="s">
        <v>802</v>
      </c>
      <c r="D493" s="143" t="s">
        <v>1288</v>
      </c>
      <c r="E493" s="148" t="s">
        <v>1374</v>
      </c>
      <c r="F493" s="143">
        <v>8</v>
      </c>
      <c r="G493" s="143" t="s">
        <v>1287</v>
      </c>
      <c r="H493" s="149">
        <f t="shared" si="70"/>
        <v>8</v>
      </c>
      <c r="I493" s="157">
        <v>1600</v>
      </c>
      <c r="J493" s="159">
        <f t="shared" si="71"/>
        <v>12800</v>
      </c>
      <c r="K493" s="152"/>
      <c r="L493" s="203"/>
    </row>
    <row r="494" spans="1:12" s="141" customFormat="1">
      <c r="A494" s="147">
        <v>22</v>
      </c>
      <c r="B494" s="143" t="s">
        <v>798</v>
      </c>
      <c r="C494" s="143" t="s">
        <v>802</v>
      </c>
      <c r="D494" s="143" t="s">
        <v>1487</v>
      </c>
      <c r="E494" s="148" t="s">
        <v>1488</v>
      </c>
      <c r="F494" s="143">
        <v>1</v>
      </c>
      <c r="G494" s="143" t="s">
        <v>1254</v>
      </c>
      <c r="H494" s="149">
        <v>1</v>
      </c>
      <c r="I494" s="157">
        <v>2500</v>
      </c>
      <c r="J494" s="159">
        <f t="shared" si="71"/>
        <v>2500</v>
      </c>
      <c r="K494" s="152"/>
      <c r="L494" s="203"/>
    </row>
    <row r="495" spans="1:12" s="141" customFormat="1">
      <c r="A495" s="147">
        <v>23</v>
      </c>
      <c r="B495" s="143" t="s">
        <v>798</v>
      </c>
      <c r="C495" s="143" t="s">
        <v>802</v>
      </c>
      <c r="D495" s="143" t="s">
        <v>1489</v>
      </c>
      <c r="E495" s="148" t="s">
        <v>1490</v>
      </c>
      <c r="F495" s="143">
        <v>1</v>
      </c>
      <c r="G495" s="143" t="s">
        <v>1491</v>
      </c>
      <c r="H495" s="149">
        <v>1</v>
      </c>
      <c r="I495" s="157">
        <v>2400</v>
      </c>
      <c r="J495" s="159">
        <f t="shared" si="71"/>
        <v>2400</v>
      </c>
      <c r="K495" s="152"/>
      <c r="L495" s="203"/>
    </row>
    <row r="496" spans="1:12" s="141" customFormat="1">
      <c r="A496" s="147">
        <v>24</v>
      </c>
      <c r="B496" s="143" t="s">
        <v>798</v>
      </c>
      <c r="C496" s="143" t="s">
        <v>802</v>
      </c>
      <c r="D496" s="143" t="s">
        <v>1492</v>
      </c>
      <c r="E496" s="148" t="s">
        <v>1493</v>
      </c>
      <c r="F496" s="143">
        <v>1</v>
      </c>
      <c r="G496" s="143" t="s">
        <v>643</v>
      </c>
      <c r="H496" s="149">
        <v>1</v>
      </c>
      <c r="I496" s="157">
        <v>1250</v>
      </c>
      <c r="J496" s="159">
        <f t="shared" si="71"/>
        <v>1250</v>
      </c>
      <c r="K496" s="152"/>
      <c r="L496" s="203"/>
    </row>
    <row r="497" spans="1:12" s="141" customFormat="1">
      <c r="A497" s="147">
        <v>25</v>
      </c>
      <c r="B497" s="143" t="s">
        <v>798</v>
      </c>
      <c r="C497" s="143" t="s">
        <v>802</v>
      </c>
      <c r="D497" s="143" t="s">
        <v>1494</v>
      </c>
      <c r="E497" s="148" t="s">
        <v>1495</v>
      </c>
      <c r="F497" s="143">
        <v>50</v>
      </c>
      <c r="G497" s="143" t="s">
        <v>1254</v>
      </c>
      <c r="H497" s="149">
        <v>50</v>
      </c>
      <c r="I497" s="157">
        <v>3600</v>
      </c>
      <c r="J497" s="159">
        <f t="shared" si="71"/>
        <v>180000</v>
      </c>
      <c r="K497" s="152"/>
      <c r="L497" s="203"/>
    </row>
    <row r="498" spans="1:12" s="141" customFormat="1">
      <c r="A498" s="147">
        <v>26</v>
      </c>
      <c r="B498" s="143" t="s">
        <v>798</v>
      </c>
      <c r="C498" s="143" t="s">
        <v>802</v>
      </c>
      <c r="D498" s="143" t="s">
        <v>1496</v>
      </c>
      <c r="E498" s="148" t="s">
        <v>1497</v>
      </c>
      <c r="F498" s="143">
        <v>1</v>
      </c>
      <c r="G498" s="143" t="s">
        <v>1498</v>
      </c>
      <c r="H498" s="149">
        <v>1</v>
      </c>
      <c r="I498" s="157">
        <v>24500</v>
      </c>
      <c r="J498" s="159">
        <f t="shared" si="71"/>
        <v>24500</v>
      </c>
      <c r="K498" s="152"/>
      <c r="L498" s="203"/>
    </row>
    <row r="499" spans="1:12" s="141" customFormat="1">
      <c r="A499" s="147">
        <v>27</v>
      </c>
      <c r="B499" s="143" t="s">
        <v>798</v>
      </c>
      <c r="C499" s="143" t="s">
        <v>802</v>
      </c>
      <c r="D499" s="143" t="s">
        <v>1499</v>
      </c>
      <c r="E499" s="148" t="s">
        <v>1500</v>
      </c>
      <c r="F499" s="143">
        <v>1</v>
      </c>
      <c r="G499" s="143" t="s">
        <v>1254</v>
      </c>
      <c r="H499" s="149">
        <v>1</v>
      </c>
      <c r="I499" s="157">
        <v>6500</v>
      </c>
      <c r="J499" s="159">
        <f t="shared" si="71"/>
        <v>6500</v>
      </c>
      <c r="K499" s="152"/>
      <c r="L499" s="203"/>
    </row>
    <row r="500" spans="1:12" s="141" customFormat="1">
      <c r="A500" s="147">
        <v>28</v>
      </c>
      <c r="B500" s="143" t="s">
        <v>798</v>
      </c>
      <c r="C500" s="143" t="s">
        <v>802</v>
      </c>
      <c r="D500" s="143" t="s">
        <v>1501</v>
      </c>
      <c r="E500" s="148" t="s">
        <v>1502</v>
      </c>
      <c r="F500" s="143">
        <v>1</v>
      </c>
      <c r="G500" s="143" t="s">
        <v>1254</v>
      </c>
      <c r="H500" s="149">
        <v>1</v>
      </c>
      <c r="I500" s="157">
        <v>8000</v>
      </c>
      <c r="J500" s="159">
        <f t="shared" si="71"/>
        <v>8000</v>
      </c>
      <c r="K500" s="152"/>
      <c r="L500" s="203"/>
    </row>
    <row r="501" spans="1:12" s="141" customFormat="1">
      <c r="A501" s="147">
        <v>29</v>
      </c>
      <c r="B501" s="143" t="s">
        <v>798</v>
      </c>
      <c r="C501" s="143" t="s">
        <v>802</v>
      </c>
      <c r="D501" s="143" t="s">
        <v>1503</v>
      </c>
      <c r="E501" s="148" t="s">
        <v>1504</v>
      </c>
      <c r="F501" s="143">
        <v>1</v>
      </c>
      <c r="G501" s="143" t="s">
        <v>1505</v>
      </c>
      <c r="H501" s="149">
        <v>1</v>
      </c>
      <c r="I501" s="157">
        <v>2500</v>
      </c>
      <c r="J501" s="159">
        <f t="shared" si="71"/>
        <v>2500</v>
      </c>
      <c r="K501" s="152"/>
      <c r="L501" s="203"/>
    </row>
    <row r="502" spans="1:12" s="141" customFormat="1">
      <c r="A502" s="147">
        <v>30</v>
      </c>
      <c r="B502" s="143" t="s">
        <v>798</v>
      </c>
      <c r="C502" s="143" t="s">
        <v>802</v>
      </c>
      <c r="D502" s="143" t="s">
        <v>1414</v>
      </c>
      <c r="E502" s="148" t="s">
        <v>1506</v>
      </c>
      <c r="F502" s="143">
        <v>2</v>
      </c>
      <c r="G502" s="143" t="s">
        <v>1254</v>
      </c>
      <c r="H502" s="149">
        <v>2</v>
      </c>
      <c r="I502" s="157">
        <v>5500</v>
      </c>
      <c r="J502" s="159">
        <f t="shared" si="71"/>
        <v>11000</v>
      </c>
      <c r="K502" s="152"/>
      <c r="L502" s="203"/>
    </row>
    <row r="503" spans="1:12" s="141" customFormat="1">
      <c r="A503" s="147">
        <v>31</v>
      </c>
      <c r="B503" s="143" t="s">
        <v>798</v>
      </c>
      <c r="C503" s="143" t="s">
        <v>802</v>
      </c>
      <c r="D503" s="143" t="s">
        <v>1507</v>
      </c>
      <c r="E503" s="148" t="s">
        <v>1508</v>
      </c>
      <c r="F503" s="143">
        <v>1</v>
      </c>
      <c r="G503" s="143" t="s">
        <v>1505</v>
      </c>
      <c r="H503" s="149">
        <v>1</v>
      </c>
      <c r="I503" s="157">
        <v>15000</v>
      </c>
      <c r="J503" s="159">
        <f t="shared" si="71"/>
        <v>15000</v>
      </c>
      <c r="K503" s="152"/>
      <c r="L503" s="203"/>
    </row>
    <row r="504" spans="1:12" s="141" customFormat="1">
      <c r="A504" s="147">
        <v>32</v>
      </c>
      <c r="B504" s="143" t="s">
        <v>798</v>
      </c>
      <c r="C504" s="143" t="s">
        <v>802</v>
      </c>
      <c r="D504" s="143" t="s">
        <v>1509</v>
      </c>
      <c r="E504" s="148" t="s">
        <v>1510</v>
      </c>
      <c r="F504" s="143">
        <v>1</v>
      </c>
      <c r="G504" s="143" t="s">
        <v>1254</v>
      </c>
      <c r="H504" s="149">
        <v>1</v>
      </c>
      <c r="I504" s="157">
        <v>2500</v>
      </c>
      <c r="J504" s="159">
        <f t="shared" si="71"/>
        <v>2500</v>
      </c>
      <c r="K504" s="152"/>
      <c r="L504" s="203"/>
    </row>
    <row r="505" spans="1:12" s="141" customFormat="1">
      <c r="A505" s="147">
        <v>33</v>
      </c>
      <c r="B505" s="143" t="s">
        <v>798</v>
      </c>
      <c r="C505" s="143" t="s">
        <v>802</v>
      </c>
      <c r="D505" s="143" t="s">
        <v>1511</v>
      </c>
      <c r="E505" s="148" t="s">
        <v>1512</v>
      </c>
      <c r="F505" s="143">
        <v>6</v>
      </c>
      <c r="G505" s="143" t="s">
        <v>1254</v>
      </c>
      <c r="H505" s="149">
        <v>6</v>
      </c>
      <c r="I505" s="157">
        <v>7500</v>
      </c>
      <c r="J505" s="159">
        <f t="shared" si="71"/>
        <v>45000</v>
      </c>
      <c r="K505" s="152"/>
      <c r="L505" s="203"/>
    </row>
    <row r="506" spans="1:12" s="141" customFormat="1">
      <c r="A506" s="147">
        <v>34</v>
      </c>
      <c r="B506" s="143" t="s">
        <v>798</v>
      </c>
      <c r="C506" s="143" t="s">
        <v>802</v>
      </c>
      <c r="D506" s="143" t="s">
        <v>1513</v>
      </c>
      <c r="E506" s="148" t="s">
        <v>1514</v>
      </c>
      <c r="F506" s="143">
        <v>1</v>
      </c>
      <c r="G506" s="143" t="s">
        <v>1254</v>
      </c>
      <c r="H506" s="149">
        <v>1</v>
      </c>
      <c r="I506" s="157">
        <v>5500</v>
      </c>
      <c r="J506" s="159">
        <f t="shared" si="71"/>
        <v>5500</v>
      </c>
      <c r="K506" s="152"/>
      <c r="L506" s="203"/>
    </row>
    <row r="507" spans="1:12" s="141" customFormat="1">
      <c r="A507" s="147">
        <v>35</v>
      </c>
      <c r="B507" s="143" t="s">
        <v>798</v>
      </c>
      <c r="C507" s="143" t="s">
        <v>802</v>
      </c>
      <c r="D507" s="143" t="s">
        <v>1515</v>
      </c>
      <c r="E507" s="148" t="s">
        <v>1486</v>
      </c>
      <c r="F507" s="143">
        <v>1</v>
      </c>
      <c r="G507" s="143" t="s">
        <v>1410</v>
      </c>
      <c r="H507" s="149">
        <v>1</v>
      </c>
      <c r="I507" s="157">
        <v>1500</v>
      </c>
      <c r="J507" s="159">
        <f t="shared" si="71"/>
        <v>1500</v>
      </c>
      <c r="K507" s="152"/>
      <c r="L507" s="203"/>
    </row>
    <row r="508" spans="1:12" s="141" customFormat="1">
      <c r="A508" s="147">
        <v>36</v>
      </c>
      <c r="B508" s="143" t="s">
        <v>798</v>
      </c>
      <c r="C508" s="143" t="s">
        <v>802</v>
      </c>
      <c r="D508" s="143" t="s">
        <v>1516</v>
      </c>
      <c r="E508" s="148" t="s">
        <v>1517</v>
      </c>
      <c r="F508" s="143">
        <v>1</v>
      </c>
      <c r="G508" s="143" t="s">
        <v>1410</v>
      </c>
      <c r="H508" s="149">
        <v>1</v>
      </c>
      <c r="I508" s="157">
        <v>240000</v>
      </c>
      <c r="J508" s="159">
        <f t="shared" si="71"/>
        <v>240000</v>
      </c>
      <c r="K508" s="152"/>
      <c r="L508" s="203"/>
    </row>
    <row r="509" spans="1:12" s="141" customFormat="1">
      <c r="A509" s="147">
        <v>37</v>
      </c>
      <c r="B509" s="143" t="s">
        <v>798</v>
      </c>
      <c r="C509" s="143" t="s">
        <v>802</v>
      </c>
      <c r="D509" s="143" t="s">
        <v>1485</v>
      </c>
      <c r="E509" s="148" t="s">
        <v>1541</v>
      </c>
      <c r="F509" s="143">
        <v>38</v>
      </c>
      <c r="G509" s="143" t="s">
        <v>1410</v>
      </c>
      <c r="H509" s="149">
        <v>38</v>
      </c>
      <c r="I509" s="157">
        <v>900</v>
      </c>
      <c r="J509" s="159">
        <f t="shared" si="71"/>
        <v>34200</v>
      </c>
      <c r="K509" s="152"/>
      <c r="L509" s="203"/>
    </row>
    <row r="510" spans="1:12" s="141" customFormat="1">
      <c r="A510" s="147"/>
      <c r="B510" s="187"/>
      <c r="C510" s="187"/>
      <c r="D510" s="201" t="s">
        <v>1552</v>
      </c>
      <c r="E510" s="202" t="s">
        <v>1554</v>
      </c>
      <c r="F510" s="187">
        <v>1</v>
      </c>
      <c r="G510" s="187"/>
      <c r="H510" s="188"/>
      <c r="I510" s="199"/>
      <c r="J510" s="196"/>
      <c r="K510" s="191"/>
      <c r="L510" s="203"/>
    </row>
    <row r="511" spans="1:12" s="141" customFormat="1">
      <c r="A511" s="147">
        <v>1</v>
      </c>
      <c r="B511" s="143" t="s">
        <v>798</v>
      </c>
      <c r="C511" s="143" t="s">
        <v>802</v>
      </c>
      <c r="D511" s="143" t="s">
        <v>1518</v>
      </c>
      <c r="E511" s="148" t="s">
        <v>1519</v>
      </c>
      <c r="F511" s="143">
        <v>3</v>
      </c>
      <c r="G511" s="143" t="s">
        <v>1520</v>
      </c>
      <c r="H511" s="149">
        <v>3</v>
      </c>
      <c r="I511" s="157">
        <v>33000</v>
      </c>
      <c r="J511" s="159">
        <f t="shared" si="71"/>
        <v>99000</v>
      </c>
      <c r="K511" s="152"/>
      <c r="L511" s="203"/>
    </row>
    <row r="512" spans="1:12" s="141" customFormat="1">
      <c r="A512" s="147">
        <v>2</v>
      </c>
      <c r="B512" s="143" t="s">
        <v>798</v>
      </c>
      <c r="C512" s="143" t="s">
        <v>802</v>
      </c>
      <c r="D512" s="143" t="s">
        <v>1521</v>
      </c>
      <c r="E512" s="148" t="s">
        <v>1522</v>
      </c>
      <c r="F512" s="143">
        <v>1</v>
      </c>
      <c r="G512" s="143" t="s">
        <v>1520</v>
      </c>
      <c r="H512" s="149">
        <v>1</v>
      </c>
      <c r="I512" s="157">
        <v>23000</v>
      </c>
      <c r="J512" s="159">
        <f t="shared" si="71"/>
        <v>23000</v>
      </c>
      <c r="K512" s="152"/>
      <c r="L512" s="203"/>
    </row>
    <row r="513" spans="1:12" s="141" customFormat="1">
      <c r="A513" s="147">
        <v>3</v>
      </c>
      <c r="B513" s="143" t="s">
        <v>798</v>
      </c>
      <c r="C513" s="143" t="s">
        <v>802</v>
      </c>
      <c r="D513" s="143" t="s">
        <v>1523</v>
      </c>
      <c r="E513" s="148" t="s">
        <v>1524</v>
      </c>
      <c r="F513" s="143">
        <v>6</v>
      </c>
      <c r="G513" s="143" t="s">
        <v>1520</v>
      </c>
      <c r="H513" s="149">
        <v>6</v>
      </c>
      <c r="I513" s="157">
        <v>54000</v>
      </c>
      <c r="J513" s="159">
        <f t="shared" si="71"/>
        <v>324000</v>
      </c>
      <c r="K513" s="152"/>
      <c r="L513" s="203"/>
    </row>
    <row r="514" spans="1:12" s="141" customFormat="1">
      <c r="A514" s="147">
        <v>4</v>
      </c>
      <c r="B514" s="143" t="s">
        <v>798</v>
      </c>
      <c r="C514" s="143" t="s">
        <v>802</v>
      </c>
      <c r="D514" s="143" t="s">
        <v>1525</v>
      </c>
      <c r="E514" s="148" t="s">
        <v>1526</v>
      </c>
      <c r="F514" s="143">
        <v>3</v>
      </c>
      <c r="G514" s="143" t="s">
        <v>1527</v>
      </c>
      <c r="H514" s="149">
        <v>3</v>
      </c>
      <c r="I514" s="157">
        <v>43000</v>
      </c>
      <c r="J514" s="159">
        <f t="shared" si="71"/>
        <v>129000</v>
      </c>
      <c r="K514" s="152"/>
      <c r="L514" s="203"/>
    </row>
    <row r="515" spans="1:12" s="141" customFormat="1">
      <c r="A515" s="147">
        <v>5</v>
      </c>
      <c r="B515" s="143" t="s">
        <v>798</v>
      </c>
      <c r="C515" s="143" t="s">
        <v>802</v>
      </c>
      <c r="D515" s="143" t="s">
        <v>1528</v>
      </c>
      <c r="E515" s="148" t="s">
        <v>1529</v>
      </c>
      <c r="F515" s="143">
        <v>4</v>
      </c>
      <c r="G515" s="143" t="s">
        <v>1254</v>
      </c>
      <c r="H515" s="149">
        <v>4</v>
      </c>
      <c r="I515" s="157">
        <v>1000</v>
      </c>
      <c r="J515" s="159">
        <f t="shared" si="71"/>
        <v>4000</v>
      </c>
      <c r="K515" s="152"/>
      <c r="L515" s="203"/>
    </row>
    <row r="516" spans="1:12" s="141" customFormat="1">
      <c r="A516" s="147">
        <v>6</v>
      </c>
      <c r="B516" s="143" t="s">
        <v>798</v>
      </c>
      <c r="C516" s="143" t="s">
        <v>802</v>
      </c>
      <c r="D516" s="143" t="s">
        <v>1530</v>
      </c>
      <c r="E516" s="148" t="s">
        <v>1409</v>
      </c>
      <c r="F516" s="143">
        <v>12</v>
      </c>
      <c r="G516" s="143" t="s">
        <v>1410</v>
      </c>
      <c r="H516" s="149">
        <v>12</v>
      </c>
      <c r="I516" s="157">
        <v>1300</v>
      </c>
      <c r="J516" s="159">
        <f t="shared" si="71"/>
        <v>15600</v>
      </c>
      <c r="K516" s="152"/>
      <c r="L516" s="203"/>
    </row>
    <row r="517" spans="1:12" s="141" customFormat="1">
      <c r="A517" s="147"/>
      <c r="B517" s="187"/>
      <c r="C517" s="187"/>
      <c r="D517" s="201" t="s">
        <v>1553</v>
      </c>
      <c r="E517" s="202" t="s">
        <v>1555</v>
      </c>
      <c r="F517" s="187">
        <v>1</v>
      </c>
      <c r="G517" s="187"/>
      <c r="H517" s="188"/>
      <c r="I517" s="199"/>
      <c r="J517" s="196"/>
      <c r="K517" s="191"/>
      <c r="L517" s="203"/>
    </row>
    <row r="518" spans="1:12" s="141" customFormat="1">
      <c r="A518" s="147">
        <v>1</v>
      </c>
      <c r="B518" s="143" t="s">
        <v>798</v>
      </c>
      <c r="C518" s="143" t="s">
        <v>802</v>
      </c>
      <c r="D518" s="143" t="s">
        <v>1518</v>
      </c>
      <c r="E518" s="148" t="s">
        <v>1519</v>
      </c>
      <c r="F518" s="143">
        <v>4</v>
      </c>
      <c r="G518" s="143" t="s">
        <v>1520</v>
      </c>
      <c r="H518" s="149">
        <v>4</v>
      </c>
      <c r="I518" s="157">
        <v>33000</v>
      </c>
      <c r="J518" s="159">
        <f t="shared" si="71"/>
        <v>132000</v>
      </c>
      <c r="K518" s="152"/>
      <c r="L518" s="203"/>
    </row>
    <row r="519" spans="1:12" s="141" customFormat="1">
      <c r="A519" s="147">
        <v>2</v>
      </c>
      <c r="B519" s="143" t="s">
        <v>798</v>
      </c>
      <c r="C519" s="143" t="s">
        <v>802</v>
      </c>
      <c r="D519" s="143" t="s">
        <v>1521</v>
      </c>
      <c r="E519" s="148" t="s">
        <v>1522</v>
      </c>
      <c r="F519" s="143">
        <v>1</v>
      </c>
      <c r="G519" s="143" t="s">
        <v>1520</v>
      </c>
      <c r="H519" s="149">
        <v>1</v>
      </c>
      <c r="I519" s="157">
        <v>23000</v>
      </c>
      <c r="J519" s="159">
        <f t="shared" si="71"/>
        <v>23000</v>
      </c>
      <c r="K519" s="152"/>
      <c r="L519" s="203"/>
    </row>
    <row r="520" spans="1:12" s="141" customFormat="1">
      <c r="A520" s="147">
        <v>3</v>
      </c>
      <c r="B520" s="143" t="s">
        <v>798</v>
      </c>
      <c r="C520" s="143" t="s">
        <v>802</v>
      </c>
      <c r="D520" s="143" t="s">
        <v>1523</v>
      </c>
      <c r="E520" s="148" t="s">
        <v>1524</v>
      </c>
      <c r="F520" s="143">
        <v>8</v>
      </c>
      <c r="G520" s="143" t="s">
        <v>1520</v>
      </c>
      <c r="H520" s="149">
        <v>8</v>
      </c>
      <c r="I520" s="157">
        <v>54000</v>
      </c>
      <c r="J520" s="159">
        <f t="shared" si="71"/>
        <v>432000</v>
      </c>
      <c r="K520" s="152"/>
      <c r="L520" s="203"/>
    </row>
    <row r="521" spans="1:12" s="141" customFormat="1">
      <c r="A521" s="147">
        <v>4</v>
      </c>
      <c r="B521" s="143" t="s">
        <v>798</v>
      </c>
      <c r="C521" s="143" t="s">
        <v>802</v>
      </c>
      <c r="D521" s="143" t="s">
        <v>1525</v>
      </c>
      <c r="E521" s="148" t="s">
        <v>1526</v>
      </c>
      <c r="F521" s="143">
        <v>3</v>
      </c>
      <c r="G521" s="143" t="s">
        <v>1527</v>
      </c>
      <c r="H521" s="149">
        <v>3</v>
      </c>
      <c r="I521" s="157">
        <v>43000</v>
      </c>
      <c r="J521" s="159">
        <f t="shared" si="71"/>
        <v>129000</v>
      </c>
      <c r="K521" s="152"/>
      <c r="L521" s="203"/>
    </row>
    <row r="522" spans="1:12" s="141" customFormat="1">
      <c r="A522" s="147">
        <v>5</v>
      </c>
      <c r="B522" s="143" t="s">
        <v>798</v>
      </c>
      <c r="C522" s="143" t="s">
        <v>802</v>
      </c>
      <c r="D522" s="143" t="s">
        <v>1528</v>
      </c>
      <c r="E522" s="148" t="s">
        <v>1529</v>
      </c>
      <c r="F522" s="143">
        <v>4</v>
      </c>
      <c r="G522" s="143" t="s">
        <v>1254</v>
      </c>
      <c r="H522" s="149">
        <v>4</v>
      </c>
      <c r="I522" s="157">
        <v>1000</v>
      </c>
      <c r="J522" s="159">
        <f t="shared" si="71"/>
        <v>4000</v>
      </c>
      <c r="K522" s="152"/>
      <c r="L522" s="203"/>
    </row>
    <row r="523" spans="1:12" s="141" customFormat="1">
      <c r="A523" s="147">
        <v>6</v>
      </c>
      <c r="B523" s="143" t="s">
        <v>798</v>
      </c>
      <c r="C523" s="143" t="s">
        <v>802</v>
      </c>
      <c r="D523" s="143" t="s">
        <v>1530</v>
      </c>
      <c r="E523" s="148" t="s">
        <v>1409</v>
      </c>
      <c r="F523" s="143">
        <v>12</v>
      </c>
      <c r="G523" s="143" t="s">
        <v>1410</v>
      </c>
      <c r="H523" s="149">
        <v>12</v>
      </c>
      <c r="I523" s="157">
        <v>1300</v>
      </c>
      <c r="J523" s="159">
        <f t="shared" si="71"/>
        <v>15600</v>
      </c>
      <c r="K523" s="152"/>
      <c r="L523" s="203"/>
    </row>
    <row r="524" spans="1:12" s="141" customFormat="1">
      <c r="A524" s="147"/>
      <c r="B524" s="187"/>
      <c r="C524" s="187"/>
      <c r="D524" s="200" t="s">
        <v>1550</v>
      </c>
      <c r="E524" s="187" t="s">
        <v>1320</v>
      </c>
      <c r="F524" s="187">
        <v>1</v>
      </c>
      <c r="G524" s="187"/>
      <c r="H524" s="188"/>
      <c r="I524" s="189"/>
      <c r="J524" s="196"/>
      <c r="K524" s="191"/>
      <c r="L524" s="203"/>
    </row>
    <row r="525" spans="1:12" s="141" customFormat="1">
      <c r="A525" s="147">
        <v>1</v>
      </c>
      <c r="B525" s="143" t="s">
        <v>798</v>
      </c>
      <c r="C525" s="143" t="s">
        <v>802</v>
      </c>
      <c r="D525" s="143" t="s">
        <v>1313</v>
      </c>
      <c r="E525" s="143" t="s">
        <v>1369</v>
      </c>
      <c r="F525" s="143">
        <v>2</v>
      </c>
      <c r="G525" s="143" t="s">
        <v>1314</v>
      </c>
      <c r="H525" s="149">
        <f t="shared" ref="H525:H528" si="72">F525*J$4</f>
        <v>2</v>
      </c>
      <c r="I525" s="157">
        <v>90000</v>
      </c>
      <c r="J525" s="159">
        <f t="shared" si="71"/>
        <v>180000</v>
      </c>
      <c r="K525" s="152"/>
      <c r="L525" s="203"/>
    </row>
    <row r="526" spans="1:12" s="141" customFormat="1">
      <c r="A526" s="147">
        <v>2</v>
      </c>
      <c r="B526" s="143" t="s">
        <v>798</v>
      </c>
      <c r="C526" s="143" t="s">
        <v>802</v>
      </c>
      <c r="D526" s="143" t="s">
        <v>1433</v>
      </c>
      <c r="E526" s="143" t="s">
        <v>1434</v>
      </c>
      <c r="F526" s="143">
        <v>1</v>
      </c>
      <c r="G526" s="143" t="s">
        <v>1326</v>
      </c>
      <c r="H526" s="149">
        <f t="shared" si="72"/>
        <v>1</v>
      </c>
      <c r="I526" s="157">
        <v>11000</v>
      </c>
      <c r="J526" s="159">
        <f t="shared" si="71"/>
        <v>11000</v>
      </c>
      <c r="K526" s="152"/>
      <c r="L526" s="203"/>
    </row>
    <row r="527" spans="1:12" s="141" customFormat="1">
      <c r="A527" s="147">
        <v>3</v>
      </c>
      <c r="B527" s="143" t="s">
        <v>798</v>
      </c>
      <c r="C527" s="143" t="s">
        <v>802</v>
      </c>
      <c r="D527" s="143" t="s">
        <v>1537</v>
      </c>
      <c r="E527" s="143" t="s">
        <v>1540</v>
      </c>
      <c r="F527" s="143">
        <v>1</v>
      </c>
      <c r="G527" s="143" t="s">
        <v>1326</v>
      </c>
      <c r="H527" s="149">
        <f t="shared" si="72"/>
        <v>1</v>
      </c>
      <c r="I527" s="157">
        <v>15000</v>
      </c>
      <c r="J527" s="159">
        <f t="shared" si="71"/>
        <v>15000</v>
      </c>
      <c r="K527" s="152"/>
      <c r="L527" s="203"/>
    </row>
    <row r="528" spans="1:12" s="141" customFormat="1">
      <c r="A528" s="147">
        <v>4</v>
      </c>
      <c r="B528" s="143" t="s">
        <v>798</v>
      </c>
      <c r="C528" s="143" t="s">
        <v>802</v>
      </c>
      <c r="D528" s="143" t="s">
        <v>1431</v>
      </c>
      <c r="E528" s="143" t="s">
        <v>1432</v>
      </c>
      <c r="F528" s="143">
        <v>4</v>
      </c>
      <c r="G528" s="143" t="s">
        <v>1427</v>
      </c>
      <c r="H528" s="149">
        <f t="shared" si="72"/>
        <v>4</v>
      </c>
      <c r="I528" s="157">
        <v>1100</v>
      </c>
      <c r="J528" s="159">
        <f t="shared" si="71"/>
        <v>4400</v>
      </c>
      <c r="K528" s="152"/>
      <c r="L528" s="203"/>
    </row>
    <row r="529" spans="1:14" s="141" customFormat="1">
      <c r="A529" s="147"/>
      <c r="B529" s="187"/>
      <c r="C529" s="187"/>
      <c r="D529" s="200" t="s">
        <v>1551</v>
      </c>
      <c r="E529" s="187" t="s">
        <v>1320</v>
      </c>
      <c r="F529" s="187">
        <v>1</v>
      </c>
      <c r="G529" s="187"/>
      <c r="H529" s="188"/>
      <c r="I529" s="189"/>
      <c r="J529" s="196"/>
      <c r="K529" s="191"/>
      <c r="L529" s="203"/>
    </row>
    <row r="530" spans="1:14" s="141" customFormat="1">
      <c r="A530" s="147">
        <v>1</v>
      </c>
      <c r="B530" s="143" t="s">
        <v>798</v>
      </c>
      <c r="C530" s="143" t="s">
        <v>802</v>
      </c>
      <c r="D530" s="143" t="s">
        <v>1313</v>
      </c>
      <c r="E530" s="143" t="s">
        <v>1369</v>
      </c>
      <c r="F530" s="143">
        <v>2</v>
      </c>
      <c r="G530" s="143" t="s">
        <v>1314</v>
      </c>
      <c r="H530" s="149">
        <f t="shared" ref="H530:H533" si="73">F530*J$4</f>
        <v>2</v>
      </c>
      <c r="I530" s="157">
        <v>90000</v>
      </c>
      <c r="J530" s="159">
        <f t="shared" si="71"/>
        <v>180000</v>
      </c>
      <c r="K530" s="152"/>
      <c r="L530" s="203"/>
    </row>
    <row r="531" spans="1:14" s="141" customFormat="1">
      <c r="A531" s="147">
        <v>2</v>
      </c>
      <c r="B531" s="143" t="s">
        <v>798</v>
      </c>
      <c r="C531" s="143" t="s">
        <v>802</v>
      </c>
      <c r="D531" s="143" t="s">
        <v>1433</v>
      </c>
      <c r="E531" s="143" t="s">
        <v>1434</v>
      </c>
      <c r="F531" s="143">
        <v>1</v>
      </c>
      <c r="G531" s="143" t="s">
        <v>1326</v>
      </c>
      <c r="H531" s="149">
        <f t="shared" si="73"/>
        <v>1</v>
      </c>
      <c r="I531" s="157">
        <v>11000</v>
      </c>
      <c r="J531" s="159">
        <f t="shared" si="71"/>
        <v>11000</v>
      </c>
      <c r="K531" s="152"/>
      <c r="L531" s="203"/>
    </row>
    <row r="532" spans="1:14" s="141" customFormat="1">
      <c r="A532" s="147">
        <v>3</v>
      </c>
      <c r="B532" s="143" t="s">
        <v>798</v>
      </c>
      <c r="C532" s="143" t="s">
        <v>802</v>
      </c>
      <c r="D532" s="143" t="s">
        <v>1537</v>
      </c>
      <c r="E532" s="143" t="s">
        <v>1540</v>
      </c>
      <c r="F532" s="143">
        <v>1</v>
      </c>
      <c r="G532" s="143" t="s">
        <v>1326</v>
      </c>
      <c r="H532" s="149">
        <f t="shared" si="73"/>
        <v>1</v>
      </c>
      <c r="I532" s="157">
        <v>15000</v>
      </c>
      <c r="J532" s="159">
        <f t="shared" si="71"/>
        <v>15000</v>
      </c>
      <c r="K532" s="152"/>
      <c r="L532" s="203"/>
    </row>
    <row r="533" spans="1:14" s="141" customFormat="1">
      <c r="A533" s="147">
        <v>4</v>
      </c>
      <c r="B533" s="143" t="s">
        <v>798</v>
      </c>
      <c r="C533" s="143" t="s">
        <v>802</v>
      </c>
      <c r="D533" s="143" t="s">
        <v>1431</v>
      </c>
      <c r="E533" s="143" t="s">
        <v>1432</v>
      </c>
      <c r="F533" s="143">
        <v>4</v>
      </c>
      <c r="G533" s="143" t="s">
        <v>1427</v>
      </c>
      <c r="H533" s="149">
        <f t="shared" si="73"/>
        <v>4</v>
      </c>
      <c r="I533" s="157">
        <v>1100</v>
      </c>
      <c r="J533" s="159">
        <f t="shared" si="71"/>
        <v>4400</v>
      </c>
      <c r="K533" s="152"/>
      <c r="L533" s="203"/>
    </row>
    <row r="534" spans="1:14" s="141" customFormat="1">
      <c r="A534" s="147"/>
      <c r="B534" s="187"/>
      <c r="C534" s="187"/>
      <c r="D534" s="187" t="s">
        <v>1532</v>
      </c>
      <c r="E534" s="198" t="s">
        <v>1533</v>
      </c>
      <c r="F534" s="187">
        <v>1</v>
      </c>
      <c r="G534" s="187"/>
      <c r="H534" s="188"/>
      <c r="I534" s="199"/>
      <c r="J534" s="196"/>
      <c r="K534" s="191"/>
      <c r="L534" s="203"/>
    </row>
    <row r="535" spans="1:14" s="141" customFormat="1">
      <c r="A535" s="147">
        <v>1</v>
      </c>
      <c r="B535" s="143" t="s">
        <v>798</v>
      </c>
      <c r="C535" s="143" t="s">
        <v>802</v>
      </c>
      <c r="D535" s="143" t="s">
        <v>1531</v>
      </c>
      <c r="E535" s="148" t="s">
        <v>1519</v>
      </c>
      <c r="F535" s="143">
        <v>3</v>
      </c>
      <c r="G535" s="143" t="s">
        <v>1520</v>
      </c>
      <c r="H535" s="149">
        <v>3</v>
      </c>
      <c r="I535" s="157">
        <v>33000</v>
      </c>
      <c r="J535" s="159">
        <f t="shared" si="71"/>
        <v>99000</v>
      </c>
      <c r="K535" s="152"/>
      <c r="L535" s="203"/>
    </row>
    <row r="536" spans="1:14" s="141" customFormat="1">
      <c r="A536" s="147">
        <v>2</v>
      </c>
      <c r="B536" s="143" t="s">
        <v>798</v>
      </c>
      <c r="C536" s="143" t="s">
        <v>802</v>
      </c>
      <c r="D536" s="143" t="s">
        <v>1521</v>
      </c>
      <c r="E536" s="148" t="s">
        <v>1522</v>
      </c>
      <c r="F536" s="143">
        <v>1</v>
      </c>
      <c r="G536" s="143" t="s">
        <v>1520</v>
      </c>
      <c r="H536" s="149">
        <v>1</v>
      </c>
      <c r="I536" s="157">
        <v>23000</v>
      </c>
      <c r="J536" s="159">
        <f t="shared" si="71"/>
        <v>23000</v>
      </c>
      <c r="K536" s="152"/>
      <c r="L536" s="203"/>
    </row>
    <row r="537" spans="1:14" s="141" customFormat="1">
      <c r="A537" s="147">
        <v>3</v>
      </c>
      <c r="B537" s="143" t="s">
        <v>798</v>
      </c>
      <c r="C537" s="143" t="s">
        <v>802</v>
      </c>
      <c r="D537" s="143" t="s">
        <v>1523</v>
      </c>
      <c r="E537" s="148" t="s">
        <v>1524</v>
      </c>
      <c r="F537" s="143">
        <v>4</v>
      </c>
      <c r="G537" s="143" t="s">
        <v>1520</v>
      </c>
      <c r="H537" s="149">
        <v>4</v>
      </c>
      <c r="I537" s="157">
        <v>54000</v>
      </c>
      <c r="J537" s="159">
        <f t="shared" si="71"/>
        <v>216000</v>
      </c>
      <c r="K537" s="152"/>
      <c r="L537" s="203"/>
      <c r="M537" s="206">
        <v>15000000</v>
      </c>
      <c r="N537" s="207" t="s">
        <v>1556</v>
      </c>
    </row>
    <row r="538" spans="1:14" s="141" customFormat="1">
      <c r="A538" s="147">
        <v>4</v>
      </c>
      <c r="B538" s="143" t="s">
        <v>798</v>
      </c>
      <c r="C538" s="143" t="s">
        <v>802</v>
      </c>
      <c r="D538" s="143" t="s">
        <v>1525</v>
      </c>
      <c r="E538" s="148" t="s">
        <v>1526</v>
      </c>
      <c r="F538" s="143">
        <v>3</v>
      </c>
      <c r="G538" s="143" t="s">
        <v>1527</v>
      </c>
      <c r="H538" s="149">
        <v>3</v>
      </c>
      <c r="I538" s="157">
        <v>43000</v>
      </c>
      <c r="J538" s="159">
        <f t="shared" si="71"/>
        <v>129000</v>
      </c>
      <c r="K538" s="152"/>
      <c r="L538" s="203"/>
      <c r="M538" s="154">
        <f>2200000+700000</f>
        <v>2900000</v>
      </c>
      <c r="N538" s="208" t="s">
        <v>1560</v>
      </c>
    </row>
    <row r="539" spans="1:14" s="141" customFormat="1">
      <c r="A539" s="147">
        <v>5</v>
      </c>
      <c r="B539" s="143" t="s">
        <v>798</v>
      </c>
      <c r="C539" s="143" t="s">
        <v>802</v>
      </c>
      <c r="D539" s="143" t="s">
        <v>1528</v>
      </c>
      <c r="E539" s="148" t="s">
        <v>1534</v>
      </c>
      <c r="F539" s="143">
        <v>4</v>
      </c>
      <c r="G539" s="143" t="s">
        <v>1254</v>
      </c>
      <c r="H539" s="149">
        <v>4</v>
      </c>
      <c r="I539" s="157">
        <v>1000</v>
      </c>
      <c r="J539" s="159">
        <f t="shared" si="71"/>
        <v>4000</v>
      </c>
      <c r="K539" s="152"/>
      <c r="L539" s="203"/>
      <c r="M539" s="154">
        <f>L542*7%</f>
        <v>451191.30000000005</v>
      </c>
      <c r="N539" s="208" t="s">
        <v>1557</v>
      </c>
    </row>
    <row r="540" spans="1:14" s="141" customFormat="1">
      <c r="A540" s="147">
        <v>6</v>
      </c>
      <c r="B540" s="143" t="s">
        <v>798</v>
      </c>
      <c r="C540" s="143" t="s">
        <v>802</v>
      </c>
      <c r="D540" s="143" t="s">
        <v>1535</v>
      </c>
      <c r="E540" s="148" t="s">
        <v>1536</v>
      </c>
      <c r="F540" s="143">
        <v>1</v>
      </c>
      <c r="G540" s="143" t="s">
        <v>1254</v>
      </c>
      <c r="H540" s="149">
        <v>1</v>
      </c>
      <c r="I540" s="157">
        <v>3000</v>
      </c>
      <c r="J540" s="159">
        <f t="shared" si="71"/>
        <v>3000</v>
      </c>
      <c r="K540" s="152"/>
      <c r="L540" s="203"/>
      <c r="M540" s="154">
        <f>(L542+M539)*20%</f>
        <v>1379356.26</v>
      </c>
      <c r="N540" s="208" t="s">
        <v>1558</v>
      </c>
    </row>
    <row r="541" spans="1:14" s="141" customFormat="1" ht="23" thickBot="1">
      <c r="A541" s="147">
        <v>7</v>
      </c>
      <c r="B541" s="143" t="s">
        <v>798</v>
      </c>
      <c r="C541" s="143" t="s">
        <v>802</v>
      </c>
      <c r="D541" s="143" t="s">
        <v>1530</v>
      </c>
      <c r="E541" s="148" t="s">
        <v>1409</v>
      </c>
      <c r="F541" s="143">
        <v>12</v>
      </c>
      <c r="G541" s="143" t="s">
        <v>1410</v>
      </c>
      <c r="H541" s="149">
        <v>12</v>
      </c>
      <c r="I541" s="157">
        <v>1300</v>
      </c>
      <c r="J541" s="159">
        <f t="shared" si="71"/>
        <v>15600</v>
      </c>
      <c r="K541" s="152"/>
      <c r="L541" s="203"/>
      <c r="M541" s="154">
        <f>(L542+M539+M540)*25%</f>
        <v>2069034.39</v>
      </c>
      <c r="N541" s="208" t="s">
        <v>1559</v>
      </c>
    </row>
    <row r="542" spans="1:14" s="141" customFormat="1" ht="23" thickBot="1">
      <c r="A542" s="160">
        <v>8</v>
      </c>
      <c r="B542" s="193" t="s">
        <v>798</v>
      </c>
      <c r="C542" s="193" t="s">
        <v>802</v>
      </c>
      <c r="D542" s="193" t="s">
        <v>1290</v>
      </c>
      <c r="E542" s="193"/>
      <c r="F542" s="193">
        <v>1</v>
      </c>
      <c r="G542" s="193"/>
      <c r="H542" s="194">
        <f>J11*F542</f>
        <v>1</v>
      </c>
      <c r="I542" s="227">
        <v>1532840</v>
      </c>
      <c r="J542" s="226">
        <f>H542*I542</f>
        <v>1532840</v>
      </c>
      <c r="K542" s="195"/>
      <c r="L542" s="204">
        <f>SUM(J473:J509)+SUM(J518:J523)</f>
        <v>6445590</v>
      </c>
      <c r="M542" s="209">
        <f>L542+M538+M539+M540+M541</f>
        <v>13245171.950000001</v>
      </c>
      <c r="N542" s="141" t="s">
        <v>1307</v>
      </c>
    </row>
    <row r="543" spans="1:14" ht="4.5" customHeight="1" thickBot="1"/>
    <row r="544" spans="1:14" s="141" customFormat="1" ht="23" thickBot="1">
      <c r="A544" s="137" t="s">
        <v>80</v>
      </c>
      <c r="B544" s="138" t="s">
        <v>1276</v>
      </c>
      <c r="C544" s="138" t="s">
        <v>1277</v>
      </c>
      <c r="D544" s="138" t="s">
        <v>1278</v>
      </c>
      <c r="E544" s="138" t="s">
        <v>1279</v>
      </c>
      <c r="F544" s="138" t="s">
        <v>1280</v>
      </c>
      <c r="G544" s="138" t="s">
        <v>1281</v>
      </c>
      <c r="H544" s="138" t="s">
        <v>1282</v>
      </c>
      <c r="I544" s="139" t="s">
        <v>1283</v>
      </c>
      <c r="J544" s="138" t="s">
        <v>1030</v>
      </c>
      <c r="K544" s="140" t="s">
        <v>1031</v>
      </c>
      <c r="L544" s="203"/>
    </row>
    <row r="545" spans="1:12" s="141" customFormat="1">
      <c r="A545" s="142">
        <v>1</v>
      </c>
      <c r="B545" s="144" t="s">
        <v>801</v>
      </c>
      <c r="C545" s="144" t="s">
        <v>783</v>
      </c>
      <c r="D545" s="144" t="s">
        <v>1284</v>
      </c>
      <c r="E545" s="144" t="s">
        <v>1365</v>
      </c>
      <c r="F545" s="144">
        <v>1</v>
      </c>
      <c r="G545" s="145" t="s">
        <v>1285</v>
      </c>
      <c r="H545" s="145">
        <f>F545*J$4</f>
        <v>1</v>
      </c>
      <c r="I545" s="156">
        <v>1209580</v>
      </c>
      <c r="J545" s="158">
        <f>H545*I545</f>
        <v>1209580</v>
      </c>
      <c r="K545" s="146"/>
      <c r="L545" s="203"/>
    </row>
    <row r="546" spans="1:12" s="141" customFormat="1">
      <c r="A546" s="147">
        <v>2</v>
      </c>
      <c r="B546" s="143" t="s">
        <v>800</v>
      </c>
      <c r="C546" s="143" t="s">
        <v>803</v>
      </c>
      <c r="D546" s="143" t="s">
        <v>1284</v>
      </c>
      <c r="E546" s="148" t="s">
        <v>1366</v>
      </c>
      <c r="F546" s="143">
        <v>1</v>
      </c>
      <c r="G546" s="149" t="s">
        <v>1194</v>
      </c>
      <c r="H546" s="149">
        <f>F546*J$4</f>
        <v>1</v>
      </c>
      <c r="I546" s="157">
        <v>1056740</v>
      </c>
      <c r="J546" s="159">
        <f t="shared" ref="J546:J613" si="74">H546*I546</f>
        <v>1056740</v>
      </c>
      <c r="K546" s="152"/>
      <c r="L546" s="203"/>
    </row>
    <row r="547" spans="1:12" s="141" customFormat="1">
      <c r="A547" s="147">
        <v>3</v>
      </c>
      <c r="B547" s="143" t="s">
        <v>800</v>
      </c>
      <c r="C547" s="143" t="s">
        <v>803</v>
      </c>
      <c r="D547" s="143" t="s">
        <v>1284</v>
      </c>
      <c r="E547" s="148" t="s">
        <v>1367</v>
      </c>
      <c r="F547" s="143">
        <v>1</v>
      </c>
      <c r="G547" s="149" t="s">
        <v>1194</v>
      </c>
      <c r="H547" s="149">
        <f>F547*J$4</f>
        <v>1</v>
      </c>
      <c r="I547" s="157">
        <v>1180300</v>
      </c>
      <c r="J547" s="159">
        <f t="shared" si="74"/>
        <v>1180300</v>
      </c>
      <c r="K547" s="152"/>
      <c r="L547" s="203"/>
    </row>
    <row r="548" spans="1:12" s="141" customFormat="1">
      <c r="A548" s="147">
        <v>4</v>
      </c>
      <c r="B548" s="143" t="s">
        <v>800</v>
      </c>
      <c r="C548" s="143" t="s">
        <v>803</v>
      </c>
      <c r="D548" s="143" t="s">
        <v>1284</v>
      </c>
      <c r="E548" s="148" t="s">
        <v>1368</v>
      </c>
      <c r="F548" s="143">
        <v>1</v>
      </c>
      <c r="G548" s="149" t="s">
        <v>1194</v>
      </c>
      <c r="H548" s="149">
        <f>F548*J$4</f>
        <v>1</v>
      </c>
      <c r="I548" s="157">
        <v>544620</v>
      </c>
      <c r="J548" s="159">
        <f t="shared" ref="J548" si="75">H548*I548</f>
        <v>544620</v>
      </c>
      <c r="K548" s="152"/>
      <c r="L548" s="203"/>
    </row>
    <row r="549" spans="1:12" s="141" customFormat="1">
      <c r="A549" s="147">
        <v>5</v>
      </c>
      <c r="B549" s="143" t="s">
        <v>800</v>
      </c>
      <c r="C549" s="143" t="s">
        <v>803</v>
      </c>
      <c r="D549" s="143" t="s">
        <v>1286</v>
      </c>
      <c r="E549" s="148" t="s">
        <v>1477</v>
      </c>
      <c r="F549" s="143">
        <v>1</v>
      </c>
      <c r="G549" s="143" t="s">
        <v>1287</v>
      </c>
      <c r="H549" s="149">
        <f t="shared" ref="H549:H565" si="76">F549*J$4</f>
        <v>1</v>
      </c>
      <c r="I549" s="157">
        <v>500000</v>
      </c>
      <c r="J549" s="159">
        <f t="shared" si="74"/>
        <v>500000</v>
      </c>
      <c r="K549" s="152"/>
      <c r="L549" s="203"/>
    </row>
    <row r="550" spans="1:12" s="141" customFormat="1">
      <c r="A550" s="147">
        <v>6</v>
      </c>
      <c r="B550" s="143" t="s">
        <v>800</v>
      </c>
      <c r="C550" s="143" t="s">
        <v>803</v>
      </c>
      <c r="D550" s="143" t="s">
        <v>1288</v>
      </c>
      <c r="E550" s="148" t="s">
        <v>1400</v>
      </c>
      <c r="F550" s="143">
        <v>12</v>
      </c>
      <c r="G550" s="143" t="s">
        <v>1287</v>
      </c>
      <c r="H550" s="149">
        <f t="shared" si="76"/>
        <v>12</v>
      </c>
      <c r="I550" s="157">
        <v>5500</v>
      </c>
      <c r="J550" s="159">
        <f t="shared" si="74"/>
        <v>66000</v>
      </c>
      <c r="K550" s="152"/>
      <c r="L550" s="203"/>
    </row>
    <row r="551" spans="1:12" s="141" customFormat="1">
      <c r="A551" s="147">
        <v>7</v>
      </c>
      <c r="B551" s="143" t="s">
        <v>800</v>
      </c>
      <c r="C551" s="143" t="s">
        <v>803</v>
      </c>
      <c r="D551" s="143" t="s">
        <v>1286</v>
      </c>
      <c r="E551" s="148" t="s">
        <v>1478</v>
      </c>
      <c r="F551" s="143">
        <v>1</v>
      </c>
      <c r="G551" s="143" t="s">
        <v>1287</v>
      </c>
      <c r="H551" s="149">
        <f t="shared" si="76"/>
        <v>1</v>
      </c>
      <c r="I551" s="157">
        <v>460000</v>
      </c>
      <c r="J551" s="159">
        <f t="shared" si="74"/>
        <v>460000</v>
      </c>
      <c r="K551" s="152"/>
      <c r="L551" s="203"/>
    </row>
    <row r="552" spans="1:12" s="141" customFormat="1">
      <c r="A552" s="147">
        <v>8</v>
      </c>
      <c r="B552" s="143" t="s">
        <v>800</v>
      </c>
      <c r="C552" s="143" t="s">
        <v>803</v>
      </c>
      <c r="D552" s="143" t="s">
        <v>1288</v>
      </c>
      <c r="E552" s="148" t="s">
        <v>1398</v>
      </c>
      <c r="F552" s="143">
        <v>8</v>
      </c>
      <c r="G552" s="143" t="s">
        <v>1287</v>
      </c>
      <c r="H552" s="149">
        <f t="shared" si="76"/>
        <v>8</v>
      </c>
      <c r="I552" s="157">
        <v>2200</v>
      </c>
      <c r="J552" s="159">
        <f t="shared" si="74"/>
        <v>17600</v>
      </c>
      <c r="K552" s="152"/>
      <c r="L552" s="203"/>
    </row>
    <row r="553" spans="1:12" s="141" customFormat="1">
      <c r="A553" s="147">
        <v>9</v>
      </c>
      <c r="B553" s="143" t="s">
        <v>800</v>
      </c>
      <c r="C553" s="143" t="s">
        <v>803</v>
      </c>
      <c r="D553" s="143" t="s">
        <v>1286</v>
      </c>
      <c r="E553" s="148" t="s">
        <v>1479</v>
      </c>
      <c r="F553" s="143">
        <v>1</v>
      </c>
      <c r="G553" s="143" t="s">
        <v>1287</v>
      </c>
      <c r="H553" s="149">
        <f t="shared" si="76"/>
        <v>1</v>
      </c>
      <c r="I553" s="157">
        <v>480000</v>
      </c>
      <c r="J553" s="159">
        <f t="shared" si="74"/>
        <v>480000</v>
      </c>
      <c r="K553" s="152"/>
      <c r="L553" s="203"/>
    </row>
    <row r="554" spans="1:12" s="141" customFormat="1">
      <c r="A554" s="147">
        <v>10</v>
      </c>
      <c r="B554" s="143" t="s">
        <v>800</v>
      </c>
      <c r="C554" s="143" t="s">
        <v>803</v>
      </c>
      <c r="D554" s="143" t="s">
        <v>1288</v>
      </c>
      <c r="E554" s="148" t="s">
        <v>1395</v>
      </c>
      <c r="F554" s="143">
        <v>8</v>
      </c>
      <c r="G554" s="143" t="s">
        <v>1287</v>
      </c>
      <c r="H554" s="149">
        <f t="shared" si="76"/>
        <v>8</v>
      </c>
      <c r="I554" s="157">
        <v>3200</v>
      </c>
      <c r="J554" s="159">
        <f t="shared" si="74"/>
        <v>25600</v>
      </c>
      <c r="K554" s="152"/>
      <c r="L554" s="203"/>
    </row>
    <row r="555" spans="1:12" s="141" customFormat="1">
      <c r="A555" s="147">
        <v>11</v>
      </c>
      <c r="B555" s="143" t="s">
        <v>800</v>
      </c>
      <c r="C555" s="143" t="s">
        <v>803</v>
      </c>
      <c r="D555" s="143" t="s">
        <v>1286</v>
      </c>
      <c r="E555" s="148" t="s">
        <v>1480</v>
      </c>
      <c r="F555" s="143">
        <v>1</v>
      </c>
      <c r="G555" s="143" t="s">
        <v>1287</v>
      </c>
      <c r="H555" s="149">
        <f t="shared" si="76"/>
        <v>1</v>
      </c>
      <c r="I555" s="157">
        <v>390000</v>
      </c>
      <c r="J555" s="159">
        <f t="shared" si="74"/>
        <v>390000</v>
      </c>
      <c r="K555" s="152"/>
      <c r="L555" s="203"/>
    </row>
    <row r="556" spans="1:12" s="141" customFormat="1">
      <c r="A556" s="147">
        <v>12</v>
      </c>
      <c r="B556" s="143" t="s">
        <v>800</v>
      </c>
      <c r="C556" s="143" t="s">
        <v>803</v>
      </c>
      <c r="D556" s="143" t="s">
        <v>1288</v>
      </c>
      <c r="E556" s="148" t="s">
        <v>1296</v>
      </c>
      <c r="F556" s="143">
        <v>8</v>
      </c>
      <c r="G556" s="143" t="s">
        <v>1287</v>
      </c>
      <c r="H556" s="149">
        <f t="shared" si="76"/>
        <v>8</v>
      </c>
      <c r="I556" s="157">
        <v>1000</v>
      </c>
      <c r="J556" s="159">
        <f t="shared" si="74"/>
        <v>8000</v>
      </c>
      <c r="K556" s="152"/>
      <c r="L556" s="203"/>
    </row>
    <row r="557" spans="1:12" s="141" customFormat="1">
      <c r="A557" s="147">
        <v>13</v>
      </c>
      <c r="B557" s="143" t="s">
        <v>800</v>
      </c>
      <c r="C557" s="143" t="s">
        <v>803</v>
      </c>
      <c r="D557" s="143" t="s">
        <v>1286</v>
      </c>
      <c r="E557" s="148" t="s">
        <v>1481</v>
      </c>
      <c r="F557" s="143">
        <v>1</v>
      </c>
      <c r="G557" s="143" t="s">
        <v>1287</v>
      </c>
      <c r="H557" s="149">
        <f t="shared" si="76"/>
        <v>1</v>
      </c>
      <c r="I557" s="157">
        <v>380000</v>
      </c>
      <c r="J557" s="159">
        <f t="shared" si="74"/>
        <v>380000</v>
      </c>
      <c r="K557" s="152"/>
      <c r="L557" s="203"/>
    </row>
    <row r="558" spans="1:12" s="141" customFormat="1">
      <c r="A558" s="147">
        <v>14</v>
      </c>
      <c r="B558" s="143" t="s">
        <v>800</v>
      </c>
      <c r="C558" s="143" t="s">
        <v>803</v>
      </c>
      <c r="D558" s="143" t="s">
        <v>1288</v>
      </c>
      <c r="E558" s="148" t="s">
        <v>1399</v>
      </c>
      <c r="F558" s="143">
        <v>8</v>
      </c>
      <c r="G558" s="143" t="s">
        <v>1287</v>
      </c>
      <c r="H558" s="149">
        <f t="shared" si="76"/>
        <v>8</v>
      </c>
      <c r="I558" s="157">
        <v>1900</v>
      </c>
      <c r="J558" s="159">
        <f t="shared" si="74"/>
        <v>15200</v>
      </c>
      <c r="K558" s="152"/>
      <c r="L558" s="203"/>
    </row>
    <row r="559" spans="1:12" s="141" customFormat="1">
      <c r="A559" s="147">
        <v>15</v>
      </c>
      <c r="B559" s="143" t="s">
        <v>800</v>
      </c>
      <c r="C559" s="143" t="s">
        <v>803</v>
      </c>
      <c r="D559" s="143" t="s">
        <v>1286</v>
      </c>
      <c r="E559" s="148" t="s">
        <v>1482</v>
      </c>
      <c r="F559" s="143">
        <v>1</v>
      </c>
      <c r="G559" s="143" t="s">
        <v>1287</v>
      </c>
      <c r="H559" s="149">
        <f t="shared" si="76"/>
        <v>1</v>
      </c>
      <c r="I559" s="157">
        <v>240000</v>
      </c>
      <c r="J559" s="159">
        <f t="shared" si="74"/>
        <v>240000</v>
      </c>
      <c r="K559" s="152"/>
      <c r="L559" s="203"/>
    </row>
    <row r="560" spans="1:12" s="141" customFormat="1">
      <c r="A560" s="147">
        <v>16</v>
      </c>
      <c r="B560" s="143" t="s">
        <v>800</v>
      </c>
      <c r="C560" s="143" t="s">
        <v>803</v>
      </c>
      <c r="D560" s="143" t="s">
        <v>1288</v>
      </c>
      <c r="E560" s="148" t="s">
        <v>1296</v>
      </c>
      <c r="F560" s="143">
        <v>8</v>
      </c>
      <c r="G560" s="143" t="s">
        <v>1287</v>
      </c>
      <c r="H560" s="149">
        <f t="shared" si="76"/>
        <v>8</v>
      </c>
      <c r="I560" s="157">
        <v>1000</v>
      </c>
      <c r="J560" s="159">
        <f t="shared" si="74"/>
        <v>8000</v>
      </c>
      <c r="K560" s="152"/>
      <c r="L560" s="203"/>
    </row>
    <row r="561" spans="1:12" s="141" customFormat="1">
      <c r="A561" s="147">
        <v>17</v>
      </c>
      <c r="B561" s="143" t="s">
        <v>800</v>
      </c>
      <c r="C561" s="143" t="s">
        <v>803</v>
      </c>
      <c r="D561" s="143" t="s">
        <v>1286</v>
      </c>
      <c r="E561" s="148" t="s">
        <v>1483</v>
      </c>
      <c r="F561" s="143">
        <v>1</v>
      </c>
      <c r="G561" s="143" t="s">
        <v>1287</v>
      </c>
      <c r="H561" s="149">
        <f t="shared" si="76"/>
        <v>1</v>
      </c>
      <c r="I561" s="157">
        <v>240000</v>
      </c>
      <c r="J561" s="159">
        <f t="shared" si="74"/>
        <v>240000</v>
      </c>
      <c r="K561" s="152"/>
      <c r="L561" s="203"/>
    </row>
    <row r="562" spans="1:12" s="141" customFormat="1">
      <c r="A562" s="147">
        <v>18</v>
      </c>
      <c r="B562" s="143" t="s">
        <v>800</v>
      </c>
      <c r="C562" s="143" t="s">
        <v>803</v>
      </c>
      <c r="D562" s="143" t="s">
        <v>1288</v>
      </c>
      <c r="E562" s="148" t="s">
        <v>1396</v>
      </c>
      <c r="F562" s="143">
        <v>8</v>
      </c>
      <c r="G562" s="143" t="s">
        <v>1287</v>
      </c>
      <c r="H562" s="149">
        <f t="shared" si="76"/>
        <v>8</v>
      </c>
      <c r="I562" s="157">
        <v>1600</v>
      </c>
      <c r="J562" s="159">
        <f t="shared" si="74"/>
        <v>12800</v>
      </c>
      <c r="K562" s="152"/>
      <c r="L562" s="203"/>
    </row>
    <row r="563" spans="1:12" s="141" customFormat="1">
      <c r="A563" s="147">
        <v>19</v>
      </c>
      <c r="B563" s="143" t="s">
        <v>800</v>
      </c>
      <c r="C563" s="143" t="s">
        <v>803</v>
      </c>
      <c r="D563" s="143" t="s">
        <v>1291</v>
      </c>
      <c r="E563" s="148" t="s">
        <v>1467</v>
      </c>
      <c r="F563" s="143">
        <v>1</v>
      </c>
      <c r="G563" s="143" t="s">
        <v>1287</v>
      </c>
      <c r="H563" s="149">
        <f t="shared" si="76"/>
        <v>1</v>
      </c>
      <c r="I563" s="157">
        <v>75000</v>
      </c>
      <c r="J563" s="159">
        <f t="shared" si="74"/>
        <v>75000</v>
      </c>
      <c r="K563" s="152"/>
      <c r="L563" s="203"/>
    </row>
    <row r="564" spans="1:12" s="141" customFormat="1">
      <c r="A564" s="147">
        <v>20</v>
      </c>
      <c r="B564" s="143" t="s">
        <v>800</v>
      </c>
      <c r="C564" s="143" t="s">
        <v>803</v>
      </c>
      <c r="D564" s="143" t="s">
        <v>1291</v>
      </c>
      <c r="E564" s="148" t="s">
        <v>1468</v>
      </c>
      <c r="F564" s="143">
        <v>1</v>
      </c>
      <c r="G564" s="143" t="s">
        <v>1287</v>
      </c>
      <c r="H564" s="149">
        <f t="shared" si="76"/>
        <v>1</v>
      </c>
      <c r="I564" s="157">
        <v>78000</v>
      </c>
      <c r="J564" s="159">
        <f t="shared" si="74"/>
        <v>78000</v>
      </c>
      <c r="K564" s="152"/>
      <c r="L564" s="203"/>
    </row>
    <row r="565" spans="1:12" s="141" customFormat="1">
      <c r="A565" s="147">
        <v>21</v>
      </c>
      <c r="B565" s="143" t="s">
        <v>800</v>
      </c>
      <c r="C565" s="143" t="s">
        <v>803</v>
      </c>
      <c r="D565" s="143" t="s">
        <v>1288</v>
      </c>
      <c r="E565" s="148" t="s">
        <v>1484</v>
      </c>
      <c r="F565" s="143">
        <v>8</v>
      </c>
      <c r="G565" s="143" t="s">
        <v>1287</v>
      </c>
      <c r="H565" s="149">
        <f t="shared" si="76"/>
        <v>8</v>
      </c>
      <c r="I565" s="157">
        <v>2100</v>
      </c>
      <c r="J565" s="159">
        <f t="shared" si="74"/>
        <v>16800</v>
      </c>
      <c r="K565" s="152"/>
      <c r="L565" s="203"/>
    </row>
    <row r="566" spans="1:12" s="141" customFormat="1">
      <c r="A566" s="147">
        <v>22</v>
      </c>
      <c r="B566" s="143" t="s">
        <v>800</v>
      </c>
      <c r="C566" s="143" t="s">
        <v>803</v>
      </c>
      <c r="D566" s="143" t="s">
        <v>1487</v>
      </c>
      <c r="E566" s="148" t="s">
        <v>1488</v>
      </c>
      <c r="F566" s="143">
        <v>1</v>
      </c>
      <c r="G566" s="143" t="s">
        <v>1254</v>
      </c>
      <c r="H566" s="149">
        <v>1</v>
      </c>
      <c r="I566" s="157">
        <v>2500</v>
      </c>
      <c r="J566" s="159">
        <f t="shared" si="74"/>
        <v>2500</v>
      </c>
      <c r="K566" s="152"/>
      <c r="L566" s="203"/>
    </row>
    <row r="567" spans="1:12" s="141" customFormat="1">
      <c r="A567" s="147">
        <v>23</v>
      </c>
      <c r="B567" s="143" t="s">
        <v>800</v>
      </c>
      <c r="C567" s="143" t="s">
        <v>803</v>
      </c>
      <c r="D567" s="143" t="s">
        <v>1489</v>
      </c>
      <c r="E567" s="148" t="s">
        <v>1490</v>
      </c>
      <c r="F567" s="143">
        <v>1</v>
      </c>
      <c r="G567" s="143" t="s">
        <v>1491</v>
      </c>
      <c r="H567" s="149">
        <v>1</v>
      </c>
      <c r="I567" s="157">
        <v>2400</v>
      </c>
      <c r="J567" s="159">
        <f t="shared" si="74"/>
        <v>2400</v>
      </c>
      <c r="K567" s="152"/>
      <c r="L567" s="203"/>
    </row>
    <row r="568" spans="1:12" s="141" customFormat="1">
      <c r="A568" s="147">
        <v>24</v>
      </c>
      <c r="B568" s="143" t="s">
        <v>800</v>
      </c>
      <c r="C568" s="143" t="s">
        <v>803</v>
      </c>
      <c r="D568" s="143" t="s">
        <v>1492</v>
      </c>
      <c r="E568" s="148" t="s">
        <v>1493</v>
      </c>
      <c r="F568" s="143">
        <v>1</v>
      </c>
      <c r="G568" s="143" t="s">
        <v>643</v>
      </c>
      <c r="H568" s="149">
        <v>1</v>
      </c>
      <c r="I568" s="157">
        <v>1250</v>
      </c>
      <c r="J568" s="159">
        <f t="shared" si="74"/>
        <v>1250</v>
      </c>
      <c r="K568" s="152"/>
      <c r="L568" s="203"/>
    </row>
    <row r="569" spans="1:12" s="141" customFormat="1">
      <c r="A569" s="147">
        <v>25</v>
      </c>
      <c r="B569" s="143" t="s">
        <v>800</v>
      </c>
      <c r="C569" s="143" t="s">
        <v>803</v>
      </c>
      <c r="D569" s="143" t="s">
        <v>1494</v>
      </c>
      <c r="E569" s="148" t="s">
        <v>1495</v>
      </c>
      <c r="F569" s="143">
        <v>50</v>
      </c>
      <c r="G569" s="143" t="s">
        <v>1254</v>
      </c>
      <c r="H569" s="149">
        <v>50</v>
      </c>
      <c r="I569" s="157">
        <v>3600</v>
      </c>
      <c r="J569" s="159">
        <f t="shared" si="74"/>
        <v>180000</v>
      </c>
      <c r="K569" s="152"/>
      <c r="L569" s="203"/>
    </row>
    <row r="570" spans="1:12" s="141" customFormat="1">
      <c r="A570" s="147">
        <v>26</v>
      </c>
      <c r="B570" s="143" t="s">
        <v>800</v>
      </c>
      <c r="C570" s="143" t="s">
        <v>803</v>
      </c>
      <c r="D570" s="143" t="s">
        <v>1496</v>
      </c>
      <c r="E570" s="148" t="s">
        <v>1497</v>
      </c>
      <c r="F570" s="143">
        <v>1</v>
      </c>
      <c r="G570" s="143" t="s">
        <v>1498</v>
      </c>
      <c r="H570" s="149">
        <v>1</v>
      </c>
      <c r="I570" s="157">
        <v>24500</v>
      </c>
      <c r="J570" s="159">
        <f t="shared" si="74"/>
        <v>24500</v>
      </c>
      <c r="K570" s="152"/>
      <c r="L570" s="203"/>
    </row>
    <row r="571" spans="1:12" s="141" customFormat="1">
      <c r="A571" s="147">
        <v>27</v>
      </c>
      <c r="B571" s="143" t="s">
        <v>800</v>
      </c>
      <c r="C571" s="143" t="s">
        <v>803</v>
      </c>
      <c r="D571" s="143" t="s">
        <v>1499</v>
      </c>
      <c r="E571" s="148" t="s">
        <v>1500</v>
      </c>
      <c r="F571" s="143">
        <v>1</v>
      </c>
      <c r="G571" s="143" t="s">
        <v>1254</v>
      </c>
      <c r="H571" s="149">
        <v>1</v>
      </c>
      <c r="I571" s="157">
        <v>6500</v>
      </c>
      <c r="J571" s="159">
        <f t="shared" si="74"/>
        <v>6500</v>
      </c>
      <c r="K571" s="152"/>
      <c r="L571" s="203"/>
    </row>
    <row r="572" spans="1:12" s="141" customFormat="1">
      <c r="A572" s="147">
        <v>28</v>
      </c>
      <c r="B572" s="143" t="s">
        <v>800</v>
      </c>
      <c r="C572" s="143" t="s">
        <v>803</v>
      </c>
      <c r="D572" s="143" t="s">
        <v>1501</v>
      </c>
      <c r="E572" s="148" t="s">
        <v>1502</v>
      </c>
      <c r="F572" s="143">
        <v>1</v>
      </c>
      <c r="G572" s="143" t="s">
        <v>1254</v>
      </c>
      <c r="H572" s="149">
        <v>1</v>
      </c>
      <c r="I572" s="157">
        <v>8000</v>
      </c>
      <c r="J572" s="159">
        <f t="shared" si="74"/>
        <v>8000</v>
      </c>
      <c r="K572" s="152"/>
      <c r="L572" s="203"/>
    </row>
    <row r="573" spans="1:12" s="141" customFormat="1">
      <c r="A573" s="147">
        <v>29</v>
      </c>
      <c r="B573" s="143" t="s">
        <v>800</v>
      </c>
      <c r="C573" s="143" t="s">
        <v>803</v>
      </c>
      <c r="D573" s="143" t="s">
        <v>1503</v>
      </c>
      <c r="E573" s="148" t="s">
        <v>1504</v>
      </c>
      <c r="F573" s="143">
        <v>1</v>
      </c>
      <c r="G573" s="143" t="s">
        <v>1505</v>
      </c>
      <c r="H573" s="149">
        <v>1</v>
      </c>
      <c r="I573" s="157">
        <v>2500</v>
      </c>
      <c r="J573" s="159">
        <f t="shared" si="74"/>
        <v>2500</v>
      </c>
      <c r="K573" s="152"/>
      <c r="L573" s="203"/>
    </row>
    <row r="574" spans="1:12" s="141" customFormat="1">
      <c r="A574" s="147">
        <v>30</v>
      </c>
      <c r="B574" s="143" t="s">
        <v>800</v>
      </c>
      <c r="C574" s="143" t="s">
        <v>803</v>
      </c>
      <c r="D574" s="143" t="s">
        <v>1414</v>
      </c>
      <c r="E574" s="148" t="s">
        <v>1506</v>
      </c>
      <c r="F574" s="143">
        <v>2</v>
      </c>
      <c r="G574" s="143" t="s">
        <v>1254</v>
      </c>
      <c r="H574" s="149">
        <v>2</v>
      </c>
      <c r="I574" s="157">
        <v>5500</v>
      </c>
      <c r="J574" s="159">
        <f t="shared" si="74"/>
        <v>11000</v>
      </c>
      <c r="K574" s="152"/>
      <c r="L574" s="203"/>
    </row>
    <row r="575" spans="1:12" s="141" customFormat="1">
      <c r="A575" s="147">
        <v>31</v>
      </c>
      <c r="B575" s="143" t="s">
        <v>800</v>
      </c>
      <c r="C575" s="143" t="s">
        <v>803</v>
      </c>
      <c r="D575" s="143" t="s">
        <v>1507</v>
      </c>
      <c r="E575" s="148" t="s">
        <v>1508</v>
      </c>
      <c r="F575" s="143">
        <v>1</v>
      </c>
      <c r="G575" s="143" t="s">
        <v>1505</v>
      </c>
      <c r="H575" s="149">
        <v>1</v>
      </c>
      <c r="I575" s="157">
        <v>15000</v>
      </c>
      <c r="J575" s="159">
        <f t="shared" si="74"/>
        <v>15000</v>
      </c>
      <c r="K575" s="152"/>
      <c r="L575" s="203"/>
    </row>
    <row r="576" spans="1:12" s="141" customFormat="1">
      <c r="A576" s="147">
        <v>32</v>
      </c>
      <c r="B576" s="143" t="s">
        <v>800</v>
      </c>
      <c r="C576" s="143" t="s">
        <v>803</v>
      </c>
      <c r="D576" s="143" t="s">
        <v>1509</v>
      </c>
      <c r="E576" s="148" t="s">
        <v>1510</v>
      </c>
      <c r="F576" s="143">
        <v>1</v>
      </c>
      <c r="G576" s="143" t="s">
        <v>1254</v>
      </c>
      <c r="H576" s="149">
        <v>1</v>
      </c>
      <c r="I576" s="157">
        <v>2500</v>
      </c>
      <c r="J576" s="159">
        <f t="shared" si="74"/>
        <v>2500</v>
      </c>
      <c r="K576" s="152"/>
      <c r="L576" s="203"/>
    </row>
    <row r="577" spans="1:12" s="141" customFormat="1">
      <c r="A577" s="147">
        <v>33</v>
      </c>
      <c r="B577" s="143" t="s">
        <v>800</v>
      </c>
      <c r="C577" s="143" t="s">
        <v>803</v>
      </c>
      <c r="D577" s="143" t="s">
        <v>1511</v>
      </c>
      <c r="E577" s="148" t="s">
        <v>1512</v>
      </c>
      <c r="F577" s="143">
        <v>6</v>
      </c>
      <c r="G577" s="143" t="s">
        <v>1254</v>
      </c>
      <c r="H577" s="149">
        <v>6</v>
      </c>
      <c r="I577" s="157">
        <v>7500</v>
      </c>
      <c r="J577" s="159">
        <f t="shared" si="74"/>
        <v>45000</v>
      </c>
      <c r="K577" s="152"/>
      <c r="L577" s="203"/>
    </row>
    <row r="578" spans="1:12" s="141" customFormat="1">
      <c r="A578" s="147">
        <v>34</v>
      </c>
      <c r="B578" s="143" t="s">
        <v>800</v>
      </c>
      <c r="C578" s="143" t="s">
        <v>803</v>
      </c>
      <c r="D578" s="143" t="s">
        <v>1513</v>
      </c>
      <c r="E578" s="148" t="s">
        <v>1514</v>
      </c>
      <c r="F578" s="143">
        <v>1</v>
      </c>
      <c r="G578" s="143" t="s">
        <v>1254</v>
      </c>
      <c r="H578" s="149">
        <v>1</v>
      </c>
      <c r="I578" s="157">
        <v>5500</v>
      </c>
      <c r="J578" s="159">
        <f t="shared" si="74"/>
        <v>5500</v>
      </c>
      <c r="K578" s="152"/>
      <c r="L578" s="203"/>
    </row>
    <row r="579" spans="1:12" s="141" customFormat="1">
      <c r="A579" s="147">
        <v>35</v>
      </c>
      <c r="B579" s="143" t="s">
        <v>800</v>
      </c>
      <c r="C579" s="143" t="s">
        <v>803</v>
      </c>
      <c r="D579" s="143" t="s">
        <v>1515</v>
      </c>
      <c r="E579" s="148" t="s">
        <v>1486</v>
      </c>
      <c r="F579" s="143">
        <v>1</v>
      </c>
      <c r="G579" s="143" t="s">
        <v>1410</v>
      </c>
      <c r="H579" s="149">
        <v>1</v>
      </c>
      <c r="I579" s="157">
        <v>1500</v>
      </c>
      <c r="J579" s="159">
        <f t="shared" si="74"/>
        <v>1500</v>
      </c>
      <c r="K579" s="152"/>
      <c r="L579" s="203"/>
    </row>
    <row r="580" spans="1:12" s="141" customFormat="1">
      <c r="A580" s="147">
        <v>36</v>
      </c>
      <c r="B580" s="143" t="s">
        <v>800</v>
      </c>
      <c r="C580" s="143" t="s">
        <v>803</v>
      </c>
      <c r="D580" s="143" t="s">
        <v>1516</v>
      </c>
      <c r="E580" s="148" t="s">
        <v>1517</v>
      </c>
      <c r="F580" s="143">
        <v>1</v>
      </c>
      <c r="G580" s="143" t="s">
        <v>1410</v>
      </c>
      <c r="H580" s="149">
        <v>1</v>
      </c>
      <c r="I580" s="157">
        <v>240000</v>
      </c>
      <c r="J580" s="159">
        <f t="shared" si="74"/>
        <v>240000</v>
      </c>
      <c r="K580" s="152"/>
      <c r="L580" s="203"/>
    </row>
    <row r="581" spans="1:12" s="141" customFormat="1">
      <c r="A581" s="147">
        <v>37</v>
      </c>
      <c r="B581" s="143" t="s">
        <v>800</v>
      </c>
      <c r="C581" s="143" t="s">
        <v>803</v>
      </c>
      <c r="D581" s="143" t="s">
        <v>1485</v>
      </c>
      <c r="E581" s="148" t="s">
        <v>1542</v>
      </c>
      <c r="F581" s="143">
        <v>38</v>
      </c>
      <c r="G581" s="143" t="s">
        <v>1410</v>
      </c>
      <c r="H581" s="149">
        <v>38</v>
      </c>
      <c r="I581" s="157">
        <v>900</v>
      </c>
      <c r="J581" s="159">
        <f t="shared" si="74"/>
        <v>34200</v>
      </c>
      <c r="K581" s="152"/>
      <c r="L581" s="203"/>
    </row>
    <row r="582" spans="1:12" s="141" customFormat="1">
      <c r="A582" s="147"/>
      <c r="B582" s="187"/>
      <c r="C582" s="187"/>
      <c r="D582" s="201" t="s">
        <v>1552</v>
      </c>
      <c r="E582" s="202" t="s">
        <v>1554</v>
      </c>
      <c r="F582" s="187">
        <v>1</v>
      </c>
      <c r="G582" s="187"/>
      <c r="H582" s="188"/>
      <c r="I582" s="199"/>
      <c r="J582" s="196"/>
      <c r="K582" s="191"/>
      <c r="L582" s="203"/>
    </row>
    <row r="583" spans="1:12" s="141" customFormat="1">
      <c r="A583" s="147">
        <v>1</v>
      </c>
      <c r="B583" s="143" t="s">
        <v>800</v>
      </c>
      <c r="C583" s="143" t="s">
        <v>803</v>
      </c>
      <c r="D583" s="143" t="s">
        <v>1518</v>
      </c>
      <c r="E583" s="148" t="s">
        <v>1519</v>
      </c>
      <c r="F583" s="143">
        <v>3</v>
      </c>
      <c r="G583" s="143" t="s">
        <v>1520</v>
      </c>
      <c r="H583" s="149">
        <v>3</v>
      </c>
      <c r="I583" s="157">
        <v>33000</v>
      </c>
      <c r="J583" s="159">
        <f t="shared" si="74"/>
        <v>99000</v>
      </c>
      <c r="K583" s="152"/>
      <c r="L583" s="203"/>
    </row>
    <row r="584" spans="1:12" s="141" customFormat="1">
      <c r="A584" s="147">
        <v>2</v>
      </c>
      <c r="B584" s="143" t="s">
        <v>800</v>
      </c>
      <c r="C584" s="143" t="s">
        <v>803</v>
      </c>
      <c r="D584" s="143" t="s">
        <v>1521</v>
      </c>
      <c r="E584" s="148" t="s">
        <v>1522</v>
      </c>
      <c r="F584" s="143">
        <v>1</v>
      </c>
      <c r="G584" s="143" t="s">
        <v>1520</v>
      </c>
      <c r="H584" s="149">
        <v>1</v>
      </c>
      <c r="I584" s="157">
        <v>23000</v>
      </c>
      <c r="J584" s="159">
        <f t="shared" si="74"/>
        <v>23000</v>
      </c>
      <c r="K584" s="152"/>
      <c r="L584" s="203"/>
    </row>
    <row r="585" spans="1:12" s="141" customFormat="1">
      <c r="A585" s="147">
        <v>3</v>
      </c>
      <c r="B585" s="143" t="s">
        <v>800</v>
      </c>
      <c r="C585" s="143" t="s">
        <v>803</v>
      </c>
      <c r="D585" s="143" t="s">
        <v>1523</v>
      </c>
      <c r="E585" s="148" t="s">
        <v>1524</v>
      </c>
      <c r="F585" s="143">
        <v>6</v>
      </c>
      <c r="G585" s="143" t="s">
        <v>1520</v>
      </c>
      <c r="H585" s="149">
        <v>6</v>
      </c>
      <c r="I585" s="157">
        <v>54000</v>
      </c>
      <c r="J585" s="159">
        <f t="shared" si="74"/>
        <v>324000</v>
      </c>
      <c r="K585" s="152"/>
      <c r="L585" s="203"/>
    </row>
    <row r="586" spans="1:12" s="141" customFormat="1">
      <c r="A586" s="147">
        <v>4</v>
      </c>
      <c r="B586" s="143" t="s">
        <v>800</v>
      </c>
      <c r="C586" s="143" t="s">
        <v>803</v>
      </c>
      <c r="D586" s="143" t="s">
        <v>1525</v>
      </c>
      <c r="E586" s="148" t="s">
        <v>1526</v>
      </c>
      <c r="F586" s="143">
        <v>3</v>
      </c>
      <c r="G586" s="143" t="s">
        <v>1527</v>
      </c>
      <c r="H586" s="149">
        <v>3</v>
      </c>
      <c r="I586" s="157">
        <v>43000</v>
      </c>
      <c r="J586" s="159">
        <f t="shared" si="74"/>
        <v>129000</v>
      </c>
      <c r="K586" s="152"/>
      <c r="L586" s="203"/>
    </row>
    <row r="587" spans="1:12" s="141" customFormat="1">
      <c r="A587" s="147">
        <v>5</v>
      </c>
      <c r="B587" s="143" t="s">
        <v>800</v>
      </c>
      <c r="C587" s="143" t="s">
        <v>803</v>
      </c>
      <c r="D587" s="143" t="s">
        <v>1528</v>
      </c>
      <c r="E587" s="148" t="s">
        <v>1529</v>
      </c>
      <c r="F587" s="143">
        <v>4</v>
      </c>
      <c r="G587" s="143" t="s">
        <v>1254</v>
      </c>
      <c r="H587" s="149">
        <v>4</v>
      </c>
      <c r="I587" s="157">
        <v>1000</v>
      </c>
      <c r="J587" s="159">
        <f t="shared" si="74"/>
        <v>4000</v>
      </c>
      <c r="K587" s="152"/>
      <c r="L587" s="203"/>
    </row>
    <row r="588" spans="1:12" s="141" customFormat="1">
      <c r="A588" s="147">
        <v>6</v>
      </c>
      <c r="B588" s="143" t="s">
        <v>800</v>
      </c>
      <c r="C588" s="143" t="s">
        <v>803</v>
      </c>
      <c r="D588" s="143" t="s">
        <v>1530</v>
      </c>
      <c r="E588" s="148" t="s">
        <v>1409</v>
      </c>
      <c r="F588" s="143">
        <v>12</v>
      </c>
      <c r="G588" s="143" t="s">
        <v>1410</v>
      </c>
      <c r="H588" s="149">
        <v>12</v>
      </c>
      <c r="I588" s="157">
        <v>1300</v>
      </c>
      <c r="J588" s="159">
        <f t="shared" si="74"/>
        <v>15600</v>
      </c>
      <c r="K588" s="152"/>
      <c r="L588" s="203"/>
    </row>
    <row r="589" spans="1:12" s="141" customFormat="1">
      <c r="A589" s="147"/>
      <c r="B589" s="187"/>
      <c r="C589" s="187"/>
      <c r="D589" s="201" t="s">
        <v>1553</v>
      </c>
      <c r="E589" s="202" t="s">
        <v>1555</v>
      </c>
      <c r="F589" s="187">
        <v>1</v>
      </c>
      <c r="G589" s="187"/>
      <c r="H589" s="188"/>
      <c r="I589" s="199"/>
      <c r="J589" s="196"/>
      <c r="K589" s="191"/>
      <c r="L589" s="203"/>
    </row>
    <row r="590" spans="1:12" s="141" customFormat="1">
      <c r="A590" s="147">
        <v>1</v>
      </c>
      <c r="B590" s="143" t="s">
        <v>800</v>
      </c>
      <c r="C590" s="143" t="s">
        <v>803</v>
      </c>
      <c r="D590" s="143" t="s">
        <v>1518</v>
      </c>
      <c r="E590" s="148" t="s">
        <v>1519</v>
      </c>
      <c r="F590" s="143">
        <v>4</v>
      </c>
      <c r="G590" s="143" t="s">
        <v>1520</v>
      </c>
      <c r="H590" s="149">
        <v>4</v>
      </c>
      <c r="I590" s="157">
        <v>33000</v>
      </c>
      <c r="J590" s="159">
        <f t="shared" si="74"/>
        <v>132000</v>
      </c>
      <c r="K590" s="152"/>
      <c r="L590" s="203"/>
    </row>
    <row r="591" spans="1:12" s="141" customFormat="1">
      <c r="A591" s="147">
        <v>2</v>
      </c>
      <c r="B591" s="143" t="s">
        <v>800</v>
      </c>
      <c r="C591" s="143" t="s">
        <v>803</v>
      </c>
      <c r="D591" s="143" t="s">
        <v>1521</v>
      </c>
      <c r="E591" s="148" t="s">
        <v>1522</v>
      </c>
      <c r="F591" s="143">
        <v>1</v>
      </c>
      <c r="G591" s="143" t="s">
        <v>1520</v>
      </c>
      <c r="H591" s="149">
        <v>1</v>
      </c>
      <c r="I591" s="157">
        <v>23000</v>
      </c>
      <c r="J591" s="159">
        <f t="shared" si="74"/>
        <v>23000</v>
      </c>
      <c r="K591" s="152"/>
      <c r="L591" s="203"/>
    </row>
    <row r="592" spans="1:12" s="141" customFormat="1">
      <c r="A592" s="147">
        <v>3</v>
      </c>
      <c r="B592" s="143" t="s">
        <v>800</v>
      </c>
      <c r="C592" s="143" t="s">
        <v>803</v>
      </c>
      <c r="D592" s="143" t="s">
        <v>1523</v>
      </c>
      <c r="E592" s="148" t="s">
        <v>1524</v>
      </c>
      <c r="F592" s="143">
        <v>8</v>
      </c>
      <c r="G592" s="143" t="s">
        <v>1520</v>
      </c>
      <c r="H592" s="149">
        <v>8</v>
      </c>
      <c r="I592" s="157">
        <v>54000</v>
      </c>
      <c r="J592" s="159">
        <f t="shared" si="74"/>
        <v>432000</v>
      </c>
      <c r="K592" s="152"/>
      <c r="L592" s="203"/>
    </row>
    <row r="593" spans="1:12" s="141" customFormat="1">
      <c r="A593" s="147">
        <v>4</v>
      </c>
      <c r="B593" s="143" t="s">
        <v>800</v>
      </c>
      <c r="C593" s="143" t="s">
        <v>803</v>
      </c>
      <c r="D593" s="143" t="s">
        <v>1525</v>
      </c>
      <c r="E593" s="148" t="s">
        <v>1526</v>
      </c>
      <c r="F593" s="143">
        <v>3</v>
      </c>
      <c r="G593" s="143" t="s">
        <v>1527</v>
      </c>
      <c r="H593" s="149">
        <v>3</v>
      </c>
      <c r="I593" s="157">
        <v>43000</v>
      </c>
      <c r="J593" s="159">
        <f t="shared" si="74"/>
        <v>129000</v>
      </c>
      <c r="K593" s="152"/>
      <c r="L593" s="203"/>
    </row>
    <row r="594" spans="1:12" s="141" customFormat="1">
      <c r="A594" s="147">
        <v>5</v>
      </c>
      <c r="B594" s="143" t="s">
        <v>800</v>
      </c>
      <c r="C594" s="143" t="s">
        <v>803</v>
      </c>
      <c r="D594" s="143" t="s">
        <v>1528</v>
      </c>
      <c r="E594" s="148" t="s">
        <v>1529</v>
      </c>
      <c r="F594" s="143">
        <v>4</v>
      </c>
      <c r="G594" s="143" t="s">
        <v>1254</v>
      </c>
      <c r="H594" s="149">
        <v>4</v>
      </c>
      <c r="I594" s="157">
        <v>1000</v>
      </c>
      <c r="J594" s="159">
        <f t="shared" si="74"/>
        <v>4000</v>
      </c>
      <c r="K594" s="152"/>
      <c r="L594" s="203"/>
    </row>
    <row r="595" spans="1:12" s="141" customFormat="1">
      <c r="A595" s="147">
        <v>6</v>
      </c>
      <c r="B595" s="143" t="s">
        <v>800</v>
      </c>
      <c r="C595" s="143" t="s">
        <v>803</v>
      </c>
      <c r="D595" s="143" t="s">
        <v>1530</v>
      </c>
      <c r="E595" s="148" t="s">
        <v>1409</v>
      </c>
      <c r="F595" s="143">
        <v>12</v>
      </c>
      <c r="G595" s="143" t="s">
        <v>1410</v>
      </c>
      <c r="H595" s="149">
        <v>12</v>
      </c>
      <c r="I595" s="157">
        <v>1300</v>
      </c>
      <c r="J595" s="159">
        <f t="shared" si="74"/>
        <v>15600</v>
      </c>
      <c r="K595" s="152"/>
      <c r="L595" s="203"/>
    </row>
    <row r="596" spans="1:12" s="141" customFormat="1">
      <c r="A596" s="147"/>
      <c r="B596" s="187"/>
      <c r="C596" s="187"/>
      <c r="D596" s="200" t="s">
        <v>1550</v>
      </c>
      <c r="E596" s="187" t="s">
        <v>1320</v>
      </c>
      <c r="F596" s="187">
        <v>1</v>
      </c>
      <c r="G596" s="187"/>
      <c r="H596" s="188"/>
      <c r="I596" s="189"/>
      <c r="J596" s="196"/>
      <c r="K596" s="191"/>
      <c r="L596" s="203"/>
    </row>
    <row r="597" spans="1:12" s="141" customFormat="1">
      <c r="A597" s="147">
        <v>1</v>
      </c>
      <c r="B597" s="143" t="s">
        <v>800</v>
      </c>
      <c r="C597" s="143" t="s">
        <v>803</v>
      </c>
      <c r="D597" s="143" t="s">
        <v>1313</v>
      </c>
      <c r="E597" s="143" t="s">
        <v>1369</v>
      </c>
      <c r="F597" s="143">
        <v>2</v>
      </c>
      <c r="G597" s="143" t="s">
        <v>1314</v>
      </c>
      <c r="H597" s="149">
        <f t="shared" ref="H597:H600" si="77">F597*J$4</f>
        <v>2</v>
      </c>
      <c r="I597" s="157">
        <v>90000</v>
      </c>
      <c r="J597" s="159">
        <f t="shared" si="74"/>
        <v>180000</v>
      </c>
      <c r="K597" s="152"/>
      <c r="L597" s="203"/>
    </row>
    <row r="598" spans="1:12" s="141" customFormat="1">
      <c r="A598" s="147">
        <v>2</v>
      </c>
      <c r="B598" s="143" t="s">
        <v>800</v>
      </c>
      <c r="C598" s="143" t="s">
        <v>803</v>
      </c>
      <c r="D598" s="143" t="s">
        <v>1433</v>
      </c>
      <c r="E598" s="143" t="s">
        <v>1434</v>
      </c>
      <c r="F598" s="143">
        <v>1</v>
      </c>
      <c r="G598" s="143" t="s">
        <v>1326</v>
      </c>
      <c r="H598" s="149">
        <f t="shared" si="77"/>
        <v>1</v>
      </c>
      <c r="I598" s="157">
        <v>11000</v>
      </c>
      <c r="J598" s="159">
        <f t="shared" si="74"/>
        <v>11000</v>
      </c>
      <c r="K598" s="152"/>
      <c r="L598" s="203"/>
    </row>
    <row r="599" spans="1:12" s="141" customFormat="1">
      <c r="A599" s="147">
        <v>3</v>
      </c>
      <c r="B599" s="143" t="s">
        <v>800</v>
      </c>
      <c r="C599" s="143" t="s">
        <v>803</v>
      </c>
      <c r="D599" s="143" t="s">
        <v>1537</v>
      </c>
      <c r="E599" s="143" t="s">
        <v>1540</v>
      </c>
      <c r="F599" s="143">
        <v>1</v>
      </c>
      <c r="G599" s="143" t="s">
        <v>1326</v>
      </c>
      <c r="H599" s="149">
        <f t="shared" si="77"/>
        <v>1</v>
      </c>
      <c r="I599" s="157">
        <v>15000</v>
      </c>
      <c r="J599" s="159">
        <f t="shared" si="74"/>
        <v>15000</v>
      </c>
      <c r="K599" s="152"/>
      <c r="L599" s="203"/>
    </row>
    <row r="600" spans="1:12" s="141" customFormat="1">
      <c r="A600" s="147">
        <v>4</v>
      </c>
      <c r="B600" s="143" t="s">
        <v>800</v>
      </c>
      <c r="C600" s="143" t="s">
        <v>803</v>
      </c>
      <c r="D600" s="143" t="s">
        <v>1431</v>
      </c>
      <c r="E600" s="143" t="s">
        <v>1432</v>
      </c>
      <c r="F600" s="143">
        <v>4</v>
      </c>
      <c r="G600" s="143" t="s">
        <v>1427</v>
      </c>
      <c r="H600" s="149">
        <f t="shared" si="77"/>
        <v>4</v>
      </c>
      <c r="I600" s="157">
        <v>1100</v>
      </c>
      <c r="J600" s="159">
        <f t="shared" si="74"/>
        <v>4400</v>
      </c>
      <c r="K600" s="152"/>
      <c r="L600" s="203"/>
    </row>
    <row r="601" spans="1:12" s="141" customFormat="1">
      <c r="A601" s="147"/>
      <c r="B601" s="187"/>
      <c r="C601" s="187"/>
      <c r="D601" s="200" t="s">
        <v>1551</v>
      </c>
      <c r="E601" s="187" t="s">
        <v>1320</v>
      </c>
      <c r="F601" s="187">
        <v>1</v>
      </c>
      <c r="G601" s="187"/>
      <c r="H601" s="188"/>
      <c r="I601" s="189"/>
      <c r="J601" s="196"/>
      <c r="K601" s="191"/>
      <c r="L601" s="203"/>
    </row>
    <row r="602" spans="1:12" s="141" customFormat="1">
      <c r="A602" s="147">
        <v>1</v>
      </c>
      <c r="B602" s="143" t="s">
        <v>800</v>
      </c>
      <c r="C602" s="143" t="s">
        <v>803</v>
      </c>
      <c r="D602" s="143" t="s">
        <v>1313</v>
      </c>
      <c r="E602" s="143" t="s">
        <v>1369</v>
      </c>
      <c r="F602" s="143">
        <v>2</v>
      </c>
      <c r="G602" s="143" t="s">
        <v>1314</v>
      </c>
      <c r="H602" s="149">
        <f t="shared" ref="H602:H605" si="78">F602*J$4</f>
        <v>2</v>
      </c>
      <c r="I602" s="157">
        <v>90000</v>
      </c>
      <c r="J602" s="159">
        <f t="shared" si="74"/>
        <v>180000</v>
      </c>
      <c r="K602" s="152"/>
      <c r="L602" s="203"/>
    </row>
    <row r="603" spans="1:12" s="141" customFormat="1">
      <c r="A603" s="147">
        <v>2</v>
      </c>
      <c r="B603" s="143" t="s">
        <v>800</v>
      </c>
      <c r="C603" s="143" t="s">
        <v>803</v>
      </c>
      <c r="D603" s="143" t="s">
        <v>1433</v>
      </c>
      <c r="E603" s="143" t="s">
        <v>1434</v>
      </c>
      <c r="F603" s="143">
        <v>1</v>
      </c>
      <c r="G603" s="143" t="s">
        <v>1326</v>
      </c>
      <c r="H603" s="149">
        <f t="shared" si="78"/>
        <v>1</v>
      </c>
      <c r="I603" s="157">
        <v>11000</v>
      </c>
      <c r="J603" s="159">
        <f t="shared" si="74"/>
        <v>11000</v>
      </c>
      <c r="K603" s="152"/>
      <c r="L603" s="203"/>
    </row>
    <row r="604" spans="1:12" s="141" customFormat="1">
      <c r="A604" s="147">
        <v>3</v>
      </c>
      <c r="B604" s="143" t="s">
        <v>800</v>
      </c>
      <c r="C604" s="143" t="s">
        <v>803</v>
      </c>
      <c r="D604" s="143" t="s">
        <v>1537</v>
      </c>
      <c r="E604" s="143" t="s">
        <v>1540</v>
      </c>
      <c r="F604" s="143">
        <v>1</v>
      </c>
      <c r="G604" s="143" t="s">
        <v>1326</v>
      </c>
      <c r="H604" s="149">
        <f t="shared" si="78"/>
        <v>1</v>
      </c>
      <c r="I604" s="157">
        <v>15000</v>
      </c>
      <c r="J604" s="159">
        <f t="shared" si="74"/>
        <v>15000</v>
      </c>
      <c r="K604" s="152"/>
      <c r="L604" s="203"/>
    </row>
    <row r="605" spans="1:12" s="141" customFormat="1">
      <c r="A605" s="147">
        <v>4</v>
      </c>
      <c r="B605" s="143" t="s">
        <v>800</v>
      </c>
      <c r="C605" s="143" t="s">
        <v>803</v>
      </c>
      <c r="D605" s="143" t="s">
        <v>1431</v>
      </c>
      <c r="E605" s="143" t="s">
        <v>1432</v>
      </c>
      <c r="F605" s="143">
        <v>4</v>
      </c>
      <c r="G605" s="143" t="s">
        <v>1427</v>
      </c>
      <c r="H605" s="149">
        <f t="shared" si="78"/>
        <v>4</v>
      </c>
      <c r="I605" s="157">
        <v>1100</v>
      </c>
      <c r="J605" s="159">
        <f t="shared" si="74"/>
        <v>4400</v>
      </c>
      <c r="K605" s="152"/>
      <c r="L605" s="203"/>
    </row>
    <row r="606" spans="1:12" s="141" customFormat="1">
      <c r="A606" s="147"/>
      <c r="B606" s="187"/>
      <c r="C606" s="187"/>
      <c r="D606" s="187" t="s">
        <v>1532</v>
      </c>
      <c r="E606" s="198" t="s">
        <v>1533</v>
      </c>
      <c r="F606" s="187">
        <v>1</v>
      </c>
      <c r="G606" s="187"/>
      <c r="H606" s="188"/>
      <c r="I606" s="199"/>
      <c r="J606" s="196"/>
      <c r="K606" s="191"/>
      <c r="L606" s="203"/>
    </row>
    <row r="607" spans="1:12" s="141" customFormat="1">
      <c r="A607" s="147">
        <v>1</v>
      </c>
      <c r="B607" s="143" t="s">
        <v>800</v>
      </c>
      <c r="C607" s="143" t="s">
        <v>803</v>
      </c>
      <c r="D607" s="143" t="s">
        <v>1531</v>
      </c>
      <c r="E607" s="148" t="s">
        <v>1519</v>
      </c>
      <c r="F607" s="143">
        <v>3</v>
      </c>
      <c r="G607" s="143" t="s">
        <v>1520</v>
      </c>
      <c r="H607" s="149">
        <v>3</v>
      </c>
      <c r="I607" s="157">
        <v>33000</v>
      </c>
      <c r="J607" s="159">
        <f t="shared" si="74"/>
        <v>99000</v>
      </c>
      <c r="K607" s="152"/>
      <c r="L607" s="203"/>
    </row>
    <row r="608" spans="1:12" s="141" customFormat="1">
      <c r="A608" s="147">
        <v>2</v>
      </c>
      <c r="B608" s="143" t="s">
        <v>800</v>
      </c>
      <c r="C608" s="143" t="s">
        <v>803</v>
      </c>
      <c r="D608" s="143" t="s">
        <v>1521</v>
      </c>
      <c r="E608" s="148" t="s">
        <v>1522</v>
      </c>
      <c r="F608" s="143">
        <v>1</v>
      </c>
      <c r="G608" s="143" t="s">
        <v>1520</v>
      </c>
      <c r="H608" s="149">
        <v>1</v>
      </c>
      <c r="I608" s="157">
        <v>23000</v>
      </c>
      <c r="J608" s="159">
        <f t="shared" si="74"/>
        <v>23000</v>
      </c>
      <c r="K608" s="152"/>
      <c r="L608" s="203"/>
    </row>
    <row r="609" spans="1:14" s="141" customFormat="1">
      <c r="A609" s="147">
        <v>3</v>
      </c>
      <c r="B609" s="143" t="s">
        <v>800</v>
      </c>
      <c r="C609" s="143" t="s">
        <v>803</v>
      </c>
      <c r="D609" s="143" t="s">
        <v>1523</v>
      </c>
      <c r="E609" s="148" t="s">
        <v>1524</v>
      </c>
      <c r="F609" s="143">
        <v>4</v>
      </c>
      <c r="G609" s="143" t="s">
        <v>1520</v>
      </c>
      <c r="H609" s="149">
        <v>4</v>
      </c>
      <c r="I609" s="157">
        <v>54000</v>
      </c>
      <c r="J609" s="159">
        <f t="shared" si="74"/>
        <v>216000</v>
      </c>
      <c r="K609" s="152"/>
      <c r="L609" s="203"/>
      <c r="M609" s="206">
        <v>16363636</v>
      </c>
      <c r="N609" s="207" t="s">
        <v>1556</v>
      </c>
    </row>
    <row r="610" spans="1:14" s="141" customFormat="1">
      <c r="A610" s="147">
        <v>4</v>
      </c>
      <c r="B610" s="143" t="s">
        <v>800</v>
      </c>
      <c r="C610" s="143" t="s">
        <v>803</v>
      </c>
      <c r="D610" s="143" t="s">
        <v>1525</v>
      </c>
      <c r="E610" s="148" t="s">
        <v>1526</v>
      </c>
      <c r="F610" s="143">
        <v>3</v>
      </c>
      <c r="G610" s="143" t="s">
        <v>1527</v>
      </c>
      <c r="H610" s="149">
        <v>3</v>
      </c>
      <c r="I610" s="157">
        <v>43000</v>
      </c>
      <c r="J610" s="159">
        <f t="shared" si="74"/>
        <v>129000</v>
      </c>
      <c r="K610" s="152"/>
      <c r="L610" s="203"/>
      <c r="M610" s="154">
        <f>2200000+700000</f>
        <v>2900000</v>
      </c>
      <c r="N610" s="208" t="s">
        <v>1560</v>
      </c>
    </row>
    <row r="611" spans="1:14" s="141" customFormat="1">
      <c r="A611" s="147">
        <v>5</v>
      </c>
      <c r="B611" s="143" t="s">
        <v>800</v>
      </c>
      <c r="C611" s="143" t="s">
        <v>803</v>
      </c>
      <c r="D611" s="143" t="s">
        <v>1528</v>
      </c>
      <c r="E611" s="148" t="s">
        <v>1534</v>
      </c>
      <c r="F611" s="143">
        <v>4</v>
      </c>
      <c r="G611" s="143" t="s">
        <v>1254</v>
      </c>
      <c r="H611" s="149">
        <v>4</v>
      </c>
      <c r="I611" s="157">
        <v>1000</v>
      </c>
      <c r="J611" s="159">
        <f t="shared" si="74"/>
        <v>4000</v>
      </c>
      <c r="K611" s="152"/>
      <c r="L611" s="203"/>
      <c r="M611" s="154">
        <f>L614*7%</f>
        <v>582553.30000000005</v>
      </c>
      <c r="N611" s="208" t="s">
        <v>1557</v>
      </c>
    </row>
    <row r="612" spans="1:14" s="141" customFormat="1">
      <c r="A612" s="147">
        <v>6</v>
      </c>
      <c r="B612" s="143" t="s">
        <v>800</v>
      </c>
      <c r="C612" s="143" t="s">
        <v>803</v>
      </c>
      <c r="D612" s="143" t="s">
        <v>1535</v>
      </c>
      <c r="E612" s="148" t="s">
        <v>1536</v>
      </c>
      <c r="F612" s="143">
        <v>1</v>
      </c>
      <c r="G612" s="143" t="s">
        <v>1254</v>
      </c>
      <c r="H612" s="149">
        <v>1</v>
      </c>
      <c r="I612" s="157">
        <v>3000</v>
      </c>
      <c r="J612" s="159">
        <f t="shared" si="74"/>
        <v>3000</v>
      </c>
      <c r="K612" s="152"/>
      <c r="L612" s="203"/>
      <c r="M612" s="154">
        <f>(L614+M611)*20%</f>
        <v>1780948.6600000001</v>
      </c>
      <c r="N612" s="208" t="s">
        <v>1558</v>
      </c>
    </row>
    <row r="613" spans="1:14" s="141" customFormat="1" ht="23" thickBot="1">
      <c r="A613" s="147">
        <v>7</v>
      </c>
      <c r="B613" s="143" t="s">
        <v>800</v>
      </c>
      <c r="C613" s="143" t="s">
        <v>803</v>
      </c>
      <c r="D613" s="143" t="s">
        <v>1530</v>
      </c>
      <c r="E613" s="148" t="s">
        <v>1409</v>
      </c>
      <c r="F613" s="143">
        <v>12</v>
      </c>
      <c r="G613" s="143" t="s">
        <v>1410</v>
      </c>
      <c r="H613" s="149">
        <v>12</v>
      </c>
      <c r="I613" s="157">
        <v>1300</v>
      </c>
      <c r="J613" s="159">
        <f t="shared" si="74"/>
        <v>15600</v>
      </c>
      <c r="K613" s="152"/>
      <c r="L613" s="203"/>
      <c r="M613" s="154">
        <f>(L614+M611+M612)*25%</f>
        <v>2671422.9900000002</v>
      </c>
      <c r="N613" s="208" t="s">
        <v>1559</v>
      </c>
    </row>
    <row r="614" spans="1:14" s="141" customFormat="1" ht="23" thickBot="1">
      <c r="A614" s="160">
        <v>8</v>
      </c>
      <c r="B614" s="193" t="s">
        <v>800</v>
      </c>
      <c r="C614" s="193" t="s">
        <v>803</v>
      </c>
      <c r="D614" s="193" t="s">
        <v>1290</v>
      </c>
      <c r="E614" s="193"/>
      <c r="F614" s="193">
        <v>1</v>
      </c>
      <c r="G614" s="193"/>
      <c r="H614" s="194">
        <f>J12*F614</f>
        <v>1</v>
      </c>
      <c r="I614" s="227">
        <v>1532840</v>
      </c>
      <c r="J614" s="226">
        <f>H614*I614</f>
        <v>1532840</v>
      </c>
      <c r="K614" s="195"/>
      <c r="L614" s="204">
        <f>SUM(J545:J581)+SUM(J590:J595)</f>
        <v>8322190</v>
      </c>
      <c r="M614" s="209">
        <f>L614+M610+M611+M612+M613</f>
        <v>16257114.950000001</v>
      </c>
      <c r="N614" s="141" t="s">
        <v>1307</v>
      </c>
    </row>
  </sheetData>
  <mergeCells count="23">
    <mergeCell ref="E8:I8"/>
    <mergeCell ref="E9:I9"/>
    <mergeCell ref="E10:I10"/>
    <mergeCell ref="E11:I11"/>
    <mergeCell ref="J7:K7"/>
    <mergeCell ref="J8:K8"/>
    <mergeCell ref="J9:K9"/>
    <mergeCell ref="E6:I6"/>
    <mergeCell ref="J6:K6"/>
    <mergeCell ref="E13:I13"/>
    <mergeCell ref="J13:K13"/>
    <mergeCell ref="E1:I1"/>
    <mergeCell ref="E3:I3"/>
    <mergeCell ref="J3:K3"/>
    <mergeCell ref="E4:I4"/>
    <mergeCell ref="J4:K4"/>
    <mergeCell ref="E5:I5"/>
    <mergeCell ref="J5:K5"/>
    <mergeCell ref="J10:K10"/>
    <mergeCell ref="J11:K11"/>
    <mergeCell ref="J12:K12"/>
    <mergeCell ref="E7:I7"/>
    <mergeCell ref="E12:I1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5" orientation="landscape" verticalDpi="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topLeftCell="A58" workbookViewId="0">
      <selection activeCell="G69" sqref="G69:H69"/>
    </sheetView>
  </sheetViews>
  <sheetFormatPr defaultRowHeight="17"/>
  <cols>
    <col min="2" max="2" width="7" customWidth="1"/>
    <col min="3" max="3" width="11.25" style="1" customWidth="1"/>
    <col min="4" max="4" width="18" customWidth="1"/>
    <col min="6" max="6" width="9.83203125" bestFit="1" customWidth="1"/>
    <col min="7" max="7" width="14.5" style="1" customWidth="1"/>
    <col min="8" max="8" width="15.08203125" style="215" bestFit="1" customWidth="1"/>
  </cols>
  <sheetData>
    <row r="1" spans="1:8">
      <c r="A1" s="257">
        <v>1</v>
      </c>
      <c r="B1" s="348" t="s">
        <v>1564</v>
      </c>
      <c r="C1" s="11" t="s">
        <v>1565</v>
      </c>
      <c r="D1" s="220" t="s">
        <v>1566</v>
      </c>
      <c r="E1" s="221">
        <f>8+12</f>
        <v>20</v>
      </c>
      <c r="F1" s="222">
        <f>(20*380)/6000</f>
        <v>1.2666666666666666</v>
      </c>
      <c r="G1" s="11" t="s">
        <v>1567</v>
      </c>
      <c r="H1" s="223">
        <f>F1*15000</f>
        <v>19000</v>
      </c>
    </row>
    <row r="2" spans="1:8">
      <c r="A2" s="258"/>
      <c r="B2" s="349"/>
      <c r="C2" s="349" t="s">
        <v>1568</v>
      </c>
      <c r="D2" s="218" t="s">
        <v>1569</v>
      </c>
      <c r="E2" s="216">
        <v>3</v>
      </c>
      <c r="F2" s="217">
        <f>(3*2930)/8000</f>
        <v>1.0987499999999999</v>
      </c>
      <c r="G2" s="349" t="s">
        <v>1570</v>
      </c>
      <c r="H2" s="225">
        <f>F2*16000</f>
        <v>17580</v>
      </c>
    </row>
    <row r="3" spans="1:8">
      <c r="A3" s="258"/>
      <c r="B3" s="349"/>
      <c r="C3" s="349"/>
      <c r="D3" s="218" t="s">
        <v>1571</v>
      </c>
      <c r="E3" s="216">
        <v>3</v>
      </c>
      <c r="F3" s="217">
        <f>(3*4590)/8000</f>
        <v>1.7212499999999999</v>
      </c>
      <c r="G3" s="349"/>
      <c r="H3" s="225">
        <f>F3*16000</f>
        <v>27540</v>
      </c>
    </row>
    <row r="4" spans="1:8">
      <c r="A4" s="258"/>
      <c r="B4" s="349"/>
      <c r="C4" s="13" t="s">
        <v>1572</v>
      </c>
      <c r="D4" s="218" t="s">
        <v>1573</v>
      </c>
      <c r="E4" s="216">
        <v>3</v>
      </c>
      <c r="F4" s="217"/>
      <c r="G4" s="13" t="s">
        <v>1574</v>
      </c>
      <c r="H4" s="225">
        <f>E4*22000</f>
        <v>66000</v>
      </c>
    </row>
    <row r="5" spans="1:8">
      <c r="A5" s="258"/>
      <c r="B5" s="349"/>
      <c r="C5" s="13" t="s">
        <v>1575</v>
      </c>
      <c r="D5" s="218" t="s">
        <v>1576</v>
      </c>
      <c r="E5" s="216">
        <f>4+6</f>
        <v>10</v>
      </c>
      <c r="F5" s="217">
        <f>(10*1500)/6000</f>
        <v>2.5</v>
      </c>
      <c r="G5" s="13" t="s">
        <v>1577</v>
      </c>
      <c r="H5" s="225">
        <f>F5*17000</f>
        <v>42500</v>
      </c>
    </row>
    <row r="6" spans="1:8">
      <c r="A6" s="258"/>
      <c r="B6" s="349"/>
      <c r="C6" s="13" t="s">
        <v>1578</v>
      </c>
      <c r="D6" s="219" t="s">
        <v>1579</v>
      </c>
      <c r="E6" s="216">
        <f>2+2+2+2</f>
        <v>8</v>
      </c>
      <c r="F6" s="216"/>
      <c r="G6" s="13" t="s">
        <v>1580</v>
      </c>
      <c r="H6" s="225">
        <f>E6*17000</f>
        <v>136000</v>
      </c>
    </row>
    <row r="7" spans="1:8">
      <c r="A7" s="258"/>
      <c r="B7" s="349"/>
      <c r="C7" s="13" t="s">
        <v>1581</v>
      </c>
      <c r="D7" s="218"/>
      <c r="E7" s="216"/>
      <c r="F7" s="216"/>
      <c r="G7" s="13"/>
      <c r="H7" s="225">
        <v>300000</v>
      </c>
    </row>
    <row r="8" spans="1:8">
      <c r="A8" s="258"/>
      <c r="B8" s="349"/>
      <c r="C8" s="13" t="s">
        <v>1582</v>
      </c>
      <c r="D8" s="218"/>
      <c r="E8" s="216"/>
      <c r="F8" s="216"/>
      <c r="G8" s="13"/>
      <c r="H8" s="225">
        <f>E5*7000</f>
        <v>70000</v>
      </c>
    </row>
    <row r="9" spans="1:8">
      <c r="A9" s="258"/>
      <c r="B9" s="349"/>
      <c r="C9" s="13" t="s">
        <v>1583</v>
      </c>
      <c r="D9" s="218"/>
      <c r="E9" s="216"/>
      <c r="F9" s="216"/>
      <c r="G9" s="13"/>
      <c r="H9" s="225">
        <v>70000</v>
      </c>
    </row>
    <row r="10" spans="1:8">
      <c r="A10" s="258"/>
      <c r="B10" s="349"/>
      <c r="C10" s="13" t="s">
        <v>1584</v>
      </c>
      <c r="D10" s="218"/>
      <c r="E10" s="216"/>
      <c r="F10" s="216"/>
      <c r="G10" s="13"/>
      <c r="H10" s="225">
        <v>100000</v>
      </c>
    </row>
    <row r="11" spans="1:8">
      <c r="A11" s="258"/>
      <c r="B11" s="349"/>
      <c r="C11" s="13" t="s">
        <v>1585</v>
      </c>
      <c r="D11" s="218"/>
      <c r="E11" s="216"/>
      <c r="F11" s="216"/>
      <c r="G11" s="13"/>
      <c r="H11" s="225">
        <f>(E2*3000)+(E3*5000)</f>
        <v>24000</v>
      </c>
    </row>
    <row r="12" spans="1:8">
      <c r="A12" s="258"/>
      <c r="B12" s="349"/>
      <c r="C12" s="13" t="s">
        <v>1586</v>
      </c>
      <c r="D12" s="218"/>
      <c r="E12" s="216"/>
      <c r="F12" s="216"/>
      <c r="G12" s="13"/>
      <c r="H12" s="225">
        <f>E1*200</f>
        <v>4000</v>
      </c>
    </row>
    <row r="13" spans="1:8" ht="26" thickBot="1">
      <c r="A13" s="259"/>
      <c r="B13" s="350" t="s">
        <v>265</v>
      </c>
      <c r="C13" s="351"/>
      <c r="D13" s="351"/>
      <c r="E13" s="351"/>
      <c r="F13" s="352"/>
      <c r="G13" s="346">
        <f>SUM(H1:H12)</f>
        <v>876620</v>
      </c>
      <c r="H13" s="347"/>
    </row>
    <row r="14" spans="1:8">
      <c r="A14" s="257">
        <v>2</v>
      </c>
      <c r="B14" s="348" t="s">
        <v>1587</v>
      </c>
      <c r="C14" s="11" t="s">
        <v>1565</v>
      </c>
      <c r="D14" s="220" t="s">
        <v>1566</v>
      </c>
      <c r="E14" s="221">
        <f>14+8+5</f>
        <v>27</v>
      </c>
      <c r="F14" s="222">
        <f>(27*380)/6000</f>
        <v>1.71</v>
      </c>
      <c r="G14" s="11" t="s">
        <v>1588</v>
      </c>
      <c r="H14" s="223">
        <f>F14*15000</f>
        <v>25650</v>
      </c>
    </row>
    <row r="15" spans="1:8">
      <c r="A15" s="258"/>
      <c r="B15" s="349"/>
      <c r="C15" s="349" t="s">
        <v>1568</v>
      </c>
      <c r="D15" s="218" t="s">
        <v>1589</v>
      </c>
      <c r="E15" s="216">
        <v>3</v>
      </c>
      <c r="F15" s="217">
        <f>(3*1680)/8000</f>
        <v>0.63</v>
      </c>
      <c r="G15" s="349" t="s">
        <v>1570</v>
      </c>
      <c r="H15" s="224">
        <f>F15*16000</f>
        <v>10080</v>
      </c>
    </row>
    <row r="16" spans="1:8">
      <c r="A16" s="258"/>
      <c r="B16" s="349"/>
      <c r="C16" s="349"/>
      <c r="D16" s="218" t="s">
        <v>1569</v>
      </c>
      <c r="E16" s="216">
        <v>3</v>
      </c>
      <c r="F16" s="217">
        <f>(3*2930)/8000</f>
        <v>1.0987499999999999</v>
      </c>
      <c r="G16" s="349"/>
      <c r="H16" s="224">
        <f>F16*16000</f>
        <v>17580</v>
      </c>
    </row>
    <row r="17" spans="1:8">
      <c r="A17" s="258"/>
      <c r="B17" s="349"/>
      <c r="C17" s="349"/>
      <c r="D17" s="218" t="s">
        <v>1590</v>
      </c>
      <c r="E17" s="216">
        <v>3</v>
      </c>
      <c r="F17" s="217">
        <f>(3*5420)/8000</f>
        <v>2.0325000000000002</v>
      </c>
      <c r="G17" s="349"/>
      <c r="H17" s="224">
        <f>F17*16000</f>
        <v>32520.000000000004</v>
      </c>
    </row>
    <row r="18" spans="1:8">
      <c r="A18" s="258"/>
      <c r="B18" s="349"/>
      <c r="C18" s="13" t="s">
        <v>1572</v>
      </c>
      <c r="D18" s="218" t="s">
        <v>1573</v>
      </c>
      <c r="E18" s="216">
        <v>4</v>
      </c>
      <c r="F18" s="216"/>
      <c r="G18" s="13" t="s">
        <v>1574</v>
      </c>
      <c r="H18" s="225">
        <f>E18*22000</f>
        <v>88000</v>
      </c>
    </row>
    <row r="19" spans="1:8">
      <c r="A19" s="258"/>
      <c r="B19" s="349"/>
      <c r="C19" s="13" t="s">
        <v>1575</v>
      </c>
      <c r="D19" s="218" t="s">
        <v>1576</v>
      </c>
      <c r="E19" s="216">
        <f>7+4+3</f>
        <v>14</v>
      </c>
      <c r="F19" s="217">
        <f>(14*1500)/6000</f>
        <v>3.5</v>
      </c>
      <c r="G19" s="13" t="s">
        <v>1577</v>
      </c>
      <c r="H19" s="225">
        <f>F19*17000</f>
        <v>59500</v>
      </c>
    </row>
    <row r="20" spans="1:8">
      <c r="A20" s="258"/>
      <c r="B20" s="349"/>
      <c r="C20" s="13" t="s">
        <v>1578</v>
      </c>
      <c r="D20" s="219" t="s">
        <v>1579</v>
      </c>
      <c r="E20" s="216">
        <f>2+2+2+2+3+3</f>
        <v>14</v>
      </c>
      <c r="F20" s="216"/>
      <c r="G20" s="13" t="s">
        <v>1580</v>
      </c>
      <c r="H20" s="225">
        <f>E20*17000</f>
        <v>238000</v>
      </c>
    </row>
    <row r="21" spans="1:8">
      <c r="A21" s="258"/>
      <c r="B21" s="349"/>
      <c r="C21" s="13" t="s">
        <v>1581</v>
      </c>
      <c r="D21" s="218"/>
      <c r="E21" s="216"/>
      <c r="F21" s="216"/>
      <c r="G21" s="13"/>
      <c r="H21" s="225">
        <v>300000</v>
      </c>
    </row>
    <row r="22" spans="1:8">
      <c r="A22" s="258"/>
      <c r="B22" s="349"/>
      <c r="C22" s="13" t="s">
        <v>1582</v>
      </c>
      <c r="D22" s="218"/>
      <c r="E22" s="216"/>
      <c r="F22" s="216"/>
      <c r="G22" s="13"/>
      <c r="H22" s="225">
        <f>E19*7000</f>
        <v>98000</v>
      </c>
    </row>
    <row r="23" spans="1:8">
      <c r="A23" s="258"/>
      <c r="B23" s="349"/>
      <c r="C23" s="13" t="s">
        <v>1583</v>
      </c>
      <c r="D23" s="218"/>
      <c r="E23" s="216"/>
      <c r="F23" s="216"/>
      <c r="G23" s="13"/>
      <c r="H23" s="225">
        <v>70000</v>
      </c>
    </row>
    <row r="24" spans="1:8">
      <c r="A24" s="258"/>
      <c r="B24" s="349"/>
      <c r="C24" s="13" t="s">
        <v>1584</v>
      </c>
      <c r="D24" s="218"/>
      <c r="E24" s="216"/>
      <c r="F24" s="216"/>
      <c r="G24" s="13"/>
      <c r="H24" s="225">
        <v>100000</v>
      </c>
    </row>
    <row r="25" spans="1:8">
      <c r="A25" s="258"/>
      <c r="B25" s="349"/>
      <c r="C25" s="13" t="s">
        <v>1585</v>
      </c>
      <c r="D25" s="218"/>
      <c r="E25" s="216"/>
      <c r="F25" s="216"/>
      <c r="G25" s="13"/>
      <c r="H25" s="225">
        <f>(E15+E16)*3000+(E17*7000)</f>
        <v>39000</v>
      </c>
    </row>
    <row r="26" spans="1:8">
      <c r="A26" s="258"/>
      <c r="B26" s="349"/>
      <c r="C26" s="13" t="s">
        <v>1586</v>
      </c>
      <c r="D26" s="218"/>
      <c r="E26" s="216"/>
      <c r="F26" s="216"/>
      <c r="G26" s="13"/>
      <c r="H26" s="225">
        <f>E14*200</f>
        <v>5400</v>
      </c>
    </row>
    <row r="27" spans="1:8" ht="26" thickBot="1">
      <c r="A27" s="259"/>
      <c r="B27" s="350" t="s">
        <v>265</v>
      </c>
      <c r="C27" s="351"/>
      <c r="D27" s="351"/>
      <c r="E27" s="351"/>
      <c r="F27" s="352"/>
      <c r="G27" s="346">
        <f>SUM(H14:H26)</f>
        <v>1083730</v>
      </c>
      <c r="H27" s="347"/>
    </row>
    <row r="28" spans="1:8">
      <c r="A28" s="257">
        <v>3</v>
      </c>
      <c r="B28" s="348" t="s">
        <v>1591</v>
      </c>
      <c r="C28" s="11" t="s">
        <v>1565</v>
      </c>
      <c r="D28" s="220" t="s">
        <v>1566</v>
      </c>
      <c r="E28" s="221">
        <f>14+12+8</f>
        <v>34</v>
      </c>
      <c r="F28" s="222">
        <f>(34*380)/6000</f>
        <v>2.1533333333333333</v>
      </c>
      <c r="G28" s="11" t="s">
        <v>1588</v>
      </c>
      <c r="H28" s="223">
        <f>F28*15000</f>
        <v>32300</v>
      </c>
    </row>
    <row r="29" spans="1:8">
      <c r="A29" s="258"/>
      <c r="B29" s="349"/>
      <c r="C29" s="349" t="s">
        <v>1568</v>
      </c>
      <c r="D29" s="218" t="s">
        <v>1569</v>
      </c>
      <c r="E29" s="216">
        <v>3</v>
      </c>
      <c r="F29" s="217">
        <f>(3*2930)/8000</f>
        <v>1.0987499999999999</v>
      </c>
      <c r="G29" s="349" t="s">
        <v>1570</v>
      </c>
      <c r="H29" s="224">
        <f>F29*16000</f>
        <v>17580</v>
      </c>
    </row>
    <row r="30" spans="1:8">
      <c r="A30" s="258"/>
      <c r="B30" s="349"/>
      <c r="C30" s="349"/>
      <c r="D30" s="218" t="s">
        <v>1571</v>
      </c>
      <c r="E30" s="216">
        <v>3</v>
      </c>
      <c r="F30" s="217">
        <f>(3*4590)/8000</f>
        <v>1.7212499999999999</v>
      </c>
      <c r="G30" s="349"/>
      <c r="H30" s="224">
        <f>F30*16000</f>
        <v>27540</v>
      </c>
    </row>
    <row r="31" spans="1:8">
      <c r="A31" s="258"/>
      <c r="B31" s="349"/>
      <c r="C31" s="349"/>
      <c r="D31" s="218" t="s">
        <v>1590</v>
      </c>
      <c r="E31" s="216">
        <v>3</v>
      </c>
      <c r="F31" s="217">
        <f>(3*5420)/8000</f>
        <v>2.0325000000000002</v>
      </c>
      <c r="G31" s="349"/>
      <c r="H31" s="224">
        <f>F31*16000</f>
        <v>32520.000000000004</v>
      </c>
    </row>
    <row r="32" spans="1:8">
      <c r="A32" s="258"/>
      <c r="B32" s="349"/>
      <c r="C32" s="13" t="s">
        <v>1572</v>
      </c>
      <c r="D32" s="218" t="s">
        <v>1573</v>
      </c>
      <c r="E32" s="216">
        <v>5</v>
      </c>
      <c r="F32" s="217"/>
      <c r="G32" s="13" t="s">
        <v>1574</v>
      </c>
      <c r="H32" s="225">
        <f>E32*22000</f>
        <v>110000</v>
      </c>
    </row>
    <row r="33" spans="1:8">
      <c r="A33" s="258"/>
      <c r="B33" s="349"/>
      <c r="C33" s="13" t="s">
        <v>1575</v>
      </c>
      <c r="D33" s="218" t="s">
        <v>1576</v>
      </c>
      <c r="E33" s="216">
        <f>7+4+6</f>
        <v>17</v>
      </c>
      <c r="F33" s="217">
        <f>(17*1500)/6000</f>
        <v>4.25</v>
      </c>
      <c r="G33" s="13" t="s">
        <v>1577</v>
      </c>
      <c r="H33" s="225">
        <f>F33*17000</f>
        <v>72250</v>
      </c>
    </row>
    <row r="34" spans="1:8">
      <c r="A34" s="258"/>
      <c r="B34" s="349"/>
      <c r="C34" s="13" t="s">
        <v>1578</v>
      </c>
      <c r="D34" s="219" t="s">
        <v>1579</v>
      </c>
      <c r="E34" s="216">
        <f>2+2+2+2+3+3</f>
        <v>14</v>
      </c>
      <c r="F34" s="217"/>
      <c r="G34" s="13" t="s">
        <v>1580</v>
      </c>
      <c r="H34" s="225">
        <f>E34*17000</f>
        <v>238000</v>
      </c>
    </row>
    <row r="35" spans="1:8">
      <c r="A35" s="258"/>
      <c r="B35" s="349"/>
      <c r="C35" s="13" t="s">
        <v>1581</v>
      </c>
      <c r="D35" s="218"/>
      <c r="E35" s="216"/>
      <c r="F35" s="216"/>
      <c r="G35" s="13"/>
      <c r="H35" s="225">
        <v>300000</v>
      </c>
    </row>
    <row r="36" spans="1:8">
      <c r="A36" s="258"/>
      <c r="B36" s="349"/>
      <c r="C36" s="13" t="s">
        <v>1582</v>
      </c>
      <c r="D36" s="218"/>
      <c r="E36" s="216"/>
      <c r="F36" s="216"/>
      <c r="G36" s="13"/>
      <c r="H36" s="225">
        <f>E33*7000</f>
        <v>119000</v>
      </c>
    </row>
    <row r="37" spans="1:8">
      <c r="A37" s="258"/>
      <c r="B37" s="349"/>
      <c r="C37" s="13" t="s">
        <v>1583</v>
      </c>
      <c r="D37" s="218"/>
      <c r="E37" s="216"/>
      <c r="F37" s="216"/>
      <c r="G37" s="13"/>
      <c r="H37" s="225">
        <v>70000</v>
      </c>
    </row>
    <row r="38" spans="1:8">
      <c r="A38" s="258"/>
      <c r="B38" s="349"/>
      <c r="C38" s="13" t="s">
        <v>1584</v>
      </c>
      <c r="D38" s="218"/>
      <c r="E38" s="216"/>
      <c r="F38" s="216"/>
      <c r="G38" s="13"/>
      <c r="H38" s="225">
        <v>100000</v>
      </c>
    </row>
    <row r="39" spans="1:8">
      <c r="A39" s="258"/>
      <c r="B39" s="349"/>
      <c r="C39" s="13" t="s">
        <v>1585</v>
      </c>
      <c r="D39" s="218"/>
      <c r="E39" s="216"/>
      <c r="F39" s="216"/>
      <c r="G39" s="13"/>
      <c r="H39" s="225">
        <f>(E29*3000)+(E30*5000)+(E31*7000)</f>
        <v>45000</v>
      </c>
    </row>
    <row r="40" spans="1:8">
      <c r="A40" s="258"/>
      <c r="B40" s="349"/>
      <c r="C40" s="13" t="s">
        <v>1586</v>
      </c>
      <c r="D40" s="218"/>
      <c r="E40" s="216"/>
      <c r="F40" s="216"/>
      <c r="G40" s="13"/>
      <c r="H40" s="225">
        <f>E28*200</f>
        <v>6800</v>
      </c>
    </row>
    <row r="41" spans="1:8" ht="26" thickBot="1">
      <c r="A41" s="259"/>
      <c r="B41" s="353" t="s">
        <v>265</v>
      </c>
      <c r="C41" s="353"/>
      <c r="D41" s="353"/>
      <c r="E41" s="353"/>
      <c r="F41" s="353"/>
      <c r="G41" s="354">
        <f>SUM(H28:H40)</f>
        <v>1170990</v>
      </c>
      <c r="H41" s="355"/>
    </row>
    <row r="42" spans="1:8">
      <c r="A42" s="257">
        <v>4</v>
      </c>
      <c r="B42" s="348" t="s">
        <v>1592</v>
      </c>
      <c r="C42" s="11" t="s">
        <v>1565</v>
      </c>
      <c r="D42" s="220" t="s">
        <v>1566</v>
      </c>
      <c r="E42" s="221">
        <f>14+14+8+3</f>
        <v>39</v>
      </c>
      <c r="F42" s="222">
        <f>(39*380)/6000</f>
        <v>2.4700000000000002</v>
      </c>
      <c r="G42" s="11" t="s">
        <v>1588</v>
      </c>
      <c r="H42" s="223">
        <f>F42*15000</f>
        <v>37050</v>
      </c>
    </row>
    <row r="43" spans="1:8">
      <c r="A43" s="258"/>
      <c r="B43" s="349"/>
      <c r="C43" s="349" t="s">
        <v>1568</v>
      </c>
      <c r="D43" s="218" t="s">
        <v>1593</v>
      </c>
      <c r="E43" s="216">
        <v>3</v>
      </c>
      <c r="F43" s="217">
        <f>(3*850)/8000</f>
        <v>0.31874999999999998</v>
      </c>
      <c r="G43" s="349" t="s">
        <v>1570</v>
      </c>
      <c r="H43" s="224">
        <f>F43*16000</f>
        <v>5100</v>
      </c>
    </row>
    <row r="44" spans="1:8">
      <c r="A44" s="258"/>
      <c r="B44" s="349"/>
      <c r="C44" s="349"/>
      <c r="D44" s="218" t="s">
        <v>1569</v>
      </c>
      <c r="E44" s="216">
        <v>3</v>
      </c>
      <c r="F44" s="217">
        <f>(3*2930)/8000</f>
        <v>1.0987499999999999</v>
      </c>
      <c r="G44" s="349"/>
      <c r="H44" s="224">
        <f>F44*16000</f>
        <v>17580</v>
      </c>
    </row>
    <row r="45" spans="1:8">
      <c r="A45" s="258"/>
      <c r="B45" s="349"/>
      <c r="C45" s="349"/>
      <c r="D45" s="218" t="s">
        <v>1590</v>
      </c>
      <c r="E45" s="216">
        <v>6</v>
      </c>
      <c r="F45" s="217">
        <f>(3*5420)/8000</f>
        <v>2.0325000000000002</v>
      </c>
      <c r="G45" s="349"/>
      <c r="H45" s="224">
        <f>F45*16000</f>
        <v>32520.000000000004</v>
      </c>
    </row>
    <row r="46" spans="1:8">
      <c r="A46" s="258"/>
      <c r="B46" s="349"/>
      <c r="C46" s="13" t="s">
        <v>1572</v>
      </c>
      <c r="D46" s="218" t="s">
        <v>1573</v>
      </c>
      <c r="E46" s="216">
        <v>6</v>
      </c>
      <c r="F46" s="217"/>
      <c r="G46" s="13" t="s">
        <v>1574</v>
      </c>
      <c r="H46" s="225">
        <f>E46*22000</f>
        <v>132000</v>
      </c>
    </row>
    <row r="47" spans="1:8">
      <c r="A47" s="258"/>
      <c r="B47" s="349"/>
      <c r="C47" s="13" t="s">
        <v>1575</v>
      </c>
      <c r="D47" s="218" t="s">
        <v>1576</v>
      </c>
      <c r="E47" s="216">
        <f>7+7+4+2</f>
        <v>20</v>
      </c>
      <c r="F47" s="217">
        <f>(20*1500)/6000</f>
        <v>5</v>
      </c>
      <c r="G47" s="13" t="s">
        <v>1577</v>
      </c>
      <c r="H47" s="225">
        <f>F47*17000</f>
        <v>85000</v>
      </c>
    </row>
    <row r="48" spans="1:8">
      <c r="A48" s="258"/>
      <c r="B48" s="349"/>
      <c r="C48" s="13" t="s">
        <v>1578</v>
      </c>
      <c r="D48" s="219" t="s">
        <v>1579</v>
      </c>
      <c r="E48" s="216">
        <f>2+2+2+2+3+3+3+3</f>
        <v>20</v>
      </c>
      <c r="F48" s="216"/>
      <c r="G48" s="13" t="s">
        <v>1580</v>
      </c>
      <c r="H48" s="225">
        <f>E48*17000</f>
        <v>340000</v>
      </c>
    </row>
    <row r="49" spans="1:8">
      <c r="A49" s="258"/>
      <c r="B49" s="349"/>
      <c r="C49" s="13" t="s">
        <v>1581</v>
      </c>
      <c r="D49" s="218"/>
      <c r="E49" s="216"/>
      <c r="F49" s="216"/>
      <c r="G49" s="13"/>
      <c r="H49" s="225">
        <v>400000</v>
      </c>
    </row>
    <row r="50" spans="1:8">
      <c r="A50" s="258"/>
      <c r="B50" s="349"/>
      <c r="C50" s="13" t="s">
        <v>1582</v>
      </c>
      <c r="D50" s="218"/>
      <c r="E50" s="216"/>
      <c r="F50" s="216"/>
      <c r="G50" s="13"/>
      <c r="H50" s="225">
        <f>E47*7000</f>
        <v>140000</v>
      </c>
    </row>
    <row r="51" spans="1:8">
      <c r="A51" s="258"/>
      <c r="B51" s="349"/>
      <c r="C51" s="13" t="s">
        <v>1583</v>
      </c>
      <c r="D51" s="218"/>
      <c r="E51" s="216"/>
      <c r="F51" s="216"/>
      <c r="G51" s="13"/>
      <c r="H51" s="225">
        <v>70000</v>
      </c>
    </row>
    <row r="52" spans="1:8">
      <c r="A52" s="258"/>
      <c r="B52" s="349"/>
      <c r="C52" s="13" t="s">
        <v>1584</v>
      </c>
      <c r="D52" s="218"/>
      <c r="E52" s="216"/>
      <c r="F52" s="216"/>
      <c r="G52" s="13"/>
      <c r="H52" s="225">
        <v>100000</v>
      </c>
    </row>
    <row r="53" spans="1:8">
      <c r="A53" s="258"/>
      <c r="B53" s="349"/>
      <c r="C53" s="13" t="s">
        <v>1585</v>
      </c>
      <c r="D53" s="218"/>
      <c r="E53" s="216"/>
      <c r="F53" s="216"/>
      <c r="G53" s="13"/>
      <c r="H53" s="225">
        <f>(E43*3000)+(E44*3000)+(E45*7000)</f>
        <v>60000</v>
      </c>
    </row>
    <row r="54" spans="1:8">
      <c r="A54" s="258"/>
      <c r="B54" s="349"/>
      <c r="C54" s="13" t="s">
        <v>1586</v>
      </c>
      <c r="D54" s="218"/>
      <c r="E54" s="216"/>
      <c r="F54" s="216"/>
      <c r="G54" s="13"/>
      <c r="H54" s="225">
        <f>E42*200</f>
        <v>7800</v>
      </c>
    </row>
    <row r="55" spans="1:8" ht="26" thickBot="1">
      <c r="A55" s="259"/>
      <c r="B55" s="343"/>
      <c r="C55" s="344"/>
      <c r="D55" s="344"/>
      <c r="E55" s="344"/>
      <c r="F55" s="345"/>
      <c r="G55" s="346">
        <f>SUM(H42:H54)</f>
        <v>1427050</v>
      </c>
      <c r="H55" s="347"/>
    </row>
    <row r="56" spans="1:8">
      <c r="A56" s="257">
        <v>5</v>
      </c>
      <c r="B56" s="348" t="s">
        <v>1594</v>
      </c>
      <c r="C56" s="11" t="s">
        <v>1565</v>
      </c>
      <c r="D56" s="220" t="s">
        <v>1566</v>
      </c>
      <c r="E56" s="221">
        <f>14+14+12+8</f>
        <v>48</v>
      </c>
      <c r="F56" s="222">
        <f>(48*380)/6000</f>
        <v>3.04</v>
      </c>
      <c r="G56" s="11" t="s">
        <v>1588</v>
      </c>
      <c r="H56" s="223">
        <f>F56*15000</f>
        <v>45600</v>
      </c>
    </row>
    <row r="57" spans="1:8">
      <c r="A57" s="258"/>
      <c r="B57" s="349"/>
      <c r="C57" s="349" t="s">
        <v>1568</v>
      </c>
      <c r="D57" s="218" t="s">
        <v>1569</v>
      </c>
      <c r="E57" s="216">
        <v>3</v>
      </c>
      <c r="F57" s="217">
        <f>(3*2930)/8000</f>
        <v>1.0987499999999999</v>
      </c>
      <c r="G57" s="349" t="s">
        <v>1570</v>
      </c>
      <c r="H57" s="224">
        <f>F57*16000</f>
        <v>17580</v>
      </c>
    </row>
    <row r="58" spans="1:8">
      <c r="A58" s="258"/>
      <c r="B58" s="349"/>
      <c r="C58" s="349"/>
      <c r="D58" s="218" t="s">
        <v>1571</v>
      </c>
      <c r="E58" s="216">
        <v>3</v>
      </c>
      <c r="F58" s="217">
        <f>(3*4590)/8000</f>
        <v>1.7212499999999999</v>
      </c>
      <c r="G58" s="349"/>
      <c r="H58" s="224">
        <f>F58*16000</f>
        <v>27540</v>
      </c>
    </row>
    <row r="59" spans="1:8">
      <c r="A59" s="258"/>
      <c r="B59" s="349"/>
      <c r="C59" s="349"/>
      <c r="D59" s="218" t="s">
        <v>1590</v>
      </c>
      <c r="E59" s="216">
        <v>6</v>
      </c>
      <c r="F59" s="217">
        <f>(3*5420)/8000</f>
        <v>2.0325000000000002</v>
      </c>
      <c r="G59" s="349"/>
      <c r="H59" s="224">
        <f>F59*16000</f>
        <v>32520.000000000004</v>
      </c>
    </row>
    <row r="60" spans="1:8">
      <c r="A60" s="258"/>
      <c r="B60" s="349"/>
      <c r="C60" s="13" t="s">
        <v>1572</v>
      </c>
      <c r="D60" s="218" t="s">
        <v>1573</v>
      </c>
      <c r="E60" s="216">
        <v>7</v>
      </c>
      <c r="F60" s="217"/>
      <c r="G60" s="13" t="s">
        <v>1574</v>
      </c>
      <c r="H60" s="225">
        <f>E60*22000</f>
        <v>154000</v>
      </c>
    </row>
    <row r="61" spans="1:8">
      <c r="A61" s="258"/>
      <c r="B61" s="349"/>
      <c r="C61" s="13" t="s">
        <v>1575</v>
      </c>
      <c r="D61" s="218" t="s">
        <v>1576</v>
      </c>
      <c r="E61" s="216">
        <f>7+7+4+6</f>
        <v>24</v>
      </c>
      <c r="F61" s="217">
        <f>(24*1500)/6000</f>
        <v>6</v>
      </c>
      <c r="G61" s="13" t="s">
        <v>1577</v>
      </c>
      <c r="H61" s="225">
        <f>F61*17000</f>
        <v>102000</v>
      </c>
    </row>
    <row r="62" spans="1:8">
      <c r="A62" s="258"/>
      <c r="B62" s="349"/>
      <c r="C62" s="13" t="s">
        <v>1578</v>
      </c>
      <c r="D62" s="219" t="s">
        <v>1579</v>
      </c>
      <c r="E62" s="216">
        <f>2+2+2+2+3+3+3+3</f>
        <v>20</v>
      </c>
      <c r="F62" s="216"/>
      <c r="G62" s="13" t="s">
        <v>1580</v>
      </c>
      <c r="H62" s="225">
        <f>E62*17000</f>
        <v>340000</v>
      </c>
    </row>
    <row r="63" spans="1:8">
      <c r="A63" s="258"/>
      <c r="B63" s="349"/>
      <c r="C63" s="13" t="s">
        <v>1581</v>
      </c>
      <c r="D63" s="218"/>
      <c r="E63" s="216"/>
      <c r="F63" s="216"/>
      <c r="G63" s="13"/>
      <c r="H63" s="225">
        <v>400000</v>
      </c>
    </row>
    <row r="64" spans="1:8">
      <c r="A64" s="258"/>
      <c r="B64" s="349"/>
      <c r="C64" s="13" t="s">
        <v>1582</v>
      </c>
      <c r="D64" s="218"/>
      <c r="E64" s="216"/>
      <c r="F64" s="216"/>
      <c r="G64" s="13"/>
      <c r="H64" s="225">
        <f>E61*7000</f>
        <v>168000</v>
      </c>
    </row>
    <row r="65" spans="1:8">
      <c r="A65" s="258"/>
      <c r="B65" s="349"/>
      <c r="C65" s="13" t="s">
        <v>1583</v>
      </c>
      <c r="D65" s="218"/>
      <c r="E65" s="216"/>
      <c r="F65" s="216"/>
      <c r="G65" s="13"/>
      <c r="H65" s="225">
        <v>70000</v>
      </c>
    </row>
    <row r="66" spans="1:8">
      <c r="A66" s="258"/>
      <c r="B66" s="349"/>
      <c r="C66" s="13" t="s">
        <v>1584</v>
      </c>
      <c r="D66" s="218"/>
      <c r="E66" s="216"/>
      <c r="F66" s="216"/>
      <c r="G66" s="13"/>
      <c r="H66" s="225">
        <v>100000</v>
      </c>
    </row>
    <row r="67" spans="1:8">
      <c r="A67" s="258"/>
      <c r="B67" s="349"/>
      <c r="C67" s="13" t="s">
        <v>1585</v>
      </c>
      <c r="D67" s="218"/>
      <c r="E67" s="216"/>
      <c r="F67" s="216"/>
      <c r="G67" s="13"/>
      <c r="H67" s="225">
        <f>(E57*3000)+(E58*5000)+(E59*7000)</f>
        <v>66000</v>
      </c>
    </row>
    <row r="68" spans="1:8">
      <c r="A68" s="258"/>
      <c r="B68" s="349"/>
      <c r="C68" s="13" t="s">
        <v>1586</v>
      </c>
      <c r="D68" s="218"/>
      <c r="E68" s="216"/>
      <c r="F68" s="216"/>
      <c r="G68" s="13"/>
      <c r="H68" s="225">
        <f>E56*200</f>
        <v>9600</v>
      </c>
    </row>
    <row r="69" spans="1:8" ht="26" thickBot="1">
      <c r="A69" s="259"/>
      <c r="B69" s="343"/>
      <c r="C69" s="344"/>
      <c r="D69" s="344"/>
      <c r="E69" s="344"/>
      <c r="F69" s="345"/>
      <c r="G69" s="346">
        <f>SUM(H56:H68)</f>
        <v>1532840</v>
      </c>
      <c r="H69" s="347"/>
    </row>
  </sheetData>
  <mergeCells count="30">
    <mergeCell ref="A28:A41"/>
    <mergeCell ref="B28:B40"/>
    <mergeCell ref="C29:C31"/>
    <mergeCell ref="G29:G31"/>
    <mergeCell ref="B42:B54"/>
    <mergeCell ref="C43:C45"/>
    <mergeCell ref="G43:G45"/>
    <mergeCell ref="B41:F41"/>
    <mergeCell ref="G41:H41"/>
    <mergeCell ref="A42:A55"/>
    <mergeCell ref="B55:F55"/>
    <mergeCell ref="G55:H55"/>
    <mergeCell ref="A1:A13"/>
    <mergeCell ref="B13:F13"/>
    <mergeCell ref="G13:H13"/>
    <mergeCell ref="A14:A27"/>
    <mergeCell ref="B27:F27"/>
    <mergeCell ref="G27:H27"/>
    <mergeCell ref="B1:B12"/>
    <mergeCell ref="C2:C3"/>
    <mergeCell ref="G2:G3"/>
    <mergeCell ref="B14:B26"/>
    <mergeCell ref="C15:C17"/>
    <mergeCell ref="G15:G17"/>
    <mergeCell ref="A56:A69"/>
    <mergeCell ref="B69:F69"/>
    <mergeCell ref="G69:H69"/>
    <mergeCell ref="B56:B68"/>
    <mergeCell ref="C57:C59"/>
    <mergeCell ref="G57:G59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8"/>
  <sheetViews>
    <sheetView topLeftCell="C1" zoomScale="90" zoomScaleNormal="90" workbookViewId="0">
      <selection activeCell="I47" sqref="I47"/>
    </sheetView>
  </sheetViews>
  <sheetFormatPr defaultColWidth="9" defaultRowHeight="17.5"/>
  <cols>
    <col min="1" max="1" width="3.5" style="175" customWidth="1"/>
    <col min="2" max="2" width="12.58203125" style="175" customWidth="1"/>
    <col min="3" max="3" width="15.83203125" style="175" customWidth="1"/>
    <col min="4" max="4" width="27.5" style="175" customWidth="1"/>
    <col min="5" max="5" width="51.75" style="175" customWidth="1"/>
    <col min="6" max="6" width="5.5" style="175" customWidth="1"/>
    <col min="7" max="7" width="26.58203125" style="175" customWidth="1"/>
    <col min="8" max="8" width="9" style="175" customWidth="1"/>
    <col min="9" max="9" width="11.25" style="175" customWidth="1"/>
    <col min="10" max="10" width="13.83203125" style="175" customWidth="1"/>
    <col min="11" max="11" width="12.83203125" style="175" customWidth="1"/>
    <col min="12" max="12" width="13.83203125" style="175" customWidth="1"/>
    <col min="13" max="13" width="16.08203125" style="175" customWidth="1"/>
    <col min="14" max="14" width="26.75" style="175" customWidth="1"/>
    <col min="15" max="16384" width="9" style="175"/>
  </cols>
  <sheetData>
    <row r="1" spans="5:11" s="141" customFormat="1" ht="33.75" customHeight="1">
      <c r="E1" s="342" t="s">
        <v>1139</v>
      </c>
      <c r="F1" s="342"/>
      <c r="G1" s="342"/>
      <c r="H1" s="342"/>
      <c r="I1" s="342"/>
      <c r="J1" s="153"/>
    </row>
    <row r="2" spans="5:11" s="141" customFormat="1">
      <c r="I2" s="154"/>
    </row>
    <row r="3" spans="5:11" s="155" customFormat="1" ht="12.75" customHeight="1">
      <c r="E3" s="339" t="s">
        <v>1032</v>
      </c>
      <c r="F3" s="339"/>
      <c r="G3" s="339"/>
      <c r="H3" s="339"/>
      <c r="I3" s="339"/>
      <c r="J3" s="340" t="s">
        <v>1033</v>
      </c>
      <c r="K3" s="341"/>
    </row>
    <row r="4" spans="5:11" s="155" customFormat="1" ht="12.75" hidden="1" customHeight="1">
      <c r="E4" s="339" t="s">
        <v>832</v>
      </c>
      <c r="F4" s="339"/>
      <c r="G4" s="339"/>
      <c r="H4" s="339"/>
      <c r="I4" s="339"/>
      <c r="J4" s="340">
        <v>1</v>
      </c>
      <c r="K4" s="341"/>
    </row>
    <row r="5" spans="5:11" s="155" customFormat="1" ht="12.75" hidden="1" customHeight="1">
      <c r="E5" s="339" t="s">
        <v>833</v>
      </c>
      <c r="F5" s="339"/>
      <c r="G5" s="339"/>
      <c r="H5" s="339"/>
      <c r="I5" s="339"/>
      <c r="J5" s="340">
        <v>1</v>
      </c>
      <c r="K5" s="341"/>
    </row>
    <row r="6" spans="5:11" s="155" customFormat="1" ht="12.75" hidden="1" customHeight="1">
      <c r="E6" s="339" t="s">
        <v>834</v>
      </c>
      <c r="F6" s="339"/>
      <c r="G6" s="339"/>
      <c r="H6" s="339"/>
      <c r="I6" s="339"/>
      <c r="J6" s="340">
        <v>1</v>
      </c>
      <c r="K6" s="341"/>
    </row>
    <row r="7" spans="5:11" s="155" customFormat="1" ht="12.75" hidden="1" customHeight="1">
      <c r="E7" s="339" t="s">
        <v>835</v>
      </c>
      <c r="F7" s="339"/>
      <c r="G7" s="339"/>
      <c r="H7" s="339"/>
      <c r="I7" s="339"/>
      <c r="J7" s="340">
        <v>1</v>
      </c>
      <c r="K7" s="341"/>
    </row>
    <row r="8" spans="5:11" s="155" customFormat="1" ht="12.75" hidden="1" customHeight="1">
      <c r="E8" s="339" t="s">
        <v>836</v>
      </c>
      <c r="F8" s="339"/>
      <c r="G8" s="339"/>
      <c r="H8" s="339"/>
      <c r="I8" s="339"/>
      <c r="J8" s="340">
        <v>1</v>
      </c>
      <c r="K8" s="341"/>
    </row>
    <row r="9" spans="5:11" s="155" customFormat="1" ht="12.75" hidden="1" customHeight="1">
      <c r="E9" s="339" t="s">
        <v>837</v>
      </c>
      <c r="F9" s="339"/>
      <c r="G9" s="339"/>
      <c r="H9" s="339"/>
      <c r="I9" s="339"/>
      <c r="J9" s="340">
        <v>1</v>
      </c>
      <c r="K9" s="341"/>
    </row>
    <row r="10" spans="5:11" s="155" customFormat="1" ht="12.75" hidden="1" customHeight="1">
      <c r="E10" s="339" t="s">
        <v>838</v>
      </c>
      <c r="F10" s="339"/>
      <c r="G10" s="339"/>
      <c r="H10" s="339"/>
      <c r="I10" s="339"/>
      <c r="J10" s="340">
        <v>1</v>
      </c>
      <c r="K10" s="341"/>
    </row>
    <row r="11" spans="5:11" s="155" customFormat="1" ht="12.75" hidden="1" customHeight="1">
      <c r="E11" s="339" t="s">
        <v>839</v>
      </c>
      <c r="F11" s="339"/>
      <c r="G11" s="339"/>
      <c r="H11" s="339"/>
      <c r="I11" s="339"/>
      <c r="J11" s="340">
        <v>1</v>
      </c>
      <c r="K11" s="341"/>
    </row>
    <row r="12" spans="5:11" s="155" customFormat="1" ht="12.75" hidden="1" customHeight="1">
      <c r="E12" s="339" t="s">
        <v>840</v>
      </c>
      <c r="F12" s="339"/>
      <c r="G12" s="339"/>
      <c r="H12" s="339"/>
      <c r="I12" s="339"/>
      <c r="J12" s="340">
        <v>1</v>
      </c>
      <c r="K12" s="341"/>
    </row>
    <row r="13" spans="5:11" s="155" customFormat="1" ht="12.75" hidden="1" customHeight="1">
      <c r="E13" s="339" t="s">
        <v>866</v>
      </c>
      <c r="F13" s="339"/>
      <c r="G13" s="339"/>
      <c r="H13" s="339"/>
      <c r="I13" s="339"/>
      <c r="J13" s="340">
        <v>1</v>
      </c>
      <c r="K13" s="341"/>
    </row>
    <row r="14" spans="5:11" s="155" customFormat="1" ht="12.75" hidden="1" customHeight="1">
      <c r="E14" s="339" t="s">
        <v>841</v>
      </c>
      <c r="F14" s="339"/>
      <c r="G14" s="339"/>
      <c r="H14" s="339"/>
      <c r="I14" s="339"/>
      <c r="J14" s="340">
        <v>1</v>
      </c>
      <c r="K14" s="341"/>
    </row>
    <row r="15" spans="5:11" s="155" customFormat="1" ht="12.75" hidden="1" customHeight="1">
      <c r="E15" s="339" t="s">
        <v>842</v>
      </c>
      <c r="F15" s="339"/>
      <c r="G15" s="339"/>
      <c r="H15" s="339"/>
      <c r="I15" s="339"/>
      <c r="J15" s="340">
        <v>1</v>
      </c>
      <c r="K15" s="341"/>
    </row>
    <row r="16" spans="5:11" s="155" customFormat="1" ht="12.75" hidden="1" customHeight="1">
      <c r="E16" s="339" t="s">
        <v>843</v>
      </c>
      <c r="F16" s="339"/>
      <c r="G16" s="339"/>
      <c r="H16" s="339"/>
      <c r="I16" s="339"/>
      <c r="J16" s="340">
        <v>1</v>
      </c>
      <c r="K16" s="341"/>
    </row>
    <row r="17" spans="5:12" s="155" customFormat="1" ht="12.75" hidden="1" customHeight="1">
      <c r="E17" s="339" t="s">
        <v>844</v>
      </c>
      <c r="F17" s="339"/>
      <c r="G17" s="339"/>
      <c r="H17" s="339"/>
      <c r="I17" s="339"/>
      <c r="J17" s="340">
        <v>1</v>
      </c>
      <c r="K17" s="341"/>
    </row>
    <row r="18" spans="5:12" s="155" customFormat="1" ht="12.75" hidden="1" customHeight="1">
      <c r="E18" s="339" t="s">
        <v>845</v>
      </c>
      <c r="F18" s="339"/>
      <c r="G18" s="339"/>
      <c r="H18" s="339"/>
      <c r="I18" s="339"/>
      <c r="J18" s="340">
        <v>1</v>
      </c>
      <c r="K18" s="341"/>
    </row>
    <row r="19" spans="5:12" s="155" customFormat="1" ht="12.75" hidden="1" customHeight="1">
      <c r="E19" s="339" t="s">
        <v>865</v>
      </c>
      <c r="F19" s="339"/>
      <c r="G19" s="339"/>
      <c r="H19" s="339"/>
      <c r="I19" s="339"/>
      <c r="J19" s="340">
        <v>1</v>
      </c>
      <c r="K19" s="341"/>
    </row>
    <row r="20" spans="5:12" s="155" customFormat="1" ht="12.75" hidden="1" customHeight="1">
      <c r="E20" s="339" t="s">
        <v>846</v>
      </c>
      <c r="F20" s="339"/>
      <c r="G20" s="339"/>
      <c r="H20" s="339"/>
      <c r="I20" s="339"/>
      <c r="J20" s="340">
        <v>1</v>
      </c>
      <c r="K20" s="341"/>
    </row>
    <row r="21" spans="5:12" s="155" customFormat="1" ht="12.75" hidden="1" customHeight="1">
      <c r="E21" s="339" t="s">
        <v>847</v>
      </c>
      <c r="F21" s="339"/>
      <c r="G21" s="339"/>
      <c r="H21" s="339"/>
      <c r="I21" s="339"/>
      <c r="J21" s="340">
        <v>1</v>
      </c>
      <c r="K21" s="341"/>
    </row>
    <row r="22" spans="5:12" s="155" customFormat="1" ht="12.75" hidden="1" customHeight="1">
      <c r="E22" s="340" t="s">
        <v>848</v>
      </c>
      <c r="F22" s="356"/>
      <c r="G22" s="356"/>
      <c r="H22" s="356"/>
      <c r="I22" s="341"/>
      <c r="J22" s="340">
        <v>1</v>
      </c>
      <c r="K22" s="341"/>
    </row>
    <row r="23" spans="5:12" s="155" customFormat="1" ht="12.75" hidden="1" customHeight="1">
      <c r="E23" s="340" t="s">
        <v>849</v>
      </c>
      <c r="F23" s="356"/>
      <c r="G23" s="356"/>
      <c r="H23" s="356"/>
      <c r="I23" s="341"/>
      <c r="J23" s="340">
        <v>1</v>
      </c>
      <c r="K23" s="341"/>
    </row>
    <row r="24" spans="5:12" s="155" customFormat="1" ht="12.75" hidden="1" customHeight="1">
      <c r="E24" s="340" t="s">
        <v>853</v>
      </c>
      <c r="F24" s="356"/>
      <c r="G24" s="356"/>
      <c r="H24" s="356"/>
      <c r="I24" s="341"/>
      <c r="J24" s="340">
        <v>1</v>
      </c>
      <c r="K24" s="341"/>
    </row>
    <row r="25" spans="5:12" s="155" customFormat="1" ht="12.75" hidden="1" customHeight="1">
      <c r="E25" s="340" t="s">
        <v>850</v>
      </c>
      <c r="F25" s="356"/>
      <c r="G25" s="356"/>
      <c r="H25" s="356"/>
      <c r="I25" s="341"/>
      <c r="J25" s="340">
        <v>1</v>
      </c>
      <c r="K25" s="341"/>
    </row>
    <row r="26" spans="5:12" s="155" customFormat="1" ht="12.75" hidden="1" customHeight="1">
      <c r="E26" s="340" t="s">
        <v>851</v>
      </c>
      <c r="F26" s="356"/>
      <c r="G26" s="356"/>
      <c r="H26" s="356"/>
      <c r="I26" s="341"/>
      <c r="J26" s="340">
        <v>1</v>
      </c>
      <c r="K26" s="341"/>
    </row>
    <row r="27" spans="5:12" s="155" customFormat="1" ht="12.75" hidden="1" customHeight="1">
      <c r="E27" s="340" t="s">
        <v>856</v>
      </c>
      <c r="F27" s="356"/>
      <c r="G27" s="356"/>
      <c r="H27" s="356"/>
      <c r="I27" s="341"/>
      <c r="J27" s="340">
        <v>1</v>
      </c>
      <c r="K27" s="341"/>
    </row>
    <row r="28" spans="5:12" s="155" customFormat="1" ht="12.75" hidden="1" customHeight="1">
      <c r="E28" s="340" t="s">
        <v>857</v>
      </c>
      <c r="F28" s="356"/>
      <c r="G28" s="356"/>
      <c r="H28" s="356"/>
      <c r="I28" s="341"/>
      <c r="J28" s="340">
        <v>1</v>
      </c>
      <c r="K28" s="341"/>
    </row>
    <row r="29" spans="5:12" s="155" customFormat="1" ht="12.75" hidden="1" customHeight="1">
      <c r="E29" s="340" t="s">
        <v>860</v>
      </c>
      <c r="F29" s="356"/>
      <c r="G29" s="356"/>
      <c r="H29" s="356"/>
      <c r="I29" s="341"/>
      <c r="J29" s="340">
        <v>1</v>
      </c>
      <c r="K29" s="341"/>
      <c r="L29" s="155" t="s">
        <v>536</v>
      </c>
    </row>
    <row r="30" spans="5:12" s="155" customFormat="1" ht="12.75" hidden="1" customHeight="1">
      <c r="E30" s="340" t="s">
        <v>862</v>
      </c>
      <c r="F30" s="356"/>
      <c r="G30" s="356"/>
      <c r="H30" s="356"/>
      <c r="I30" s="341"/>
      <c r="J30" s="340">
        <v>1</v>
      </c>
      <c r="K30" s="341"/>
    </row>
    <row r="31" spans="5:12" s="155" customFormat="1" ht="12.75" hidden="1" customHeight="1">
      <c r="E31" s="340" t="s">
        <v>863</v>
      </c>
      <c r="F31" s="356"/>
      <c r="G31" s="356"/>
      <c r="H31" s="356"/>
      <c r="I31" s="341"/>
      <c r="J31" s="340">
        <v>1</v>
      </c>
      <c r="K31" s="341"/>
    </row>
    <row r="32" spans="5:12" s="155" customFormat="1" ht="12.75" hidden="1" customHeight="1">
      <c r="E32" s="340" t="s">
        <v>852</v>
      </c>
      <c r="F32" s="356"/>
      <c r="G32" s="356"/>
      <c r="H32" s="356"/>
      <c r="I32" s="341"/>
      <c r="J32" s="340">
        <v>1</v>
      </c>
      <c r="K32" s="341"/>
    </row>
    <row r="33" spans="1:11" s="155" customFormat="1" ht="12.75" hidden="1" customHeight="1">
      <c r="E33" s="340" t="s">
        <v>855</v>
      </c>
      <c r="F33" s="356"/>
      <c r="G33" s="356"/>
      <c r="H33" s="356"/>
      <c r="I33" s="341"/>
      <c r="J33" s="340">
        <v>1</v>
      </c>
      <c r="K33" s="341"/>
    </row>
    <row r="34" spans="1:11" s="155" customFormat="1" ht="12.75" hidden="1" customHeight="1">
      <c r="E34" s="340" t="s">
        <v>854</v>
      </c>
      <c r="F34" s="356"/>
      <c r="G34" s="356"/>
      <c r="H34" s="356"/>
      <c r="I34" s="341"/>
      <c r="J34" s="340">
        <v>1</v>
      </c>
      <c r="K34" s="341"/>
    </row>
    <row r="35" spans="1:11" s="155" customFormat="1" ht="12.75" hidden="1" customHeight="1">
      <c r="E35" s="340" t="s">
        <v>859</v>
      </c>
      <c r="F35" s="356"/>
      <c r="G35" s="356"/>
      <c r="H35" s="356"/>
      <c r="I35" s="341"/>
      <c r="J35" s="340">
        <v>1</v>
      </c>
      <c r="K35" s="341"/>
    </row>
    <row r="36" spans="1:11" s="155" customFormat="1" ht="12.75" hidden="1" customHeight="1">
      <c r="E36" s="340" t="s">
        <v>858</v>
      </c>
      <c r="F36" s="356"/>
      <c r="G36" s="356"/>
      <c r="H36" s="356"/>
      <c r="I36" s="341"/>
      <c r="J36" s="340">
        <v>1</v>
      </c>
      <c r="K36" s="341"/>
    </row>
    <row r="37" spans="1:11" s="155" customFormat="1" ht="12.75" hidden="1" customHeight="1">
      <c r="E37" s="340" t="s">
        <v>861</v>
      </c>
      <c r="F37" s="356"/>
      <c r="G37" s="356"/>
      <c r="H37" s="356"/>
      <c r="I37" s="341"/>
      <c r="J37" s="340">
        <v>1</v>
      </c>
      <c r="K37" s="341"/>
    </row>
    <row r="38" spans="1:11" s="155" customFormat="1" ht="12.75" hidden="1" customHeight="1">
      <c r="E38" s="340" t="s">
        <v>864</v>
      </c>
      <c r="F38" s="356"/>
      <c r="G38" s="356"/>
      <c r="H38" s="356"/>
      <c r="I38" s="341"/>
      <c r="J38" s="340">
        <v>1</v>
      </c>
      <c r="K38" s="341"/>
    </row>
    <row r="39" spans="1:11" s="155" customFormat="1" ht="12.75" customHeight="1">
      <c r="E39" s="339" t="s">
        <v>265</v>
      </c>
      <c r="F39" s="339"/>
      <c r="G39" s="339"/>
      <c r="H39" s="339"/>
      <c r="I39" s="339"/>
      <c r="J39" s="340">
        <f>SUM(J4:K38)</f>
        <v>35</v>
      </c>
      <c r="K39" s="341"/>
    </row>
    <row r="40" spans="1:11" s="141" customFormat="1" ht="12" customHeight="1" thickBot="1">
      <c r="I40" s="154"/>
    </row>
    <row r="41" spans="1:11" s="141" customFormat="1" ht="18" thickBot="1">
      <c r="A41" s="137" t="s">
        <v>80</v>
      </c>
      <c r="B41" s="138" t="s">
        <v>1003</v>
      </c>
      <c r="C41" s="138" t="s">
        <v>1004</v>
      </c>
      <c r="D41" s="138" t="s">
        <v>1005</v>
      </c>
      <c r="E41" s="138" t="s">
        <v>1006</v>
      </c>
      <c r="F41" s="138" t="s">
        <v>1007</v>
      </c>
      <c r="G41" s="138" t="s">
        <v>1008</v>
      </c>
      <c r="H41" s="138" t="s">
        <v>1009</v>
      </c>
      <c r="I41" s="139" t="s">
        <v>1010</v>
      </c>
      <c r="J41" s="138" t="s">
        <v>1030</v>
      </c>
      <c r="K41" s="140" t="s">
        <v>1031</v>
      </c>
    </row>
    <row r="42" spans="1:11" s="141" customFormat="1" ht="20.25" customHeight="1">
      <c r="A42" s="142">
        <v>1</v>
      </c>
      <c r="B42" s="144" t="s">
        <v>873</v>
      </c>
      <c r="C42" s="144" t="s">
        <v>805</v>
      </c>
      <c r="D42" s="144" t="s">
        <v>1011</v>
      </c>
      <c r="E42" s="144" t="s">
        <v>1000</v>
      </c>
      <c r="F42" s="144">
        <v>1</v>
      </c>
      <c r="G42" s="145" t="s">
        <v>1012</v>
      </c>
      <c r="H42" s="145">
        <f>F42*J4</f>
        <v>1</v>
      </c>
      <c r="I42" s="156">
        <f>409557/2</f>
        <v>204778.5</v>
      </c>
      <c r="J42" s="158">
        <f>H42*I42</f>
        <v>204778.5</v>
      </c>
      <c r="K42" s="146"/>
    </row>
    <row r="43" spans="1:11" s="141" customFormat="1" ht="20.25" customHeight="1">
      <c r="A43" s="147">
        <v>2</v>
      </c>
      <c r="B43" s="143" t="s">
        <v>872</v>
      </c>
      <c r="C43" s="143" t="s">
        <v>804</v>
      </c>
      <c r="D43" s="143" t="s">
        <v>1011</v>
      </c>
      <c r="E43" s="148" t="s">
        <v>1045</v>
      </c>
      <c r="F43" s="143">
        <v>1</v>
      </c>
      <c r="G43" s="149" t="s">
        <v>1012</v>
      </c>
      <c r="H43" s="149">
        <f>F43*J4</f>
        <v>1</v>
      </c>
      <c r="I43" s="157">
        <f>225980</f>
        <v>225980</v>
      </c>
      <c r="J43" s="159">
        <f>H43*I43</f>
        <v>225980</v>
      </c>
      <c r="K43" s="152"/>
    </row>
    <row r="44" spans="1:11" s="141" customFormat="1" ht="20.25" customHeight="1">
      <c r="A44" s="147">
        <v>3</v>
      </c>
      <c r="B44" s="143" t="s">
        <v>872</v>
      </c>
      <c r="C44" s="143" t="s">
        <v>804</v>
      </c>
      <c r="D44" s="143" t="s">
        <v>1011</v>
      </c>
      <c r="E44" s="148" t="s">
        <v>1043</v>
      </c>
      <c r="F44" s="143">
        <v>1</v>
      </c>
      <c r="G44" s="149" t="s">
        <v>1012</v>
      </c>
      <c r="H44" s="149">
        <f t="shared" ref="H44:H60" si="0">F44*J5</f>
        <v>1</v>
      </c>
      <c r="I44" s="157">
        <f>225980/5</f>
        <v>45196</v>
      </c>
      <c r="J44" s="159">
        <f t="shared" ref="J44:J45" si="1">H44*I44</f>
        <v>45196</v>
      </c>
      <c r="K44" s="152"/>
    </row>
    <row r="45" spans="1:11" s="141" customFormat="1" ht="20.25" customHeight="1">
      <c r="A45" s="147">
        <v>4</v>
      </c>
      <c r="B45" s="143" t="s">
        <v>872</v>
      </c>
      <c r="C45" s="143" t="s">
        <v>804</v>
      </c>
      <c r="D45" s="143" t="s">
        <v>1013</v>
      </c>
      <c r="E45" s="148" t="s">
        <v>1034</v>
      </c>
      <c r="F45" s="143">
        <v>1</v>
      </c>
      <c r="G45" s="143" t="s">
        <v>1014</v>
      </c>
      <c r="H45" s="149">
        <f t="shared" si="0"/>
        <v>1</v>
      </c>
      <c r="I45" s="157">
        <v>109000</v>
      </c>
      <c r="J45" s="159">
        <f t="shared" si="1"/>
        <v>109000</v>
      </c>
      <c r="K45" s="152"/>
    </row>
    <row r="46" spans="1:11" s="141" customFormat="1" ht="20.25" customHeight="1">
      <c r="A46" s="147">
        <v>5</v>
      </c>
      <c r="B46" s="143" t="s">
        <v>872</v>
      </c>
      <c r="C46" s="143" t="s">
        <v>804</v>
      </c>
      <c r="D46" s="143" t="s">
        <v>1015</v>
      </c>
      <c r="E46" s="148" t="s">
        <v>1044</v>
      </c>
      <c r="F46" s="143">
        <v>4</v>
      </c>
      <c r="G46" s="143" t="s">
        <v>1014</v>
      </c>
      <c r="H46" s="149">
        <f t="shared" si="0"/>
        <v>4</v>
      </c>
      <c r="I46" s="157">
        <v>3800</v>
      </c>
      <c r="J46" s="159">
        <f t="shared" ref="J46" si="2">H46*I46</f>
        <v>15200</v>
      </c>
      <c r="K46" s="152"/>
    </row>
    <row r="47" spans="1:11" s="141" customFormat="1" ht="20.25" customHeight="1">
      <c r="A47" s="147">
        <v>6</v>
      </c>
      <c r="B47" s="143" t="s">
        <v>872</v>
      </c>
      <c r="C47" s="143" t="s">
        <v>804</v>
      </c>
      <c r="D47" s="143" t="s">
        <v>1020</v>
      </c>
      <c r="E47" s="143" t="s">
        <v>869</v>
      </c>
      <c r="F47" s="143">
        <v>1</v>
      </c>
      <c r="G47" s="143" t="s">
        <v>1014</v>
      </c>
      <c r="H47" s="149">
        <f t="shared" si="0"/>
        <v>1</v>
      </c>
      <c r="I47" s="150">
        <v>22000</v>
      </c>
      <c r="J47" s="151">
        <f t="shared" ref="J47:J55" si="3">H47*I47</f>
        <v>22000</v>
      </c>
      <c r="K47" s="152"/>
    </row>
    <row r="48" spans="1:11" s="141" customFormat="1" ht="20.25" customHeight="1">
      <c r="A48" s="147">
        <v>7</v>
      </c>
      <c r="B48" s="143" t="s">
        <v>872</v>
      </c>
      <c r="C48" s="143" t="s">
        <v>804</v>
      </c>
      <c r="D48" s="143" t="s">
        <v>1021</v>
      </c>
      <c r="E48" s="143" t="s">
        <v>869</v>
      </c>
      <c r="F48" s="143">
        <v>1</v>
      </c>
      <c r="G48" s="143" t="s">
        <v>1014</v>
      </c>
      <c r="H48" s="149">
        <f t="shared" si="0"/>
        <v>1</v>
      </c>
      <c r="I48" s="150">
        <v>5500</v>
      </c>
      <c r="J48" s="151">
        <f t="shared" si="3"/>
        <v>5500</v>
      </c>
      <c r="K48" s="152"/>
    </row>
    <row r="49" spans="1:14" s="141" customFormat="1" ht="20.25" customHeight="1">
      <c r="A49" s="147">
        <v>8</v>
      </c>
      <c r="B49" s="143" t="s">
        <v>872</v>
      </c>
      <c r="C49" s="143" t="s">
        <v>804</v>
      </c>
      <c r="D49" s="143" t="s">
        <v>1027</v>
      </c>
      <c r="E49" s="143" t="s">
        <v>1002</v>
      </c>
      <c r="F49" s="143">
        <v>1</v>
      </c>
      <c r="G49" s="143" t="s">
        <v>1024</v>
      </c>
      <c r="H49" s="149">
        <f t="shared" si="0"/>
        <v>1</v>
      </c>
      <c r="I49" s="150">
        <v>5400</v>
      </c>
      <c r="J49" s="151">
        <f t="shared" si="3"/>
        <v>5400</v>
      </c>
      <c r="K49" s="152"/>
    </row>
    <row r="50" spans="1:14" s="141" customFormat="1" ht="20.25" customHeight="1">
      <c r="A50" s="147">
        <v>9</v>
      </c>
      <c r="B50" s="143" t="s">
        <v>872</v>
      </c>
      <c r="C50" s="143" t="s">
        <v>804</v>
      </c>
      <c r="D50" s="143" t="s">
        <v>1028</v>
      </c>
      <c r="E50" s="143" t="s">
        <v>868</v>
      </c>
      <c r="F50" s="143">
        <v>1</v>
      </c>
      <c r="G50" s="143" t="s">
        <v>1024</v>
      </c>
      <c r="H50" s="149">
        <f t="shared" si="0"/>
        <v>1</v>
      </c>
      <c r="I50" s="150">
        <v>2300</v>
      </c>
      <c r="J50" s="151">
        <f t="shared" si="3"/>
        <v>2300</v>
      </c>
      <c r="K50" s="152"/>
    </row>
    <row r="51" spans="1:14" s="141" customFormat="1" ht="20.25" customHeight="1">
      <c r="A51" s="147">
        <v>10</v>
      </c>
      <c r="B51" s="143" t="s">
        <v>872</v>
      </c>
      <c r="C51" s="143" t="s">
        <v>804</v>
      </c>
      <c r="D51" s="143" t="s">
        <v>1016</v>
      </c>
      <c r="E51" s="143" t="s">
        <v>868</v>
      </c>
      <c r="F51" s="143">
        <v>1</v>
      </c>
      <c r="G51" s="143" t="s">
        <v>1017</v>
      </c>
      <c r="H51" s="149">
        <f t="shared" si="0"/>
        <v>1</v>
      </c>
      <c r="I51" s="150">
        <v>32000</v>
      </c>
      <c r="J51" s="151">
        <f t="shared" si="3"/>
        <v>32000</v>
      </c>
      <c r="K51" s="152"/>
    </row>
    <row r="52" spans="1:14" s="141" customFormat="1" ht="20.25" customHeight="1">
      <c r="A52" s="147">
        <v>11</v>
      </c>
      <c r="B52" s="143" t="s">
        <v>872</v>
      </c>
      <c r="C52" s="143" t="s">
        <v>804</v>
      </c>
      <c r="D52" s="143" t="s">
        <v>1018</v>
      </c>
      <c r="E52" s="143" t="s">
        <v>869</v>
      </c>
      <c r="F52" s="143">
        <v>1</v>
      </c>
      <c r="G52" s="143" t="s">
        <v>1019</v>
      </c>
      <c r="H52" s="149">
        <f t="shared" si="0"/>
        <v>1</v>
      </c>
      <c r="I52" s="150">
        <v>14100</v>
      </c>
      <c r="J52" s="151">
        <f t="shared" si="3"/>
        <v>14100</v>
      </c>
      <c r="K52" s="152"/>
    </row>
    <row r="53" spans="1:14" s="141" customFormat="1" ht="20.25" customHeight="1">
      <c r="A53" s="147">
        <v>12</v>
      </c>
      <c r="B53" s="143" t="s">
        <v>872</v>
      </c>
      <c r="C53" s="143" t="s">
        <v>804</v>
      </c>
      <c r="D53" s="143" t="s">
        <v>1023</v>
      </c>
      <c r="E53" s="143" t="s">
        <v>870</v>
      </c>
      <c r="F53" s="143">
        <v>1</v>
      </c>
      <c r="G53" s="143" t="s">
        <v>1024</v>
      </c>
      <c r="H53" s="149">
        <f t="shared" si="0"/>
        <v>1</v>
      </c>
      <c r="I53" s="150">
        <v>11000</v>
      </c>
      <c r="J53" s="151">
        <f t="shared" si="3"/>
        <v>11000</v>
      </c>
      <c r="K53" s="152"/>
    </row>
    <row r="54" spans="1:14" s="141" customFormat="1" ht="20.25" customHeight="1">
      <c r="A54" s="147">
        <v>13</v>
      </c>
      <c r="B54" s="143" t="s">
        <v>872</v>
      </c>
      <c r="C54" s="143" t="s">
        <v>804</v>
      </c>
      <c r="D54" s="143" t="s">
        <v>1022</v>
      </c>
      <c r="E54" s="143" t="s">
        <v>1248</v>
      </c>
      <c r="F54" s="143">
        <v>1</v>
      </c>
      <c r="G54" s="143" t="s">
        <v>1053</v>
      </c>
      <c r="H54" s="149">
        <f>F54*J15</f>
        <v>1</v>
      </c>
      <c r="I54" s="150">
        <f>150000/15</f>
        <v>10000</v>
      </c>
      <c r="J54" s="151">
        <f t="shared" si="3"/>
        <v>10000</v>
      </c>
      <c r="K54" s="152"/>
    </row>
    <row r="55" spans="1:14" s="141" customFormat="1" ht="20.25" customHeight="1">
      <c r="A55" s="147">
        <v>14</v>
      </c>
      <c r="B55" s="143" t="s">
        <v>872</v>
      </c>
      <c r="C55" s="143" t="s">
        <v>804</v>
      </c>
      <c r="D55" s="143" t="s">
        <v>1025</v>
      </c>
      <c r="E55" s="143"/>
      <c r="F55" s="143">
        <v>1</v>
      </c>
      <c r="G55" s="143" t="s">
        <v>1026</v>
      </c>
      <c r="H55" s="149">
        <f t="shared" si="0"/>
        <v>1</v>
      </c>
      <c r="I55" s="150">
        <v>5000</v>
      </c>
      <c r="J55" s="151">
        <f t="shared" si="3"/>
        <v>5000</v>
      </c>
      <c r="K55" s="152"/>
    </row>
    <row r="56" spans="1:14" s="141" customFormat="1" ht="20.25" customHeight="1">
      <c r="A56" s="147">
        <v>15</v>
      </c>
      <c r="B56" s="143" t="s">
        <v>872</v>
      </c>
      <c r="C56" s="143" t="s">
        <v>804</v>
      </c>
      <c r="D56" s="143" t="s">
        <v>1011</v>
      </c>
      <c r="E56" s="148" t="s">
        <v>1038</v>
      </c>
      <c r="F56" s="143">
        <v>1</v>
      </c>
      <c r="G56" s="149" t="s">
        <v>1029</v>
      </c>
      <c r="H56" s="149">
        <f t="shared" si="0"/>
        <v>1</v>
      </c>
      <c r="I56" s="157">
        <f>66590/2</f>
        <v>33295</v>
      </c>
      <c r="J56" s="159">
        <f t="shared" ref="J56:J59" si="4">H56*I56</f>
        <v>33295</v>
      </c>
      <c r="K56" s="152"/>
    </row>
    <row r="57" spans="1:14" s="141" customFormat="1" ht="20.25" customHeight="1">
      <c r="A57" s="147">
        <v>16</v>
      </c>
      <c r="B57" s="143" t="s">
        <v>872</v>
      </c>
      <c r="C57" s="143" t="s">
        <v>804</v>
      </c>
      <c r="D57" s="143" t="s">
        <v>1011</v>
      </c>
      <c r="E57" s="148" t="s">
        <v>1039</v>
      </c>
      <c r="F57" s="143">
        <v>1</v>
      </c>
      <c r="G57" s="149" t="s">
        <v>1029</v>
      </c>
      <c r="H57" s="149">
        <f t="shared" si="0"/>
        <v>1</v>
      </c>
      <c r="I57" s="157">
        <f>48660/2</f>
        <v>24330</v>
      </c>
      <c r="J57" s="159">
        <f t="shared" si="4"/>
        <v>24330</v>
      </c>
      <c r="K57" s="152"/>
      <c r="M57" s="185">
        <v>1519091</v>
      </c>
      <c r="N57" s="186" t="s">
        <v>1302</v>
      </c>
    </row>
    <row r="58" spans="1:14" s="141" customFormat="1" ht="20.25" customHeight="1">
      <c r="A58" s="147">
        <v>17</v>
      </c>
      <c r="B58" s="143" t="s">
        <v>872</v>
      </c>
      <c r="C58" s="143" t="s">
        <v>804</v>
      </c>
      <c r="D58" s="143" t="s">
        <v>1011</v>
      </c>
      <c r="E58" s="148" t="s">
        <v>1040</v>
      </c>
      <c r="F58" s="143">
        <v>1</v>
      </c>
      <c r="G58" s="149" t="s">
        <v>1029</v>
      </c>
      <c r="H58" s="149">
        <f t="shared" si="0"/>
        <v>1</v>
      </c>
      <c r="I58" s="157">
        <f>18222/3</f>
        <v>6074</v>
      </c>
      <c r="J58" s="159">
        <f t="shared" si="4"/>
        <v>6074</v>
      </c>
      <c r="K58" s="152"/>
      <c r="M58" s="154">
        <f>200000+100000</f>
        <v>300000</v>
      </c>
      <c r="N58" s="210" t="s">
        <v>1561</v>
      </c>
    </row>
    <row r="59" spans="1:14" s="141" customFormat="1" ht="20.25" customHeight="1">
      <c r="A59" s="147">
        <v>18</v>
      </c>
      <c r="B59" s="143" t="s">
        <v>872</v>
      </c>
      <c r="C59" s="143" t="s">
        <v>804</v>
      </c>
      <c r="D59" s="143" t="s">
        <v>1050</v>
      </c>
      <c r="E59" s="148" t="s">
        <v>1051</v>
      </c>
      <c r="F59" s="143">
        <v>1</v>
      </c>
      <c r="G59" s="149" t="s">
        <v>1052</v>
      </c>
      <c r="H59" s="149">
        <f t="shared" si="0"/>
        <v>1</v>
      </c>
      <c r="I59" s="157">
        <v>30000</v>
      </c>
      <c r="J59" s="159">
        <f t="shared" si="4"/>
        <v>30000</v>
      </c>
      <c r="K59" s="152"/>
      <c r="M59" s="183">
        <f>L62*7%</f>
        <v>56283.745000000003</v>
      </c>
      <c r="N59" s="141" t="s">
        <v>1303</v>
      </c>
    </row>
    <row r="60" spans="1:14" s="141" customFormat="1" ht="20.25" customHeight="1">
      <c r="A60" s="147">
        <v>19</v>
      </c>
      <c r="B60" s="143" t="s">
        <v>872</v>
      </c>
      <c r="C60" s="143" t="s">
        <v>804</v>
      </c>
      <c r="D60" s="143" t="s">
        <v>1041</v>
      </c>
      <c r="E60" s="148" t="s">
        <v>1035</v>
      </c>
      <c r="F60" s="143">
        <v>1</v>
      </c>
      <c r="G60" s="143" t="s">
        <v>1024</v>
      </c>
      <c r="H60" s="149">
        <f t="shared" si="0"/>
        <v>1</v>
      </c>
      <c r="I60" s="150">
        <v>800</v>
      </c>
      <c r="J60" s="151">
        <f>H60*I60</f>
        <v>800</v>
      </c>
      <c r="K60" s="152"/>
      <c r="M60" s="183">
        <f>(L62+M59)*20%</f>
        <v>172067.44900000002</v>
      </c>
      <c r="N60" s="141" t="s">
        <v>1304</v>
      </c>
    </row>
    <row r="61" spans="1:14" s="141" customFormat="1" ht="20.25" customHeight="1" thickBot="1">
      <c r="A61" s="176">
        <v>20</v>
      </c>
      <c r="B61" s="177" t="s">
        <v>872</v>
      </c>
      <c r="C61" s="177" t="s">
        <v>804</v>
      </c>
      <c r="D61" s="177" t="s">
        <v>1262</v>
      </c>
      <c r="E61" s="143" t="s">
        <v>1263</v>
      </c>
      <c r="F61" s="177">
        <v>1</v>
      </c>
      <c r="G61" s="177" t="s">
        <v>1116</v>
      </c>
      <c r="H61" s="178">
        <v>1</v>
      </c>
      <c r="I61" s="179">
        <v>700</v>
      </c>
      <c r="J61" s="180">
        <v>700</v>
      </c>
      <c r="K61" s="181"/>
      <c r="M61" s="183">
        <f>(L62+M59+M60)*25%</f>
        <v>258101.1735</v>
      </c>
      <c r="N61" s="141" t="s">
        <v>1305</v>
      </c>
    </row>
    <row r="62" spans="1:14" s="141" customFormat="1" ht="20.25" customHeight="1" thickBot="1">
      <c r="A62" s="160">
        <v>21</v>
      </c>
      <c r="B62" s="161" t="s">
        <v>873</v>
      </c>
      <c r="C62" s="161" t="s">
        <v>804</v>
      </c>
      <c r="D62" s="161" t="s">
        <v>1265</v>
      </c>
      <c r="E62" s="169" t="s">
        <v>1268</v>
      </c>
      <c r="F62" s="161">
        <v>1</v>
      </c>
      <c r="G62" s="161" t="s">
        <v>1306</v>
      </c>
      <c r="H62" s="162">
        <f>F62*J22</f>
        <v>1</v>
      </c>
      <c r="I62" s="170">
        <v>1400</v>
      </c>
      <c r="J62" s="171">
        <f t="shared" ref="J62" si="5">H62*I62</f>
        <v>1400</v>
      </c>
      <c r="K62" s="163"/>
      <c r="L62" s="172">
        <f>SUM(J42:J62)</f>
        <v>804053.5</v>
      </c>
      <c r="M62" s="184">
        <f>L62+M58+M59+M60+M61</f>
        <v>1590505.8675000002</v>
      </c>
      <c r="N62" s="141" t="s">
        <v>1307</v>
      </c>
    </row>
    <row r="63" spans="1:14" s="141" customFormat="1" ht="7.5" customHeight="1" thickBot="1">
      <c r="D63" s="164"/>
      <c r="E63" s="164"/>
      <c r="G63" s="165"/>
      <c r="H63" s="166"/>
      <c r="I63" s="167"/>
      <c r="J63" s="168"/>
    </row>
    <row r="64" spans="1:14" s="141" customFormat="1" ht="20.25" customHeight="1">
      <c r="A64" s="142">
        <v>1</v>
      </c>
      <c r="B64" s="144" t="s">
        <v>874</v>
      </c>
      <c r="C64" s="144" t="s">
        <v>871</v>
      </c>
      <c r="D64" s="144" t="s">
        <v>1011</v>
      </c>
      <c r="E64" s="144" t="s">
        <v>1000</v>
      </c>
      <c r="F64" s="144">
        <v>1</v>
      </c>
      <c r="G64" s="145" t="s">
        <v>1012</v>
      </c>
      <c r="H64" s="145">
        <f>F64*J32</f>
        <v>1</v>
      </c>
      <c r="I64" s="156">
        <f>409557/2</f>
        <v>204778.5</v>
      </c>
      <c r="J64" s="158">
        <f>H64*I64</f>
        <v>204778.5</v>
      </c>
      <c r="K64" s="146"/>
    </row>
    <row r="65" spans="1:14" s="141" customFormat="1" ht="20.25" customHeight="1">
      <c r="A65" s="147">
        <v>2</v>
      </c>
      <c r="B65" s="143" t="s">
        <v>874</v>
      </c>
      <c r="C65" s="143" t="s">
        <v>871</v>
      </c>
      <c r="D65" s="143" t="s">
        <v>1011</v>
      </c>
      <c r="E65" s="148" t="s">
        <v>1001</v>
      </c>
      <c r="F65" s="143">
        <v>1</v>
      </c>
      <c r="G65" s="149" t="s">
        <v>1012</v>
      </c>
      <c r="H65" s="149">
        <f>F65*J32</f>
        <v>1</v>
      </c>
      <c r="I65" s="157">
        <f>225980</f>
        <v>225980</v>
      </c>
      <c r="J65" s="159">
        <f>H65*I65</f>
        <v>225980</v>
      </c>
      <c r="K65" s="152"/>
    </row>
    <row r="66" spans="1:14" s="141" customFormat="1" ht="20.25" customHeight="1">
      <c r="A66" s="147">
        <v>3</v>
      </c>
      <c r="B66" s="143" t="s">
        <v>874</v>
      </c>
      <c r="C66" s="143" t="s">
        <v>871</v>
      </c>
      <c r="D66" s="143" t="s">
        <v>1011</v>
      </c>
      <c r="E66" s="148" t="s">
        <v>1043</v>
      </c>
      <c r="F66" s="143">
        <v>1</v>
      </c>
      <c r="G66" s="149" t="s">
        <v>1012</v>
      </c>
      <c r="H66" s="149">
        <f>F66*J33</f>
        <v>1</v>
      </c>
      <c r="I66" s="157">
        <f>225980/5</f>
        <v>45196</v>
      </c>
      <c r="J66" s="159">
        <f>H66*I66</f>
        <v>45196</v>
      </c>
      <c r="K66" s="152"/>
    </row>
    <row r="67" spans="1:14" s="141" customFormat="1" ht="20.25" customHeight="1">
      <c r="A67" s="147">
        <v>4</v>
      </c>
      <c r="B67" s="143" t="s">
        <v>874</v>
      </c>
      <c r="C67" s="143" t="s">
        <v>871</v>
      </c>
      <c r="D67" s="143" t="s">
        <v>1013</v>
      </c>
      <c r="E67" s="148" t="s">
        <v>1034</v>
      </c>
      <c r="F67" s="143">
        <v>1</v>
      </c>
      <c r="G67" s="143" t="s">
        <v>1014</v>
      </c>
      <c r="H67" s="149">
        <f>F67*J32</f>
        <v>1</v>
      </c>
      <c r="I67" s="157">
        <v>109000</v>
      </c>
      <c r="J67" s="159">
        <f t="shared" ref="J67:J68" si="6">H67*I67</f>
        <v>109000</v>
      </c>
      <c r="K67" s="152"/>
    </row>
    <row r="68" spans="1:14" s="141" customFormat="1" ht="20.25" customHeight="1">
      <c r="A68" s="147">
        <v>5</v>
      </c>
      <c r="B68" s="143" t="s">
        <v>874</v>
      </c>
      <c r="C68" s="143" t="s">
        <v>871</v>
      </c>
      <c r="D68" s="143" t="s">
        <v>1015</v>
      </c>
      <c r="E68" s="148" t="s">
        <v>1044</v>
      </c>
      <c r="F68" s="143">
        <v>4</v>
      </c>
      <c r="G68" s="143" t="s">
        <v>1014</v>
      </c>
      <c r="H68" s="149">
        <f>F68*J32</f>
        <v>4</v>
      </c>
      <c r="I68" s="157">
        <v>3800</v>
      </c>
      <c r="J68" s="159">
        <f t="shared" si="6"/>
        <v>15200</v>
      </c>
      <c r="K68" s="152"/>
    </row>
    <row r="69" spans="1:14" s="141" customFormat="1" ht="20.25" customHeight="1">
      <c r="A69" s="147">
        <v>6</v>
      </c>
      <c r="B69" s="143" t="s">
        <v>874</v>
      </c>
      <c r="C69" s="143" t="s">
        <v>871</v>
      </c>
      <c r="D69" s="143" t="s">
        <v>1020</v>
      </c>
      <c r="E69" s="143" t="s">
        <v>869</v>
      </c>
      <c r="F69" s="143">
        <v>1</v>
      </c>
      <c r="G69" s="143" t="s">
        <v>1014</v>
      </c>
      <c r="H69" s="149">
        <v>1</v>
      </c>
      <c r="I69" s="150">
        <v>22000</v>
      </c>
      <c r="J69" s="151">
        <f t="shared" ref="J69:J81" si="7">H69*I69</f>
        <v>22000</v>
      </c>
      <c r="K69" s="152"/>
    </row>
    <row r="70" spans="1:14" s="141" customFormat="1" ht="20.25" customHeight="1">
      <c r="A70" s="147">
        <v>7</v>
      </c>
      <c r="B70" s="143" t="s">
        <v>874</v>
      </c>
      <c r="C70" s="143" t="s">
        <v>871</v>
      </c>
      <c r="D70" s="143" t="s">
        <v>1021</v>
      </c>
      <c r="E70" s="143" t="s">
        <v>869</v>
      </c>
      <c r="F70" s="143">
        <v>1</v>
      </c>
      <c r="G70" s="143" t="s">
        <v>1014</v>
      </c>
      <c r="H70" s="149">
        <f>F70*J32</f>
        <v>1</v>
      </c>
      <c r="I70" s="150">
        <v>5500</v>
      </c>
      <c r="J70" s="151">
        <f t="shared" si="7"/>
        <v>5500</v>
      </c>
      <c r="K70" s="152"/>
    </row>
    <row r="71" spans="1:14" s="141" customFormat="1" ht="20.25" customHeight="1">
      <c r="A71" s="147">
        <v>8</v>
      </c>
      <c r="B71" s="143" t="s">
        <v>874</v>
      </c>
      <c r="C71" s="143" t="s">
        <v>871</v>
      </c>
      <c r="D71" s="143" t="s">
        <v>1027</v>
      </c>
      <c r="E71" s="143" t="s">
        <v>1002</v>
      </c>
      <c r="F71" s="143">
        <v>1</v>
      </c>
      <c r="G71" s="143" t="s">
        <v>1024</v>
      </c>
      <c r="H71" s="149">
        <f>F71*J33</f>
        <v>1</v>
      </c>
      <c r="I71" s="150">
        <v>5400</v>
      </c>
      <c r="J71" s="151">
        <f t="shared" si="7"/>
        <v>5400</v>
      </c>
      <c r="K71" s="152"/>
    </row>
    <row r="72" spans="1:14" s="141" customFormat="1" ht="20.25" customHeight="1">
      <c r="A72" s="147">
        <v>9</v>
      </c>
      <c r="B72" s="143" t="s">
        <v>874</v>
      </c>
      <c r="C72" s="143" t="s">
        <v>871</v>
      </c>
      <c r="D72" s="143" t="s">
        <v>1028</v>
      </c>
      <c r="E72" s="143" t="s">
        <v>868</v>
      </c>
      <c r="F72" s="143">
        <v>1</v>
      </c>
      <c r="G72" s="143" t="s">
        <v>1024</v>
      </c>
      <c r="H72" s="149">
        <f>F72*J34</f>
        <v>1</v>
      </c>
      <c r="I72" s="150">
        <v>2300</v>
      </c>
      <c r="J72" s="151">
        <f t="shared" si="7"/>
        <v>2300</v>
      </c>
      <c r="K72" s="152"/>
    </row>
    <row r="73" spans="1:14" s="141" customFormat="1" ht="20.25" customHeight="1">
      <c r="A73" s="147">
        <v>10</v>
      </c>
      <c r="B73" s="143" t="s">
        <v>874</v>
      </c>
      <c r="C73" s="143" t="s">
        <v>871</v>
      </c>
      <c r="D73" s="143" t="s">
        <v>1016</v>
      </c>
      <c r="E73" s="143" t="s">
        <v>868</v>
      </c>
      <c r="F73" s="143">
        <v>1</v>
      </c>
      <c r="G73" s="143" t="s">
        <v>1017</v>
      </c>
      <c r="H73" s="149">
        <f>F73*J32</f>
        <v>1</v>
      </c>
      <c r="I73" s="150">
        <v>32000</v>
      </c>
      <c r="J73" s="151">
        <f t="shared" si="7"/>
        <v>32000</v>
      </c>
      <c r="K73" s="152"/>
    </row>
    <row r="74" spans="1:14" s="141" customFormat="1" ht="20.25" customHeight="1">
      <c r="A74" s="147">
        <v>11</v>
      </c>
      <c r="B74" s="143" t="s">
        <v>874</v>
      </c>
      <c r="C74" s="143" t="s">
        <v>871</v>
      </c>
      <c r="D74" s="143" t="s">
        <v>1018</v>
      </c>
      <c r="E74" s="143" t="s">
        <v>869</v>
      </c>
      <c r="F74" s="143">
        <v>1</v>
      </c>
      <c r="G74" s="143" t="s">
        <v>1019</v>
      </c>
      <c r="H74" s="149">
        <v>1</v>
      </c>
      <c r="I74" s="150">
        <v>14100</v>
      </c>
      <c r="J74" s="151">
        <f t="shared" si="7"/>
        <v>14100</v>
      </c>
      <c r="K74" s="152"/>
    </row>
    <row r="75" spans="1:14" s="141" customFormat="1" ht="20.25" customHeight="1">
      <c r="A75" s="147">
        <v>12</v>
      </c>
      <c r="B75" s="143" t="s">
        <v>874</v>
      </c>
      <c r="C75" s="143" t="s">
        <v>871</v>
      </c>
      <c r="D75" s="143" t="s">
        <v>1023</v>
      </c>
      <c r="E75" s="143" t="s">
        <v>870</v>
      </c>
      <c r="F75" s="143">
        <v>1</v>
      </c>
      <c r="G75" s="143" t="s">
        <v>1024</v>
      </c>
      <c r="H75" s="149">
        <f>F75*J32</f>
        <v>1</v>
      </c>
      <c r="I75" s="150">
        <v>11000</v>
      </c>
      <c r="J75" s="151">
        <f t="shared" si="7"/>
        <v>11000</v>
      </c>
      <c r="K75" s="152"/>
    </row>
    <row r="76" spans="1:14" s="141" customFormat="1" ht="20.25" customHeight="1">
      <c r="A76" s="147">
        <v>13</v>
      </c>
      <c r="B76" s="143" t="s">
        <v>874</v>
      </c>
      <c r="C76" s="143" t="s">
        <v>871</v>
      </c>
      <c r="D76" s="143" t="s">
        <v>1022</v>
      </c>
      <c r="E76" s="143" t="s">
        <v>1248</v>
      </c>
      <c r="F76" s="143">
        <v>1</v>
      </c>
      <c r="G76" s="143" t="s">
        <v>1053</v>
      </c>
      <c r="H76" s="149">
        <f>F76*J36</f>
        <v>1</v>
      </c>
      <c r="I76" s="150">
        <f>150000/15</f>
        <v>10000</v>
      </c>
      <c r="J76" s="151">
        <f t="shared" si="7"/>
        <v>10000</v>
      </c>
      <c r="K76" s="152"/>
    </row>
    <row r="77" spans="1:14" s="141" customFormat="1" ht="20.25" customHeight="1">
      <c r="A77" s="147">
        <v>14</v>
      </c>
      <c r="B77" s="143" t="s">
        <v>874</v>
      </c>
      <c r="C77" s="143" t="s">
        <v>871</v>
      </c>
      <c r="D77" s="143" t="s">
        <v>1025</v>
      </c>
      <c r="E77" s="143"/>
      <c r="F77" s="143">
        <v>1</v>
      </c>
      <c r="G77" s="143" t="s">
        <v>1026</v>
      </c>
      <c r="H77" s="149">
        <f t="shared" ref="H77" si="8">F77*J37</f>
        <v>1</v>
      </c>
      <c r="I77" s="150">
        <v>5000</v>
      </c>
      <c r="J77" s="151">
        <f t="shared" si="7"/>
        <v>5000</v>
      </c>
      <c r="K77" s="152"/>
    </row>
    <row r="78" spans="1:14" s="141" customFormat="1" ht="20.25" customHeight="1">
      <c r="A78" s="147">
        <v>15</v>
      </c>
      <c r="B78" s="143" t="s">
        <v>872</v>
      </c>
      <c r="C78" s="143" t="s">
        <v>871</v>
      </c>
      <c r="D78" s="143" t="s">
        <v>1011</v>
      </c>
      <c r="E78" s="148" t="s">
        <v>1038</v>
      </c>
      <c r="F78" s="143">
        <v>1</v>
      </c>
      <c r="G78" s="149" t="s">
        <v>1029</v>
      </c>
      <c r="H78" s="149">
        <v>1</v>
      </c>
      <c r="I78" s="157">
        <f>66590/2</f>
        <v>33295</v>
      </c>
      <c r="J78" s="159">
        <f t="shared" si="7"/>
        <v>33295</v>
      </c>
      <c r="K78" s="152"/>
    </row>
    <row r="79" spans="1:14" s="141" customFormat="1" ht="20.25" customHeight="1">
      <c r="A79" s="147">
        <v>16</v>
      </c>
      <c r="B79" s="143" t="s">
        <v>872</v>
      </c>
      <c r="C79" s="143" t="s">
        <v>871</v>
      </c>
      <c r="D79" s="143" t="s">
        <v>1011</v>
      </c>
      <c r="E79" s="148" t="s">
        <v>1039</v>
      </c>
      <c r="F79" s="143">
        <v>1</v>
      </c>
      <c r="G79" s="149" t="s">
        <v>1029</v>
      </c>
      <c r="H79" s="149">
        <v>1</v>
      </c>
      <c r="I79" s="157">
        <f>48660/2</f>
        <v>24330</v>
      </c>
      <c r="J79" s="159">
        <f t="shared" si="7"/>
        <v>24330</v>
      </c>
      <c r="K79" s="152"/>
      <c r="M79" s="185">
        <v>1670910</v>
      </c>
      <c r="N79" s="186" t="s">
        <v>1302</v>
      </c>
    </row>
    <row r="80" spans="1:14" s="141" customFormat="1" ht="20.25" customHeight="1">
      <c r="A80" s="147">
        <v>17</v>
      </c>
      <c r="B80" s="143" t="s">
        <v>872</v>
      </c>
      <c r="C80" s="143" t="s">
        <v>871</v>
      </c>
      <c r="D80" s="143" t="s">
        <v>1011</v>
      </c>
      <c r="E80" s="148" t="s">
        <v>1040</v>
      </c>
      <c r="F80" s="143">
        <v>1</v>
      </c>
      <c r="G80" s="149" t="s">
        <v>1029</v>
      </c>
      <c r="H80" s="149">
        <v>1</v>
      </c>
      <c r="I80" s="157">
        <f>18222/3</f>
        <v>6074</v>
      </c>
      <c r="J80" s="159">
        <f t="shared" si="7"/>
        <v>6074</v>
      </c>
      <c r="K80" s="152"/>
      <c r="M80" s="154">
        <f>200000+100000</f>
        <v>300000</v>
      </c>
      <c r="N80" s="210" t="s">
        <v>1561</v>
      </c>
    </row>
    <row r="81" spans="1:14" s="141" customFormat="1" ht="20.25" customHeight="1">
      <c r="A81" s="147">
        <v>18</v>
      </c>
      <c r="B81" s="143" t="s">
        <v>872</v>
      </c>
      <c r="C81" s="143" t="s">
        <v>871</v>
      </c>
      <c r="D81" s="143" t="s">
        <v>1050</v>
      </c>
      <c r="E81" s="148" t="s">
        <v>1051</v>
      </c>
      <c r="F81" s="143">
        <v>1</v>
      </c>
      <c r="G81" s="149" t="s">
        <v>1052</v>
      </c>
      <c r="H81" s="149">
        <v>1</v>
      </c>
      <c r="I81" s="157">
        <v>30000</v>
      </c>
      <c r="J81" s="159">
        <f t="shared" si="7"/>
        <v>30000</v>
      </c>
      <c r="K81" s="152"/>
      <c r="M81" s="183">
        <f>L84*7%</f>
        <v>56283.745000000003</v>
      </c>
      <c r="N81" s="141" t="s">
        <v>1303</v>
      </c>
    </row>
    <row r="82" spans="1:14" s="141" customFormat="1" ht="20.25" customHeight="1">
      <c r="A82" s="147">
        <v>19</v>
      </c>
      <c r="B82" s="143" t="s">
        <v>872</v>
      </c>
      <c r="C82" s="143" t="s">
        <v>871</v>
      </c>
      <c r="D82" s="143" t="s">
        <v>1041</v>
      </c>
      <c r="E82" s="148" t="s">
        <v>1035</v>
      </c>
      <c r="F82" s="143">
        <v>1</v>
      </c>
      <c r="G82" s="143" t="s">
        <v>1024</v>
      </c>
      <c r="H82" s="149">
        <v>1</v>
      </c>
      <c r="I82" s="150">
        <v>800</v>
      </c>
      <c r="J82" s="151">
        <f>H82*I82</f>
        <v>800</v>
      </c>
      <c r="K82" s="152"/>
      <c r="M82" s="183">
        <f>(L84+M81)*20%</f>
        <v>172067.44900000002</v>
      </c>
      <c r="N82" s="141" t="s">
        <v>1304</v>
      </c>
    </row>
    <row r="83" spans="1:14" s="141" customFormat="1" ht="20.25" customHeight="1" thickBot="1">
      <c r="A83" s="147">
        <v>20</v>
      </c>
      <c r="B83" s="177" t="s">
        <v>872</v>
      </c>
      <c r="C83" s="177" t="s">
        <v>871</v>
      </c>
      <c r="D83" s="177" t="s">
        <v>1262</v>
      </c>
      <c r="E83" s="143" t="s">
        <v>1263</v>
      </c>
      <c r="F83" s="177">
        <v>1</v>
      </c>
      <c r="G83" s="177" t="s">
        <v>1116</v>
      </c>
      <c r="H83" s="178">
        <v>1</v>
      </c>
      <c r="I83" s="179">
        <v>700</v>
      </c>
      <c r="J83" s="180">
        <v>700</v>
      </c>
      <c r="K83" s="181"/>
      <c r="M83" s="183">
        <f>(L84+M81+M82)*25%</f>
        <v>258101.1735</v>
      </c>
      <c r="N83" s="141" t="s">
        <v>1305</v>
      </c>
    </row>
    <row r="84" spans="1:14" s="141" customFormat="1" ht="20.25" customHeight="1" thickBot="1">
      <c r="A84" s="160">
        <v>21</v>
      </c>
      <c r="B84" s="161" t="s">
        <v>873</v>
      </c>
      <c r="C84" s="161" t="s">
        <v>871</v>
      </c>
      <c r="D84" s="161" t="s">
        <v>1264</v>
      </c>
      <c r="E84" s="169" t="s">
        <v>1267</v>
      </c>
      <c r="F84" s="161">
        <v>1</v>
      </c>
      <c r="G84" s="161" t="s">
        <v>1266</v>
      </c>
      <c r="H84" s="162">
        <v>1</v>
      </c>
      <c r="I84" s="170">
        <v>1400</v>
      </c>
      <c r="J84" s="171">
        <f t="shared" ref="J84" si="9">H84*I84</f>
        <v>1400</v>
      </c>
      <c r="K84" s="163"/>
      <c r="L84" s="172">
        <f>SUM(J64:J84)</f>
        <v>804053.5</v>
      </c>
      <c r="M84" s="184">
        <f>L84+M80+M81+M82+M83</f>
        <v>1590505.8675000002</v>
      </c>
      <c r="N84" s="141" t="s">
        <v>1307</v>
      </c>
    </row>
    <row r="85" spans="1:14" s="141" customFormat="1" ht="7.5" customHeight="1" thickBot="1">
      <c r="D85" s="164"/>
      <c r="E85" s="164"/>
      <c r="G85" s="165"/>
      <c r="H85" s="166"/>
      <c r="I85" s="167"/>
      <c r="J85" s="168"/>
    </row>
    <row r="86" spans="1:14" s="141" customFormat="1" ht="20.25" customHeight="1">
      <c r="A86" s="142">
        <v>1</v>
      </c>
      <c r="B86" s="144" t="s">
        <v>1036</v>
      </c>
      <c r="C86" s="144" t="s">
        <v>1037</v>
      </c>
      <c r="D86" s="144" t="s">
        <v>1011</v>
      </c>
      <c r="E86" s="144" t="s">
        <v>1000</v>
      </c>
      <c r="F86" s="144">
        <v>1</v>
      </c>
      <c r="G86" s="145" t="s">
        <v>1012</v>
      </c>
      <c r="H86" s="145">
        <v>1</v>
      </c>
      <c r="I86" s="156">
        <f>409557/2</f>
        <v>204778.5</v>
      </c>
      <c r="J86" s="158">
        <f>H86*I86</f>
        <v>204778.5</v>
      </c>
      <c r="K86" s="146"/>
    </row>
    <row r="87" spans="1:14" s="141" customFormat="1" ht="20.25" customHeight="1">
      <c r="A87" s="147">
        <v>2</v>
      </c>
      <c r="B87" s="143" t="s">
        <v>1036</v>
      </c>
      <c r="C87" s="143" t="s">
        <v>1037</v>
      </c>
      <c r="D87" s="143" t="s">
        <v>1011</v>
      </c>
      <c r="E87" s="148" t="s">
        <v>1049</v>
      </c>
      <c r="F87" s="143">
        <v>1</v>
      </c>
      <c r="G87" s="149" t="s">
        <v>1012</v>
      </c>
      <c r="H87" s="149">
        <v>1</v>
      </c>
      <c r="I87" s="157">
        <f>225980</f>
        <v>225980</v>
      </c>
      <c r="J87" s="159">
        <f>H87*I87</f>
        <v>225980</v>
      </c>
      <c r="K87" s="152"/>
    </row>
    <row r="88" spans="1:14" s="141" customFormat="1" ht="20.25" customHeight="1">
      <c r="A88" s="147">
        <v>3</v>
      </c>
      <c r="B88" s="143" t="s">
        <v>1036</v>
      </c>
      <c r="C88" s="143" t="s">
        <v>1037</v>
      </c>
      <c r="D88" s="143" t="s">
        <v>1011</v>
      </c>
      <c r="E88" s="148" t="s">
        <v>1043</v>
      </c>
      <c r="F88" s="143">
        <v>1</v>
      </c>
      <c r="G88" s="149" t="s">
        <v>1012</v>
      </c>
      <c r="H88" s="149">
        <v>1</v>
      </c>
      <c r="I88" s="157">
        <f>225980/5</f>
        <v>45196</v>
      </c>
      <c r="J88" s="159">
        <f>H88*I88</f>
        <v>45196</v>
      </c>
      <c r="K88" s="152"/>
    </row>
    <row r="89" spans="1:14" s="141" customFormat="1" ht="20.25" customHeight="1">
      <c r="A89" s="147">
        <v>4</v>
      </c>
      <c r="B89" s="143" t="s">
        <v>1036</v>
      </c>
      <c r="C89" s="143" t="s">
        <v>1037</v>
      </c>
      <c r="D89" s="143" t="s">
        <v>1013</v>
      </c>
      <c r="E89" s="148" t="s">
        <v>1034</v>
      </c>
      <c r="F89" s="143">
        <v>1</v>
      </c>
      <c r="G89" s="143" t="s">
        <v>1014</v>
      </c>
      <c r="H89" s="149">
        <v>1</v>
      </c>
      <c r="I89" s="157">
        <v>109000</v>
      </c>
      <c r="J89" s="159">
        <f t="shared" ref="J89:J103" si="10">H89*I89</f>
        <v>109000</v>
      </c>
      <c r="K89" s="152"/>
    </row>
    <row r="90" spans="1:14" s="141" customFormat="1" ht="20.25" customHeight="1">
      <c r="A90" s="147">
        <v>5</v>
      </c>
      <c r="B90" s="143" t="s">
        <v>1036</v>
      </c>
      <c r="C90" s="143" t="s">
        <v>1037</v>
      </c>
      <c r="D90" s="143" t="s">
        <v>1015</v>
      </c>
      <c r="E90" s="148" t="s">
        <v>1044</v>
      </c>
      <c r="F90" s="143">
        <v>4</v>
      </c>
      <c r="G90" s="143" t="s">
        <v>1014</v>
      </c>
      <c r="H90" s="149">
        <v>4</v>
      </c>
      <c r="I90" s="157">
        <v>3800</v>
      </c>
      <c r="J90" s="159">
        <f t="shared" si="10"/>
        <v>15200</v>
      </c>
      <c r="K90" s="152"/>
    </row>
    <row r="91" spans="1:14" s="141" customFormat="1" ht="20.25" customHeight="1">
      <c r="A91" s="147">
        <v>6</v>
      </c>
      <c r="B91" s="143" t="s">
        <v>1036</v>
      </c>
      <c r="C91" s="143" t="s">
        <v>1037</v>
      </c>
      <c r="D91" s="143" t="s">
        <v>1020</v>
      </c>
      <c r="E91" s="143" t="s">
        <v>869</v>
      </c>
      <c r="F91" s="143">
        <v>1</v>
      </c>
      <c r="G91" s="143" t="s">
        <v>1014</v>
      </c>
      <c r="H91" s="149">
        <v>1</v>
      </c>
      <c r="I91" s="150">
        <v>22000</v>
      </c>
      <c r="J91" s="151">
        <f t="shared" si="10"/>
        <v>22000</v>
      </c>
      <c r="K91" s="152"/>
    </row>
    <row r="92" spans="1:14" s="141" customFormat="1" ht="20.25" customHeight="1">
      <c r="A92" s="147">
        <v>7</v>
      </c>
      <c r="B92" s="143" t="s">
        <v>1036</v>
      </c>
      <c r="C92" s="143" t="s">
        <v>1037</v>
      </c>
      <c r="D92" s="143" t="s">
        <v>1021</v>
      </c>
      <c r="E92" s="143" t="s">
        <v>869</v>
      </c>
      <c r="F92" s="143">
        <v>1</v>
      </c>
      <c r="G92" s="143" t="s">
        <v>1014</v>
      </c>
      <c r="H92" s="149">
        <v>1</v>
      </c>
      <c r="I92" s="150">
        <v>5500</v>
      </c>
      <c r="J92" s="151">
        <f t="shared" si="10"/>
        <v>5500</v>
      </c>
      <c r="K92" s="152"/>
    </row>
    <row r="93" spans="1:14" s="141" customFormat="1" ht="20.25" customHeight="1">
      <c r="A93" s="147">
        <v>8</v>
      </c>
      <c r="B93" s="143" t="s">
        <v>1036</v>
      </c>
      <c r="C93" s="143" t="s">
        <v>1037</v>
      </c>
      <c r="D93" s="143" t="s">
        <v>1027</v>
      </c>
      <c r="E93" s="143" t="s">
        <v>1002</v>
      </c>
      <c r="F93" s="143">
        <v>1</v>
      </c>
      <c r="G93" s="143" t="s">
        <v>1024</v>
      </c>
      <c r="H93" s="149">
        <v>1</v>
      </c>
      <c r="I93" s="150">
        <v>5400</v>
      </c>
      <c r="J93" s="151">
        <f t="shared" si="10"/>
        <v>5400</v>
      </c>
      <c r="K93" s="152"/>
    </row>
    <row r="94" spans="1:14" s="141" customFormat="1" ht="20.25" customHeight="1">
      <c r="A94" s="147">
        <v>9</v>
      </c>
      <c r="B94" s="143" t="s">
        <v>1036</v>
      </c>
      <c r="C94" s="143" t="s">
        <v>1037</v>
      </c>
      <c r="D94" s="143" t="s">
        <v>1028</v>
      </c>
      <c r="E94" s="143" t="s">
        <v>868</v>
      </c>
      <c r="F94" s="143">
        <v>1</v>
      </c>
      <c r="G94" s="143" t="s">
        <v>1024</v>
      </c>
      <c r="H94" s="149">
        <v>1</v>
      </c>
      <c r="I94" s="150">
        <v>2300</v>
      </c>
      <c r="J94" s="151">
        <f t="shared" si="10"/>
        <v>2300</v>
      </c>
      <c r="K94" s="152"/>
    </row>
    <row r="95" spans="1:14" s="141" customFormat="1" ht="20.25" customHeight="1">
      <c r="A95" s="147">
        <v>10</v>
      </c>
      <c r="B95" s="143" t="s">
        <v>1036</v>
      </c>
      <c r="C95" s="143" t="s">
        <v>1037</v>
      </c>
      <c r="D95" s="143" t="s">
        <v>1016</v>
      </c>
      <c r="E95" s="143" t="s">
        <v>868</v>
      </c>
      <c r="F95" s="143">
        <v>1</v>
      </c>
      <c r="G95" s="143" t="s">
        <v>1017</v>
      </c>
      <c r="H95" s="149">
        <v>1</v>
      </c>
      <c r="I95" s="150">
        <v>32000</v>
      </c>
      <c r="J95" s="151">
        <f t="shared" si="10"/>
        <v>32000</v>
      </c>
      <c r="K95" s="152"/>
    </row>
    <row r="96" spans="1:14" s="141" customFormat="1" ht="20.25" customHeight="1">
      <c r="A96" s="147">
        <v>11</v>
      </c>
      <c r="B96" s="143" t="s">
        <v>1036</v>
      </c>
      <c r="C96" s="143" t="s">
        <v>1037</v>
      </c>
      <c r="D96" s="143" t="s">
        <v>1018</v>
      </c>
      <c r="E96" s="143" t="s">
        <v>869</v>
      </c>
      <c r="F96" s="143">
        <v>1</v>
      </c>
      <c r="G96" s="143" t="s">
        <v>1019</v>
      </c>
      <c r="H96" s="149">
        <v>1</v>
      </c>
      <c r="I96" s="150">
        <v>14100</v>
      </c>
      <c r="J96" s="151">
        <f t="shared" si="10"/>
        <v>14100</v>
      </c>
      <c r="K96" s="152"/>
    </row>
    <row r="97" spans="1:14" s="141" customFormat="1" ht="20.25" customHeight="1">
      <c r="A97" s="147">
        <v>12</v>
      </c>
      <c r="B97" s="143" t="s">
        <v>1036</v>
      </c>
      <c r="C97" s="143" t="s">
        <v>1037</v>
      </c>
      <c r="D97" s="143" t="s">
        <v>1023</v>
      </c>
      <c r="E97" s="143" t="s">
        <v>870</v>
      </c>
      <c r="F97" s="143">
        <v>1</v>
      </c>
      <c r="G97" s="143" t="s">
        <v>1024</v>
      </c>
      <c r="H97" s="149">
        <v>1</v>
      </c>
      <c r="I97" s="150">
        <v>11000</v>
      </c>
      <c r="J97" s="151">
        <f t="shared" si="10"/>
        <v>11000</v>
      </c>
      <c r="K97" s="152"/>
    </row>
    <row r="98" spans="1:14" s="141" customFormat="1" ht="20.25" customHeight="1">
      <c r="A98" s="147">
        <v>13</v>
      </c>
      <c r="B98" s="143" t="s">
        <v>1036</v>
      </c>
      <c r="C98" s="143" t="s">
        <v>1037</v>
      </c>
      <c r="D98" s="143" t="s">
        <v>1022</v>
      </c>
      <c r="E98" s="143" t="s">
        <v>1248</v>
      </c>
      <c r="F98" s="143">
        <v>1</v>
      </c>
      <c r="G98" s="143" t="s">
        <v>1053</v>
      </c>
      <c r="H98" s="149">
        <v>1</v>
      </c>
      <c r="I98" s="150">
        <f>150000/15</f>
        <v>10000</v>
      </c>
      <c r="J98" s="151">
        <f t="shared" si="10"/>
        <v>10000</v>
      </c>
      <c r="K98" s="152"/>
    </row>
    <row r="99" spans="1:14" s="141" customFormat="1" ht="20.25" customHeight="1">
      <c r="A99" s="147">
        <v>14</v>
      </c>
      <c r="B99" s="143" t="s">
        <v>1036</v>
      </c>
      <c r="C99" s="143" t="s">
        <v>1037</v>
      </c>
      <c r="D99" s="143" t="s">
        <v>1025</v>
      </c>
      <c r="E99" s="143"/>
      <c r="F99" s="143">
        <v>1</v>
      </c>
      <c r="G99" s="143" t="s">
        <v>1026</v>
      </c>
      <c r="H99" s="149">
        <v>1</v>
      </c>
      <c r="I99" s="150">
        <v>5000</v>
      </c>
      <c r="J99" s="151">
        <f t="shared" si="10"/>
        <v>5000</v>
      </c>
      <c r="K99" s="152"/>
    </row>
    <row r="100" spans="1:14" s="141" customFormat="1" ht="20.25" customHeight="1">
      <c r="A100" s="147">
        <v>15</v>
      </c>
      <c r="B100" s="143" t="s">
        <v>872</v>
      </c>
      <c r="C100" s="143" t="s">
        <v>1037</v>
      </c>
      <c r="D100" s="143" t="s">
        <v>1011</v>
      </c>
      <c r="E100" s="148" t="s">
        <v>1038</v>
      </c>
      <c r="F100" s="143">
        <v>1</v>
      </c>
      <c r="G100" s="149" t="s">
        <v>1029</v>
      </c>
      <c r="H100" s="149">
        <v>1</v>
      </c>
      <c r="I100" s="157">
        <f>66590/2</f>
        <v>33295</v>
      </c>
      <c r="J100" s="159">
        <f t="shared" si="10"/>
        <v>33295</v>
      </c>
      <c r="K100" s="152"/>
    </row>
    <row r="101" spans="1:14" s="141" customFormat="1" ht="20.25" customHeight="1">
      <c r="A101" s="147">
        <v>16</v>
      </c>
      <c r="B101" s="143" t="s">
        <v>872</v>
      </c>
      <c r="C101" s="143" t="s">
        <v>1037</v>
      </c>
      <c r="D101" s="143" t="s">
        <v>1011</v>
      </c>
      <c r="E101" s="148" t="s">
        <v>1039</v>
      </c>
      <c r="F101" s="143">
        <v>1</v>
      </c>
      <c r="G101" s="149" t="s">
        <v>1029</v>
      </c>
      <c r="H101" s="149">
        <v>1</v>
      </c>
      <c r="I101" s="157">
        <f>48660/2</f>
        <v>24330</v>
      </c>
      <c r="J101" s="159">
        <f t="shared" si="10"/>
        <v>24330</v>
      </c>
      <c r="K101" s="152"/>
      <c r="M101" s="185">
        <v>1736364</v>
      </c>
      <c r="N101" s="186" t="s">
        <v>1302</v>
      </c>
    </row>
    <row r="102" spans="1:14" s="141" customFormat="1" ht="20.25" customHeight="1">
      <c r="A102" s="147">
        <v>17</v>
      </c>
      <c r="B102" s="143" t="s">
        <v>872</v>
      </c>
      <c r="C102" s="143" t="s">
        <v>1037</v>
      </c>
      <c r="D102" s="143" t="s">
        <v>1011</v>
      </c>
      <c r="E102" s="148" t="s">
        <v>1040</v>
      </c>
      <c r="F102" s="143">
        <v>1</v>
      </c>
      <c r="G102" s="149" t="s">
        <v>1029</v>
      </c>
      <c r="H102" s="149">
        <v>1</v>
      </c>
      <c r="I102" s="157">
        <f>18222/3</f>
        <v>6074</v>
      </c>
      <c r="J102" s="159">
        <f t="shared" si="10"/>
        <v>6074</v>
      </c>
      <c r="K102" s="152"/>
      <c r="M102" s="154">
        <f>200000+100000</f>
        <v>300000</v>
      </c>
      <c r="N102" s="210" t="s">
        <v>1561</v>
      </c>
    </row>
    <row r="103" spans="1:14" s="141" customFormat="1" ht="20.25" customHeight="1">
      <c r="A103" s="147">
        <v>18</v>
      </c>
      <c r="B103" s="143" t="s">
        <v>872</v>
      </c>
      <c r="C103" s="143" t="s">
        <v>1037</v>
      </c>
      <c r="D103" s="143" t="s">
        <v>1050</v>
      </c>
      <c r="E103" s="148" t="s">
        <v>1051</v>
      </c>
      <c r="F103" s="143">
        <v>1</v>
      </c>
      <c r="G103" s="149" t="s">
        <v>1052</v>
      </c>
      <c r="H103" s="149">
        <v>1</v>
      </c>
      <c r="I103" s="157">
        <v>30000</v>
      </c>
      <c r="J103" s="159">
        <f t="shared" si="10"/>
        <v>30000</v>
      </c>
      <c r="K103" s="152"/>
      <c r="M103" s="183">
        <f>L106*7%</f>
        <v>56283.745000000003</v>
      </c>
      <c r="N103" s="141" t="s">
        <v>1303</v>
      </c>
    </row>
    <row r="104" spans="1:14" s="141" customFormat="1" ht="20.25" customHeight="1">
      <c r="A104" s="147">
        <v>19</v>
      </c>
      <c r="B104" s="143" t="s">
        <v>872</v>
      </c>
      <c r="C104" s="143" t="s">
        <v>1037</v>
      </c>
      <c r="D104" s="143" t="s">
        <v>1041</v>
      </c>
      <c r="E104" s="148" t="s">
        <v>1035</v>
      </c>
      <c r="F104" s="143">
        <v>1</v>
      </c>
      <c r="G104" s="143" t="s">
        <v>1024</v>
      </c>
      <c r="H104" s="149">
        <v>1</v>
      </c>
      <c r="I104" s="150">
        <v>800</v>
      </c>
      <c r="J104" s="151">
        <f>H104*I104</f>
        <v>800</v>
      </c>
      <c r="K104" s="152"/>
      <c r="M104" s="183">
        <f>(L106+M103)*20%</f>
        <v>172067.44900000002</v>
      </c>
      <c r="N104" s="141" t="s">
        <v>1304</v>
      </c>
    </row>
    <row r="105" spans="1:14" s="141" customFormat="1" ht="20.25" customHeight="1" thickBot="1">
      <c r="A105" s="147">
        <v>20</v>
      </c>
      <c r="B105" s="177" t="s">
        <v>872</v>
      </c>
      <c r="C105" s="177" t="s">
        <v>1037</v>
      </c>
      <c r="D105" s="177" t="s">
        <v>1262</v>
      </c>
      <c r="E105" s="143" t="s">
        <v>1263</v>
      </c>
      <c r="F105" s="177">
        <v>1</v>
      </c>
      <c r="G105" s="177" t="s">
        <v>1116</v>
      </c>
      <c r="H105" s="178">
        <v>1</v>
      </c>
      <c r="I105" s="179">
        <v>700</v>
      </c>
      <c r="J105" s="180">
        <v>700</v>
      </c>
      <c r="K105" s="181"/>
      <c r="M105" s="183">
        <f>(L106+M103+M104)*25%</f>
        <v>258101.1735</v>
      </c>
      <c r="N105" s="141" t="s">
        <v>1305</v>
      </c>
    </row>
    <row r="106" spans="1:14" s="141" customFormat="1" ht="20.25" customHeight="1" thickBot="1">
      <c r="A106" s="160">
        <v>21</v>
      </c>
      <c r="B106" s="161" t="s">
        <v>872</v>
      </c>
      <c r="C106" s="161" t="s">
        <v>1037</v>
      </c>
      <c r="D106" s="161" t="s">
        <v>1264</v>
      </c>
      <c r="E106" s="169" t="s">
        <v>1267</v>
      </c>
      <c r="F106" s="161">
        <v>1</v>
      </c>
      <c r="G106" s="161" t="s">
        <v>1266</v>
      </c>
      <c r="H106" s="162">
        <v>1</v>
      </c>
      <c r="I106" s="170">
        <v>1400</v>
      </c>
      <c r="J106" s="171">
        <f t="shared" ref="J106" si="11">H106*I106</f>
        <v>1400</v>
      </c>
      <c r="K106" s="163"/>
      <c r="L106" s="172">
        <f>SUM(J86:J106)</f>
        <v>804053.5</v>
      </c>
      <c r="M106" s="184">
        <f>L106+M102+M103+M104+M105</f>
        <v>1590505.8675000002</v>
      </c>
      <c r="N106" s="141" t="s">
        <v>1307</v>
      </c>
    </row>
    <row r="107" spans="1:14" s="141" customFormat="1" ht="7.5" customHeight="1" thickBot="1">
      <c r="D107" s="164"/>
      <c r="E107" s="164"/>
      <c r="G107" s="165"/>
      <c r="H107" s="165"/>
      <c r="I107" s="167"/>
      <c r="J107" s="168"/>
    </row>
    <row r="108" spans="1:14" s="141" customFormat="1" ht="20.25" customHeight="1">
      <c r="A108" s="142">
        <v>1</v>
      </c>
      <c r="B108" s="144" t="s">
        <v>1042</v>
      </c>
      <c r="C108" s="144" t="s">
        <v>875</v>
      </c>
      <c r="D108" s="144" t="s">
        <v>1011</v>
      </c>
      <c r="E108" s="144" t="s">
        <v>1046</v>
      </c>
      <c r="F108" s="144">
        <v>1</v>
      </c>
      <c r="G108" s="145" t="s">
        <v>1012</v>
      </c>
      <c r="H108" s="145">
        <v>1</v>
      </c>
      <c r="I108" s="156">
        <f>409557/2</f>
        <v>204778.5</v>
      </c>
      <c r="J108" s="158">
        <f>H108*I108</f>
        <v>204778.5</v>
      </c>
      <c r="K108" s="146"/>
    </row>
    <row r="109" spans="1:14" s="141" customFormat="1" ht="20.25" customHeight="1">
      <c r="A109" s="147">
        <v>2</v>
      </c>
      <c r="B109" s="143" t="s">
        <v>1042</v>
      </c>
      <c r="C109" s="143" t="s">
        <v>875</v>
      </c>
      <c r="D109" s="143" t="s">
        <v>1011</v>
      </c>
      <c r="E109" s="148" t="s">
        <v>1047</v>
      </c>
      <c r="F109" s="143">
        <v>1</v>
      </c>
      <c r="G109" s="149" t="s">
        <v>1012</v>
      </c>
      <c r="H109" s="149">
        <v>1</v>
      </c>
      <c r="I109" s="157">
        <f>225980</f>
        <v>225980</v>
      </c>
      <c r="J109" s="159">
        <f>H109*I109</f>
        <v>225980</v>
      </c>
      <c r="K109" s="152"/>
    </row>
    <row r="110" spans="1:14" s="141" customFormat="1" ht="20.25" customHeight="1">
      <c r="A110" s="147">
        <v>3</v>
      </c>
      <c r="B110" s="143" t="s">
        <v>872</v>
      </c>
      <c r="C110" s="143" t="s">
        <v>804</v>
      </c>
      <c r="D110" s="143" t="s">
        <v>1011</v>
      </c>
      <c r="E110" s="148" t="s">
        <v>1043</v>
      </c>
      <c r="F110" s="143">
        <v>1</v>
      </c>
      <c r="G110" s="149" t="s">
        <v>1012</v>
      </c>
      <c r="H110" s="149">
        <v>1</v>
      </c>
      <c r="I110" s="157">
        <f>225980/5</f>
        <v>45196</v>
      </c>
      <c r="J110" s="159">
        <f t="shared" ref="J110" si="12">H110*I110</f>
        <v>45196</v>
      </c>
      <c r="K110" s="152"/>
    </row>
    <row r="111" spans="1:14" s="141" customFormat="1" ht="20.25" customHeight="1">
      <c r="A111" s="147">
        <v>4</v>
      </c>
      <c r="B111" s="143" t="s">
        <v>1042</v>
      </c>
      <c r="C111" s="143" t="s">
        <v>875</v>
      </c>
      <c r="D111" s="143" t="s">
        <v>1013</v>
      </c>
      <c r="E111" s="148" t="s">
        <v>1034</v>
      </c>
      <c r="F111" s="143">
        <v>1</v>
      </c>
      <c r="G111" s="143" t="s">
        <v>1014</v>
      </c>
      <c r="H111" s="149">
        <v>1</v>
      </c>
      <c r="I111" s="157">
        <v>109000</v>
      </c>
      <c r="J111" s="159">
        <f t="shared" ref="J111:J125" si="13">H111*I111</f>
        <v>109000</v>
      </c>
      <c r="K111" s="152"/>
    </row>
    <row r="112" spans="1:14" s="141" customFormat="1" ht="20.25" customHeight="1">
      <c r="A112" s="147">
        <v>5</v>
      </c>
      <c r="B112" s="143" t="s">
        <v>1042</v>
      </c>
      <c r="C112" s="143" t="s">
        <v>875</v>
      </c>
      <c r="D112" s="143" t="s">
        <v>1015</v>
      </c>
      <c r="E112" s="148" t="s">
        <v>1044</v>
      </c>
      <c r="F112" s="143">
        <v>4</v>
      </c>
      <c r="G112" s="143" t="s">
        <v>1014</v>
      </c>
      <c r="H112" s="149">
        <v>4</v>
      </c>
      <c r="I112" s="157">
        <v>3800</v>
      </c>
      <c r="J112" s="159">
        <f t="shared" si="13"/>
        <v>15200</v>
      </c>
      <c r="K112" s="152"/>
    </row>
    <row r="113" spans="1:14" s="141" customFormat="1" ht="20.25" customHeight="1">
      <c r="A113" s="147">
        <v>6</v>
      </c>
      <c r="B113" s="143" t="s">
        <v>1042</v>
      </c>
      <c r="C113" s="143" t="s">
        <v>875</v>
      </c>
      <c r="D113" s="143" t="s">
        <v>1020</v>
      </c>
      <c r="E113" s="143" t="s">
        <v>869</v>
      </c>
      <c r="F113" s="143">
        <v>1</v>
      </c>
      <c r="G113" s="143" t="s">
        <v>1014</v>
      </c>
      <c r="H113" s="149">
        <v>1</v>
      </c>
      <c r="I113" s="150">
        <v>22000</v>
      </c>
      <c r="J113" s="151">
        <f t="shared" si="13"/>
        <v>22000</v>
      </c>
      <c r="K113" s="152"/>
    </row>
    <row r="114" spans="1:14" s="141" customFormat="1" ht="20.25" customHeight="1">
      <c r="A114" s="147">
        <v>7</v>
      </c>
      <c r="B114" s="143" t="s">
        <v>1042</v>
      </c>
      <c r="C114" s="143" t="s">
        <v>875</v>
      </c>
      <c r="D114" s="143" t="s">
        <v>1021</v>
      </c>
      <c r="E114" s="143" t="s">
        <v>869</v>
      </c>
      <c r="F114" s="143">
        <v>1</v>
      </c>
      <c r="G114" s="143" t="s">
        <v>1014</v>
      </c>
      <c r="H114" s="149">
        <v>1</v>
      </c>
      <c r="I114" s="150">
        <v>5500</v>
      </c>
      <c r="J114" s="151">
        <f t="shared" si="13"/>
        <v>5500</v>
      </c>
      <c r="K114" s="152"/>
    </row>
    <row r="115" spans="1:14" s="141" customFormat="1" ht="20.25" customHeight="1">
      <c r="A115" s="147">
        <v>8</v>
      </c>
      <c r="B115" s="143" t="s">
        <v>1042</v>
      </c>
      <c r="C115" s="143" t="s">
        <v>875</v>
      </c>
      <c r="D115" s="143" t="s">
        <v>1027</v>
      </c>
      <c r="E115" s="143" t="s">
        <v>1002</v>
      </c>
      <c r="F115" s="143">
        <v>1</v>
      </c>
      <c r="G115" s="143" t="s">
        <v>1024</v>
      </c>
      <c r="H115" s="149">
        <v>1</v>
      </c>
      <c r="I115" s="150">
        <v>5400</v>
      </c>
      <c r="J115" s="151">
        <f t="shared" si="13"/>
        <v>5400</v>
      </c>
      <c r="K115" s="152"/>
    </row>
    <row r="116" spans="1:14" s="141" customFormat="1" ht="20.25" customHeight="1">
      <c r="A116" s="147">
        <v>9</v>
      </c>
      <c r="B116" s="143" t="s">
        <v>1042</v>
      </c>
      <c r="C116" s="143" t="s">
        <v>875</v>
      </c>
      <c r="D116" s="143" t="s">
        <v>1028</v>
      </c>
      <c r="E116" s="143" t="s">
        <v>868</v>
      </c>
      <c r="F116" s="143">
        <v>1</v>
      </c>
      <c r="G116" s="143" t="s">
        <v>1024</v>
      </c>
      <c r="H116" s="149">
        <v>1</v>
      </c>
      <c r="I116" s="150">
        <v>2300</v>
      </c>
      <c r="J116" s="151">
        <f t="shared" si="13"/>
        <v>2300</v>
      </c>
      <c r="K116" s="152"/>
    </row>
    <row r="117" spans="1:14" s="141" customFormat="1" ht="20.25" customHeight="1">
      <c r="A117" s="147">
        <v>10</v>
      </c>
      <c r="B117" s="143" t="s">
        <v>1042</v>
      </c>
      <c r="C117" s="143" t="s">
        <v>875</v>
      </c>
      <c r="D117" s="143" t="s">
        <v>1016</v>
      </c>
      <c r="E117" s="143" t="s">
        <v>868</v>
      </c>
      <c r="F117" s="143">
        <v>1</v>
      </c>
      <c r="G117" s="143" t="s">
        <v>1017</v>
      </c>
      <c r="H117" s="149">
        <v>1</v>
      </c>
      <c r="I117" s="150">
        <v>32000</v>
      </c>
      <c r="J117" s="151">
        <f t="shared" si="13"/>
        <v>32000</v>
      </c>
      <c r="K117" s="152"/>
    </row>
    <row r="118" spans="1:14" s="141" customFormat="1" ht="20.25" customHeight="1">
      <c r="A118" s="147">
        <v>11</v>
      </c>
      <c r="B118" s="143" t="s">
        <v>1042</v>
      </c>
      <c r="C118" s="143" t="s">
        <v>875</v>
      </c>
      <c r="D118" s="143" t="s">
        <v>1018</v>
      </c>
      <c r="E118" s="143" t="s">
        <v>869</v>
      </c>
      <c r="F118" s="143">
        <v>1</v>
      </c>
      <c r="G118" s="143" t="s">
        <v>1019</v>
      </c>
      <c r="H118" s="149">
        <v>1</v>
      </c>
      <c r="I118" s="150">
        <v>14100</v>
      </c>
      <c r="J118" s="151">
        <f t="shared" si="13"/>
        <v>14100</v>
      </c>
      <c r="K118" s="152"/>
    </row>
    <row r="119" spans="1:14" s="141" customFormat="1" ht="20.25" customHeight="1">
      <c r="A119" s="147">
        <v>12</v>
      </c>
      <c r="B119" s="143" t="s">
        <v>1042</v>
      </c>
      <c r="C119" s="143" t="s">
        <v>875</v>
      </c>
      <c r="D119" s="143" t="s">
        <v>1023</v>
      </c>
      <c r="E119" s="143" t="s">
        <v>870</v>
      </c>
      <c r="F119" s="143">
        <v>1</v>
      </c>
      <c r="G119" s="143" t="s">
        <v>1024</v>
      </c>
      <c r="H119" s="149">
        <v>1</v>
      </c>
      <c r="I119" s="150">
        <v>11000</v>
      </c>
      <c r="J119" s="151">
        <f t="shared" si="13"/>
        <v>11000</v>
      </c>
      <c r="K119" s="152"/>
    </row>
    <row r="120" spans="1:14" s="141" customFormat="1" ht="20.25" customHeight="1">
      <c r="A120" s="147">
        <v>13</v>
      </c>
      <c r="B120" s="143" t="s">
        <v>1042</v>
      </c>
      <c r="C120" s="143" t="s">
        <v>875</v>
      </c>
      <c r="D120" s="143" t="s">
        <v>1251</v>
      </c>
      <c r="E120" s="143" t="s">
        <v>1252</v>
      </c>
      <c r="F120" s="143">
        <v>1</v>
      </c>
      <c r="G120" s="143" t="s">
        <v>643</v>
      </c>
      <c r="H120" s="149">
        <v>1</v>
      </c>
      <c r="I120" s="150">
        <v>10000</v>
      </c>
      <c r="J120" s="151">
        <f t="shared" si="13"/>
        <v>10000</v>
      </c>
      <c r="K120" s="152"/>
    </row>
    <row r="121" spans="1:14" s="141" customFormat="1" ht="20.25" customHeight="1">
      <c r="A121" s="147">
        <v>14</v>
      </c>
      <c r="B121" s="143" t="s">
        <v>1042</v>
      </c>
      <c r="C121" s="143" t="s">
        <v>875</v>
      </c>
      <c r="D121" s="143" t="s">
        <v>1253</v>
      </c>
      <c r="E121" s="143"/>
      <c r="F121" s="143">
        <v>1</v>
      </c>
      <c r="G121" s="143" t="s">
        <v>1254</v>
      </c>
      <c r="H121" s="149">
        <v>1</v>
      </c>
      <c r="I121" s="150">
        <v>5000</v>
      </c>
      <c r="J121" s="151">
        <f t="shared" si="13"/>
        <v>5000</v>
      </c>
      <c r="K121" s="152"/>
    </row>
    <row r="122" spans="1:14" s="141" customFormat="1" ht="20.25" customHeight="1">
      <c r="A122" s="147">
        <v>15</v>
      </c>
      <c r="B122" s="143" t="s">
        <v>1042</v>
      </c>
      <c r="C122" s="143" t="s">
        <v>875</v>
      </c>
      <c r="D122" s="143" t="s">
        <v>1011</v>
      </c>
      <c r="E122" s="148" t="s">
        <v>1038</v>
      </c>
      <c r="F122" s="143">
        <v>1</v>
      </c>
      <c r="G122" s="149" t="s">
        <v>1029</v>
      </c>
      <c r="H122" s="149">
        <v>1</v>
      </c>
      <c r="I122" s="157">
        <f>66590/2</f>
        <v>33295</v>
      </c>
      <c r="J122" s="159">
        <f t="shared" si="13"/>
        <v>33295</v>
      </c>
      <c r="K122" s="152"/>
    </row>
    <row r="123" spans="1:14" s="141" customFormat="1" ht="20.25" customHeight="1">
      <c r="A123" s="147">
        <v>16</v>
      </c>
      <c r="B123" s="143" t="s">
        <v>1042</v>
      </c>
      <c r="C123" s="143" t="s">
        <v>875</v>
      </c>
      <c r="D123" s="143" t="s">
        <v>1011</v>
      </c>
      <c r="E123" s="148" t="s">
        <v>1039</v>
      </c>
      <c r="F123" s="143">
        <v>1</v>
      </c>
      <c r="G123" s="149" t="s">
        <v>1029</v>
      </c>
      <c r="H123" s="149">
        <v>1</v>
      </c>
      <c r="I123" s="157">
        <f>48660/2</f>
        <v>24330</v>
      </c>
      <c r="J123" s="159">
        <f t="shared" si="13"/>
        <v>24330</v>
      </c>
      <c r="K123" s="152"/>
      <c r="M123" s="185">
        <v>1613636</v>
      </c>
      <c r="N123" s="186" t="s">
        <v>1302</v>
      </c>
    </row>
    <row r="124" spans="1:14" s="141" customFormat="1" ht="20.25" customHeight="1">
      <c r="A124" s="147">
        <v>17</v>
      </c>
      <c r="B124" s="143" t="s">
        <v>1042</v>
      </c>
      <c r="C124" s="143" t="s">
        <v>875</v>
      </c>
      <c r="D124" s="143" t="s">
        <v>1011</v>
      </c>
      <c r="E124" s="148" t="s">
        <v>1040</v>
      </c>
      <c r="F124" s="143">
        <v>1</v>
      </c>
      <c r="G124" s="149" t="s">
        <v>1029</v>
      </c>
      <c r="H124" s="149">
        <v>1</v>
      </c>
      <c r="I124" s="157">
        <f>18222/3</f>
        <v>6074</v>
      </c>
      <c r="J124" s="159">
        <f t="shared" si="13"/>
        <v>6074</v>
      </c>
      <c r="K124" s="152"/>
      <c r="M124" s="154">
        <f>200000+100000</f>
        <v>300000</v>
      </c>
      <c r="N124" s="210" t="s">
        <v>1561</v>
      </c>
    </row>
    <row r="125" spans="1:14" s="141" customFormat="1" ht="20.25" customHeight="1">
      <c r="A125" s="147">
        <v>18</v>
      </c>
      <c r="B125" s="143" t="s">
        <v>1042</v>
      </c>
      <c r="C125" s="143" t="s">
        <v>875</v>
      </c>
      <c r="D125" s="143" t="s">
        <v>1050</v>
      </c>
      <c r="E125" s="148" t="s">
        <v>1051</v>
      </c>
      <c r="F125" s="143">
        <v>1</v>
      </c>
      <c r="G125" s="149" t="s">
        <v>1052</v>
      </c>
      <c r="H125" s="149">
        <v>1</v>
      </c>
      <c r="I125" s="157">
        <v>30000</v>
      </c>
      <c r="J125" s="159">
        <f t="shared" si="13"/>
        <v>30000</v>
      </c>
      <c r="K125" s="152"/>
      <c r="M125" s="183">
        <f>L128*7%</f>
        <v>56283.745000000003</v>
      </c>
      <c r="N125" s="141" t="s">
        <v>1303</v>
      </c>
    </row>
    <row r="126" spans="1:14" s="141" customFormat="1" ht="20.25" customHeight="1">
      <c r="A126" s="147">
        <v>19</v>
      </c>
      <c r="B126" s="143" t="s">
        <v>1042</v>
      </c>
      <c r="C126" s="143" t="s">
        <v>875</v>
      </c>
      <c r="D126" s="143" t="s">
        <v>1041</v>
      </c>
      <c r="E126" s="148" t="s">
        <v>1035</v>
      </c>
      <c r="F126" s="143">
        <v>1</v>
      </c>
      <c r="G126" s="143" t="s">
        <v>1024</v>
      </c>
      <c r="H126" s="149">
        <v>1</v>
      </c>
      <c r="I126" s="150">
        <v>800</v>
      </c>
      <c r="J126" s="151">
        <f>H126*I126</f>
        <v>800</v>
      </c>
      <c r="K126" s="152"/>
      <c r="M126" s="183">
        <f>(L128+M125)*20%</f>
        <v>172067.44900000002</v>
      </c>
      <c r="N126" s="141" t="s">
        <v>1304</v>
      </c>
    </row>
    <row r="127" spans="1:14" s="141" customFormat="1" ht="20.25" customHeight="1" thickBot="1">
      <c r="A127" s="176">
        <v>20</v>
      </c>
      <c r="B127" s="177" t="s">
        <v>1042</v>
      </c>
      <c r="C127" s="177" t="s">
        <v>875</v>
      </c>
      <c r="D127" s="177" t="s">
        <v>1262</v>
      </c>
      <c r="E127" s="143" t="s">
        <v>1263</v>
      </c>
      <c r="F127" s="177">
        <v>1</v>
      </c>
      <c r="G127" s="177" t="s">
        <v>1116</v>
      </c>
      <c r="H127" s="178">
        <v>1</v>
      </c>
      <c r="I127" s="179">
        <v>700</v>
      </c>
      <c r="J127" s="180">
        <v>700</v>
      </c>
      <c r="K127" s="181"/>
      <c r="M127" s="183">
        <f>(L128+M125+M126)*25%</f>
        <v>258101.1735</v>
      </c>
      <c r="N127" s="141" t="s">
        <v>1305</v>
      </c>
    </row>
    <row r="128" spans="1:14" s="141" customFormat="1" ht="20.25" customHeight="1" thickBot="1">
      <c r="A128" s="160">
        <v>21</v>
      </c>
      <c r="B128" s="161" t="s">
        <v>1042</v>
      </c>
      <c r="C128" s="161" t="s">
        <v>875</v>
      </c>
      <c r="D128" s="161" t="s">
        <v>1264</v>
      </c>
      <c r="E128" s="169" t="s">
        <v>1267</v>
      </c>
      <c r="F128" s="161">
        <v>1</v>
      </c>
      <c r="G128" s="161" t="s">
        <v>1266</v>
      </c>
      <c r="H128" s="162">
        <v>1</v>
      </c>
      <c r="I128" s="170">
        <v>1400</v>
      </c>
      <c r="J128" s="171">
        <f t="shared" ref="J128" si="14">H128*I128</f>
        <v>1400</v>
      </c>
      <c r="K128" s="163"/>
      <c r="L128" s="172">
        <f>SUM(J108:J128)</f>
        <v>804053.5</v>
      </c>
      <c r="M128" s="184">
        <f>L128++M124+M125+M126+M127</f>
        <v>1590505.8675000002</v>
      </c>
      <c r="N128" s="141" t="s">
        <v>1307</v>
      </c>
    </row>
    <row r="129" spans="1:11" s="141" customFormat="1" ht="7.5" customHeight="1" thickBot="1">
      <c r="D129" s="164"/>
      <c r="E129" s="164"/>
      <c r="G129" s="165"/>
      <c r="H129" s="165"/>
      <c r="I129" s="167"/>
      <c r="J129" s="168"/>
    </row>
    <row r="130" spans="1:11" s="141" customFormat="1" ht="20.25" customHeight="1">
      <c r="A130" s="142">
        <v>1</v>
      </c>
      <c r="B130" s="144" t="s">
        <v>877</v>
      </c>
      <c r="C130" s="144" t="s">
        <v>876</v>
      </c>
      <c r="D130" s="144" t="s">
        <v>1011</v>
      </c>
      <c r="E130" s="144" t="s">
        <v>1046</v>
      </c>
      <c r="F130" s="144">
        <v>1</v>
      </c>
      <c r="G130" s="145" t="s">
        <v>1012</v>
      </c>
      <c r="H130" s="145">
        <v>1</v>
      </c>
      <c r="I130" s="156">
        <f>409557/2</f>
        <v>204778.5</v>
      </c>
      <c r="J130" s="158">
        <f>H130*I130</f>
        <v>204778.5</v>
      </c>
      <c r="K130" s="146"/>
    </row>
    <row r="131" spans="1:11" s="141" customFormat="1" ht="20.25" customHeight="1">
      <c r="A131" s="147">
        <v>2</v>
      </c>
      <c r="B131" s="143" t="s">
        <v>877</v>
      </c>
      <c r="C131" s="143" t="s">
        <v>876</v>
      </c>
      <c r="D131" s="143" t="s">
        <v>1011</v>
      </c>
      <c r="E131" s="148" t="s">
        <v>1001</v>
      </c>
      <c r="F131" s="143">
        <v>1</v>
      </c>
      <c r="G131" s="149" t="s">
        <v>1012</v>
      </c>
      <c r="H131" s="149">
        <v>1</v>
      </c>
      <c r="I131" s="157">
        <f>225980</f>
        <v>225980</v>
      </c>
      <c r="J131" s="159">
        <f>H131*I131</f>
        <v>225980</v>
      </c>
      <c r="K131" s="152"/>
    </row>
    <row r="132" spans="1:11" s="141" customFormat="1" ht="20.25" customHeight="1">
      <c r="A132" s="147">
        <v>3</v>
      </c>
      <c r="B132" s="143" t="s">
        <v>877</v>
      </c>
      <c r="C132" s="143" t="s">
        <v>876</v>
      </c>
      <c r="D132" s="143" t="s">
        <v>1011</v>
      </c>
      <c r="E132" s="148" t="s">
        <v>1043</v>
      </c>
      <c r="F132" s="143">
        <v>1</v>
      </c>
      <c r="G132" s="149" t="s">
        <v>1012</v>
      </c>
      <c r="H132" s="149">
        <v>1</v>
      </c>
      <c r="I132" s="157">
        <f>225980/5</f>
        <v>45196</v>
      </c>
      <c r="J132" s="159">
        <f t="shared" ref="J132:J147" si="15">H132*I132</f>
        <v>45196</v>
      </c>
      <c r="K132" s="152"/>
    </row>
    <row r="133" spans="1:11" s="141" customFormat="1" ht="20.25" customHeight="1">
      <c r="A133" s="147">
        <v>4</v>
      </c>
      <c r="B133" s="143" t="s">
        <v>877</v>
      </c>
      <c r="C133" s="143" t="s">
        <v>876</v>
      </c>
      <c r="D133" s="143" t="s">
        <v>1013</v>
      </c>
      <c r="E133" s="148" t="s">
        <v>1034</v>
      </c>
      <c r="F133" s="143">
        <v>1</v>
      </c>
      <c r="G133" s="143" t="s">
        <v>1014</v>
      </c>
      <c r="H133" s="149">
        <v>1</v>
      </c>
      <c r="I133" s="157">
        <v>109000</v>
      </c>
      <c r="J133" s="159">
        <f t="shared" si="15"/>
        <v>109000</v>
      </c>
      <c r="K133" s="152"/>
    </row>
    <row r="134" spans="1:11" s="141" customFormat="1" ht="20.25" customHeight="1">
      <c r="A134" s="147">
        <v>5</v>
      </c>
      <c r="B134" s="143" t="s">
        <v>877</v>
      </c>
      <c r="C134" s="143" t="s">
        <v>876</v>
      </c>
      <c r="D134" s="143" t="s">
        <v>1015</v>
      </c>
      <c r="E134" s="148" t="s">
        <v>1044</v>
      </c>
      <c r="F134" s="143">
        <v>4</v>
      </c>
      <c r="G134" s="143" t="s">
        <v>1014</v>
      </c>
      <c r="H134" s="149">
        <v>4</v>
      </c>
      <c r="I134" s="157">
        <v>3800</v>
      </c>
      <c r="J134" s="159">
        <f t="shared" si="15"/>
        <v>15200</v>
      </c>
      <c r="K134" s="152"/>
    </row>
    <row r="135" spans="1:11" s="141" customFormat="1" ht="20.25" customHeight="1">
      <c r="A135" s="147">
        <v>6</v>
      </c>
      <c r="B135" s="143" t="s">
        <v>877</v>
      </c>
      <c r="C135" s="143" t="s">
        <v>876</v>
      </c>
      <c r="D135" s="143" t="s">
        <v>1020</v>
      </c>
      <c r="E135" s="143" t="s">
        <v>869</v>
      </c>
      <c r="F135" s="143">
        <v>1</v>
      </c>
      <c r="G135" s="143" t="s">
        <v>1014</v>
      </c>
      <c r="H135" s="149">
        <v>1</v>
      </c>
      <c r="I135" s="150">
        <v>22000</v>
      </c>
      <c r="J135" s="151">
        <f t="shared" si="15"/>
        <v>22000</v>
      </c>
      <c r="K135" s="152"/>
    </row>
    <row r="136" spans="1:11" s="141" customFormat="1" ht="20.25" customHeight="1">
      <c r="A136" s="147">
        <v>7</v>
      </c>
      <c r="B136" s="143" t="s">
        <v>877</v>
      </c>
      <c r="C136" s="143" t="s">
        <v>876</v>
      </c>
      <c r="D136" s="143" t="s">
        <v>1021</v>
      </c>
      <c r="E136" s="143" t="s">
        <v>869</v>
      </c>
      <c r="F136" s="143">
        <v>1</v>
      </c>
      <c r="G136" s="143" t="s">
        <v>1014</v>
      </c>
      <c r="H136" s="149">
        <v>1</v>
      </c>
      <c r="I136" s="150">
        <v>5500</v>
      </c>
      <c r="J136" s="151">
        <f t="shared" si="15"/>
        <v>5500</v>
      </c>
      <c r="K136" s="152"/>
    </row>
    <row r="137" spans="1:11" s="141" customFormat="1" ht="20.25" customHeight="1">
      <c r="A137" s="147">
        <v>8</v>
      </c>
      <c r="B137" s="143" t="s">
        <v>877</v>
      </c>
      <c r="C137" s="143" t="s">
        <v>876</v>
      </c>
      <c r="D137" s="143" t="s">
        <v>1027</v>
      </c>
      <c r="E137" s="143" t="s">
        <v>1002</v>
      </c>
      <c r="F137" s="143">
        <v>1</v>
      </c>
      <c r="G137" s="143" t="s">
        <v>1024</v>
      </c>
      <c r="H137" s="149">
        <v>1</v>
      </c>
      <c r="I137" s="150">
        <v>5400</v>
      </c>
      <c r="J137" s="151">
        <f t="shared" si="15"/>
        <v>5400</v>
      </c>
      <c r="K137" s="152"/>
    </row>
    <row r="138" spans="1:11" s="141" customFormat="1" ht="20.25" customHeight="1">
      <c r="A138" s="147">
        <v>9</v>
      </c>
      <c r="B138" s="143" t="s">
        <v>877</v>
      </c>
      <c r="C138" s="143" t="s">
        <v>876</v>
      </c>
      <c r="D138" s="143" t="s">
        <v>1028</v>
      </c>
      <c r="E138" s="143" t="s">
        <v>868</v>
      </c>
      <c r="F138" s="143">
        <v>1</v>
      </c>
      <c r="G138" s="143" t="s">
        <v>1024</v>
      </c>
      <c r="H138" s="149">
        <v>1</v>
      </c>
      <c r="I138" s="150">
        <v>2300</v>
      </c>
      <c r="J138" s="151">
        <f t="shared" si="15"/>
        <v>2300</v>
      </c>
      <c r="K138" s="152"/>
    </row>
    <row r="139" spans="1:11" s="141" customFormat="1" ht="20.25" customHeight="1">
      <c r="A139" s="147">
        <v>10</v>
      </c>
      <c r="B139" s="143" t="s">
        <v>877</v>
      </c>
      <c r="C139" s="143" t="s">
        <v>876</v>
      </c>
      <c r="D139" s="143" t="s">
        <v>1016</v>
      </c>
      <c r="E139" s="143" t="s">
        <v>868</v>
      </c>
      <c r="F139" s="143">
        <v>1</v>
      </c>
      <c r="G139" s="143" t="s">
        <v>1017</v>
      </c>
      <c r="H139" s="149">
        <v>1</v>
      </c>
      <c r="I139" s="150">
        <v>32000</v>
      </c>
      <c r="J139" s="151">
        <f t="shared" si="15"/>
        <v>32000</v>
      </c>
      <c r="K139" s="152"/>
    </row>
    <row r="140" spans="1:11" s="141" customFormat="1" ht="20.25" customHeight="1">
      <c r="A140" s="147">
        <v>11</v>
      </c>
      <c r="B140" s="143" t="s">
        <v>877</v>
      </c>
      <c r="C140" s="143" t="s">
        <v>876</v>
      </c>
      <c r="D140" s="143" t="s">
        <v>1018</v>
      </c>
      <c r="E140" s="143" t="s">
        <v>869</v>
      </c>
      <c r="F140" s="143">
        <v>1</v>
      </c>
      <c r="G140" s="143" t="s">
        <v>1019</v>
      </c>
      <c r="H140" s="149">
        <v>1</v>
      </c>
      <c r="I140" s="150">
        <v>14100</v>
      </c>
      <c r="J140" s="151">
        <f t="shared" si="15"/>
        <v>14100</v>
      </c>
      <c r="K140" s="152"/>
    </row>
    <row r="141" spans="1:11" s="141" customFormat="1" ht="20.25" customHeight="1">
      <c r="A141" s="147">
        <v>12</v>
      </c>
      <c r="B141" s="143" t="s">
        <v>877</v>
      </c>
      <c r="C141" s="143" t="s">
        <v>876</v>
      </c>
      <c r="D141" s="143" t="s">
        <v>1023</v>
      </c>
      <c r="E141" s="143" t="s">
        <v>870</v>
      </c>
      <c r="F141" s="143">
        <v>1</v>
      </c>
      <c r="G141" s="143" t="s">
        <v>1024</v>
      </c>
      <c r="H141" s="149">
        <v>1</v>
      </c>
      <c r="I141" s="150">
        <v>11000</v>
      </c>
      <c r="J141" s="151">
        <f t="shared" si="15"/>
        <v>11000</v>
      </c>
      <c r="K141" s="152"/>
    </row>
    <row r="142" spans="1:11" s="141" customFormat="1" ht="20.25" customHeight="1">
      <c r="A142" s="147">
        <v>13</v>
      </c>
      <c r="B142" s="143" t="s">
        <v>877</v>
      </c>
      <c r="C142" s="143" t="s">
        <v>876</v>
      </c>
      <c r="D142" s="143" t="s">
        <v>1251</v>
      </c>
      <c r="E142" s="143" t="s">
        <v>1252</v>
      </c>
      <c r="F142" s="143">
        <v>1</v>
      </c>
      <c r="G142" s="143" t="s">
        <v>643</v>
      </c>
      <c r="H142" s="149">
        <v>1</v>
      </c>
      <c r="I142" s="150">
        <v>10000</v>
      </c>
      <c r="J142" s="151">
        <f t="shared" si="15"/>
        <v>10000</v>
      </c>
      <c r="K142" s="152"/>
    </row>
    <row r="143" spans="1:11" s="141" customFormat="1" ht="20.25" customHeight="1">
      <c r="A143" s="147">
        <v>14</v>
      </c>
      <c r="B143" s="143" t="s">
        <v>877</v>
      </c>
      <c r="C143" s="143" t="s">
        <v>876</v>
      </c>
      <c r="D143" s="143" t="s">
        <v>1253</v>
      </c>
      <c r="E143" s="143"/>
      <c r="F143" s="143">
        <v>1</v>
      </c>
      <c r="G143" s="143" t="s">
        <v>1254</v>
      </c>
      <c r="H143" s="149">
        <v>1</v>
      </c>
      <c r="I143" s="150">
        <v>5000</v>
      </c>
      <c r="J143" s="151">
        <f t="shared" si="15"/>
        <v>5000</v>
      </c>
      <c r="K143" s="152"/>
    </row>
    <row r="144" spans="1:11" s="141" customFormat="1" ht="20.25" customHeight="1">
      <c r="A144" s="147">
        <v>15</v>
      </c>
      <c r="B144" s="143" t="s">
        <v>877</v>
      </c>
      <c r="C144" s="143" t="s">
        <v>876</v>
      </c>
      <c r="D144" s="143" t="s">
        <v>1011</v>
      </c>
      <c r="E144" s="148" t="s">
        <v>1038</v>
      </c>
      <c r="F144" s="143">
        <v>1</v>
      </c>
      <c r="G144" s="149" t="s">
        <v>1029</v>
      </c>
      <c r="H144" s="149">
        <v>1</v>
      </c>
      <c r="I144" s="157">
        <f>66590/2</f>
        <v>33295</v>
      </c>
      <c r="J144" s="159">
        <f t="shared" si="15"/>
        <v>33295</v>
      </c>
      <c r="K144" s="152"/>
    </row>
    <row r="145" spans="1:14" s="141" customFormat="1" ht="20.25" customHeight="1">
      <c r="A145" s="147">
        <v>16</v>
      </c>
      <c r="B145" s="143" t="s">
        <v>877</v>
      </c>
      <c r="C145" s="143" t="s">
        <v>876</v>
      </c>
      <c r="D145" s="143" t="s">
        <v>1011</v>
      </c>
      <c r="E145" s="148" t="s">
        <v>1039</v>
      </c>
      <c r="F145" s="143">
        <v>1</v>
      </c>
      <c r="G145" s="149" t="s">
        <v>1029</v>
      </c>
      <c r="H145" s="149">
        <v>1</v>
      </c>
      <c r="I145" s="157">
        <f>48660/2</f>
        <v>24330</v>
      </c>
      <c r="J145" s="159">
        <f t="shared" si="15"/>
        <v>24330</v>
      </c>
      <c r="K145" s="152"/>
      <c r="M145" s="185">
        <v>1690909</v>
      </c>
      <c r="N145" s="186" t="s">
        <v>1302</v>
      </c>
    </row>
    <row r="146" spans="1:14" s="141" customFormat="1" ht="20.25" customHeight="1">
      <c r="A146" s="147">
        <v>17</v>
      </c>
      <c r="B146" s="143" t="s">
        <v>877</v>
      </c>
      <c r="C146" s="143" t="s">
        <v>876</v>
      </c>
      <c r="D146" s="143" t="s">
        <v>1011</v>
      </c>
      <c r="E146" s="148" t="s">
        <v>1040</v>
      </c>
      <c r="F146" s="143">
        <v>1</v>
      </c>
      <c r="G146" s="149" t="s">
        <v>1029</v>
      </c>
      <c r="H146" s="149">
        <v>1</v>
      </c>
      <c r="I146" s="157">
        <f>18222/3</f>
        <v>6074</v>
      </c>
      <c r="J146" s="159">
        <f t="shared" si="15"/>
        <v>6074</v>
      </c>
      <c r="K146" s="152"/>
      <c r="M146" s="154">
        <f>200000+100000</f>
        <v>300000</v>
      </c>
      <c r="N146" s="210" t="s">
        <v>1561</v>
      </c>
    </row>
    <row r="147" spans="1:14" s="141" customFormat="1" ht="20.25" customHeight="1">
      <c r="A147" s="147">
        <v>18</v>
      </c>
      <c r="B147" s="143" t="s">
        <v>877</v>
      </c>
      <c r="C147" s="143" t="s">
        <v>876</v>
      </c>
      <c r="D147" s="143" t="s">
        <v>1050</v>
      </c>
      <c r="E147" s="148" t="s">
        <v>1051</v>
      </c>
      <c r="F147" s="143">
        <v>1</v>
      </c>
      <c r="G147" s="149" t="s">
        <v>1052</v>
      </c>
      <c r="H147" s="149">
        <v>1</v>
      </c>
      <c r="I147" s="157">
        <v>30000</v>
      </c>
      <c r="J147" s="159">
        <f t="shared" si="15"/>
        <v>30000</v>
      </c>
      <c r="K147" s="152"/>
      <c r="M147" s="183">
        <f>L150*7%</f>
        <v>56283.745000000003</v>
      </c>
      <c r="N147" s="141" t="s">
        <v>1303</v>
      </c>
    </row>
    <row r="148" spans="1:14" s="141" customFormat="1" ht="20.25" customHeight="1">
      <c r="A148" s="147">
        <v>19</v>
      </c>
      <c r="B148" s="143" t="s">
        <v>877</v>
      </c>
      <c r="C148" s="143" t="s">
        <v>876</v>
      </c>
      <c r="D148" s="143" t="s">
        <v>1041</v>
      </c>
      <c r="E148" s="148" t="s">
        <v>1035</v>
      </c>
      <c r="F148" s="143">
        <v>1</v>
      </c>
      <c r="G148" s="143" t="s">
        <v>1024</v>
      </c>
      <c r="H148" s="149">
        <v>1</v>
      </c>
      <c r="I148" s="150">
        <v>800</v>
      </c>
      <c r="J148" s="151">
        <f>H148*I148</f>
        <v>800</v>
      </c>
      <c r="K148" s="152"/>
      <c r="M148" s="183">
        <f>(L150+M147)*20%</f>
        <v>172067.44900000002</v>
      </c>
      <c r="N148" s="141" t="s">
        <v>1304</v>
      </c>
    </row>
    <row r="149" spans="1:14" s="141" customFormat="1" ht="20.25" customHeight="1" thickBot="1">
      <c r="A149" s="176">
        <v>20</v>
      </c>
      <c r="B149" s="177" t="s">
        <v>1269</v>
      </c>
      <c r="C149" s="177" t="s">
        <v>1270</v>
      </c>
      <c r="D149" s="177" t="s">
        <v>1262</v>
      </c>
      <c r="E149" s="143" t="s">
        <v>1263</v>
      </c>
      <c r="F149" s="177">
        <v>1</v>
      </c>
      <c r="G149" s="177" t="s">
        <v>1116</v>
      </c>
      <c r="H149" s="178">
        <v>1</v>
      </c>
      <c r="I149" s="179">
        <v>700</v>
      </c>
      <c r="J149" s="180">
        <v>700</v>
      </c>
      <c r="K149" s="181"/>
      <c r="M149" s="183">
        <f>(L150+M147+M148)*25%</f>
        <v>258101.1735</v>
      </c>
      <c r="N149" s="141" t="s">
        <v>1305</v>
      </c>
    </row>
    <row r="150" spans="1:14" s="141" customFormat="1" ht="20.25" customHeight="1" thickBot="1">
      <c r="A150" s="160">
        <v>21</v>
      </c>
      <c r="B150" s="161" t="s">
        <v>877</v>
      </c>
      <c r="C150" s="161" t="s">
        <v>876</v>
      </c>
      <c r="D150" s="161" t="s">
        <v>1264</v>
      </c>
      <c r="E150" s="169" t="s">
        <v>1267</v>
      </c>
      <c r="F150" s="161">
        <v>1</v>
      </c>
      <c r="G150" s="161" t="s">
        <v>1266</v>
      </c>
      <c r="H150" s="162">
        <v>1</v>
      </c>
      <c r="I150" s="170">
        <v>1400</v>
      </c>
      <c r="J150" s="171">
        <f t="shared" ref="J150" si="16">H150*I150</f>
        <v>1400</v>
      </c>
      <c r="K150" s="163"/>
      <c r="L150" s="172">
        <f>SUM(J130:J150)</f>
        <v>804053.5</v>
      </c>
      <c r="M150" s="184">
        <f>L150+M146+M147+M148+M149</f>
        <v>1590505.8675000002</v>
      </c>
      <c r="N150" s="141" t="s">
        <v>1307</v>
      </c>
    </row>
    <row r="151" spans="1:14" s="141" customFormat="1" ht="7.5" customHeight="1" thickBot="1">
      <c r="D151" s="164"/>
      <c r="E151" s="164"/>
      <c r="G151" s="165"/>
      <c r="H151" s="165"/>
      <c r="I151" s="167"/>
      <c r="J151" s="168"/>
    </row>
    <row r="152" spans="1:14" s="141" customFormat="1" ht="20.25" customHeight="1">
      <c r="A152" s="142">
        <v>1</v>
      </c>
      <c r="B152" s="144" t="s">
        <v>879</v>
      </c>
      <c r="C152" s="144" t="s">
        <v>878</v>
      </c>
      <c r="D152" s="144" t="s">
        <v>1011</v>
      </c>
      <c r="E152" s="144" t="s">
        <v>1046</v>
      </c>
      <c r="F152" s="144">
        <v>1</v>
      </c>
      <c r="G152" s="145" t="s">
        <v>1012</v>
      </c>
      <c r="H152" s="145">
        <v>1</v>
      </c>
      <c r="I152" s="156">
        <f>409557/2</f>
        <v>204778.5</v>
      </c>
      <c r="J152" s="158">
        <f>H152*I152</f>
        <v>204778.5</v>
      </c>
      <c r="K152" s="146"/>
    </row>
    <row r="153" spans="1:14" s="141" customFormat="1" ht="20.25" customHeight="1">
      <c r="A153" s="147">
        <v>2</v>
      </c>
      <c r="B153" s="143" t="s">
        <v>879</v>
      </c>
      <c r="C153" s="143" t="s">
        <v>878</v>
      </c>
      <c r="D153" s="143" t="s">
        <v>1011</v>
      </c>
      <c r="E153" s="148" t="s">
        <v>1049</v>
      </c>
      <c r="F153" s="143">
        <v>1</v>
      </c>
      <c r="G153" s="149" t="s">
        <v>1012</v>
      </c>
      <c r="H153" s="149">
        <v>1</v>
      </c>
      <c r="I153" s="157">
        <f>225980</f>
        <v>225980</v>
      </c>
      <c r="J153" s="159">
        <f>H153*I153</f>
        <v>225980</v>
      </c>
      <c r="K153" s="152"/>
    </row>
    <row r="154" spans="1:14" s="141" customFormat="1" ht="20.25" customHeight="1">
      <c r="A154" s="147">
        <v>3</v>
      </c>
      <c r="B154" s="143" t="s">
        <v>879</v>
      </c>
      <c r="C154" s="143" t="s">
        <v>878</v>
      </c>
      <c r="D154" s="143" t="s">
        <v>1011</v>
      </c>
      <c r="E154" s="148" t="s">
        <v>1043</v>
      </c>
      <c r="F154" s="143">
        <v>1</v>
      </c>
      <c r="G154" s="149" t="s">
        <v>1012</v>
      </c>
      <c r="H154" s="149">
        <v>1</v>
      </c>
      <c r="I154" s="157">
        <f>225980/5</f>
        <v>45196</v>
      </c>
      <c r="J154" s="159">
        <f t="shared" ref="J154:J169" si="17">H154*I154</f>
        <v>45196</v>
      </c>
      <c r="K154" s="152"/>
    </row>
    <row r="155" spans="1:14" s="141" customFormat="1" ht="20.25" customHeight="1">
      <c r="A155" s="147">
        <v>4</v>
      </c>
      <c r="B155" s="143" t="s">
        <v>879</v>
      </c>
      <c r="C155" s="143" t="s">
        <v>878</v>
      </c>
      <c r="D155" s="143" t="s">
        <v>1013</v>
      </c>
      <c r="E155" s="148" t="s">
        <v>1034</v>
      </c>
      <c r="F155" s="143">
        <v>1</v>
      </c>
      <c r="G155" s="143" t="s">
        <v>1014</v>
      </c>
      <c r="H155" s="149">
        <v>1</v>
      </c>
      <c r="I155" s="157">
        <v>109000</v>
      </c>
      <c r="J155" s="159">
        <f t="shared" si="17"/>
        <v>109000</v>
      </c>
      <c r="K155" s="152"/>
    </row>
    <row r="156" spans="1:14" s="141" customFormat="1" ht="20.25" customHeight="1">
      <c r="A156" s="147">
        <v>5</v>
      </c>
      <c r="B156" s="143" t="s">
        <v>879</v>
      </c>
      <c r="C156" s="143" t="s">
        <v>878</v>
      </c>
      <c r="D156" s="143" t="s">
        <v>1015</v>
      </c>
      <c r="E156" s="148" t="s">
        <v>1044</v>
      </c>
      <c r="F156" s="143">
        <v>4</v>
      </c>
      <c r="G156" s="143" t="s">
        <v>1014</v>
      </c>
      <c r="H156" s="149">
        <v>4</v>
      </c>
      <c r="I156" s="157">
        <v>3800</v>
      </c>
      <c r="J156" s="159">
        <f t="shared" si="17"/>
        <v>15200</v>
      </c>
      <c r="K156" s="152"/>
    </row>
    <row r="157" spans="1:14" s="141" customFormat="1" ht="20.25" customHeight="1">
      <c r="A157" s="147">
        <v>6</v>
      </c>
      <c r="B157" s="143" t="s">
        <v>879</v>
      </c>
      <c r="C157" s="143" t="s">
        <v>878</v>
      </c>
      <c r="D157" s="143" t="s">
        <v>1020</v>
      </c>
      <c r="E157" s="143" t="s">
        <v>869</v>
      </c>
      <c r="F157" s="143">
        <v>1</v>
      </c>
      <c r="G157" s="143" t="s">
        <v>1014</v>
      </c>
      <c r="H157" s="149">
        <v>1</v>
      </c>
      <c r="I157" s="150">
        <v>22000</v>
      </c>
      <c r="J157" s="151">
        <f t="shared" si="17"/>
        <v>22000</v>
      </c>
      <c r="K157" s="152"/>
    </row>
    <row r="158" spans="1:14" s="141" customFormat="1" ht="20.25" customHeight="1">
      <c r="A158" s="147">
        <v>7</v>
      </c>
      <c r="B158" s="143" t="s">
        <v>879</v>
      </c>
      <c r="C158" s="143" t="s">
        <v>878</v>
      </c>
      <c r="D158" s="143" t="s">
        <v>1021</v>
      </c>
      <c r="E158" s="143" t="s">
        <v>869</v>
      </c>
      <c r="F158" s="143">
        <v>1</v>
      </c>
      <c r="G158" s="143" t="s">
        <v>1014</v>
      </c>
      <c r="H158" s="149">
        <v>1</v>
      </c>
      <c r="I158" s="150">
        <v>5500</v>
      </c>
      <c r="J158" s="151">
        <f t="shared" si="17"/>
        <v>5500</v>
      </c>
      <c r="K158" s="152"/>
    </row>
    <row r="159" spans="1:14" s="141" customFormat="1" ht="20.25" customHeight="1">
      <c r="A159" s="147">
        <v>8</v>
      </c>
      <c r="B159" s="143" t="s">
        <v>879</v>
      </c>
      <c r="C159" s="143" t="s">
        <v>878</v>
      </c>
      <c r="D159" s="143" t="s">
        <v>1027</v>
      </c>
      <c r="E159" s="143" t="s">
        <v>1002</v>
      </c>
      <c r="F159" s="143">
        <v>1</v>
      </c>
      <c r="G159" s="143" t="s">
        <v>1024</v>
      </c>
      <c r="H159" s="149">
        <v>1</v>
      </c>
      <c r="I159" s="150">
        <v>5400</v>
      </c>
      <c r="J159" s="151">
        <f t="shared" si="17"/>
        <v>5400</v>
      </c>
      <c r="K159" s="152"/>
    </row>
    <row r="160" spans="1:14" s="141" customFormat="1" ht="20.25" customHeight="1">
      <c r="A160" s="147">
        <v>9</v>
      </c>
      <c r="B160" s="143" t="s">
        <v>879</v>
      </c>
      <c r="C160" s="143" t="s">
        <v>878</v>
      </c>
      <c r="D160" s="143" t="s">
        <v>1028</v>
      </c>
      <c r="E160" s="143" t="s">
        <v>868</v>
      </c>
      <c r="F160" s="143">
        <v>1</v>
      </c>
      <c r="G160" s="143" t="s">
        <v>1024</v>
      </c>
      <c r="H160" s="149">
        <v>1</v>
      </c>
      <c r="I160" s="150">
        <v>2300</v>
      </c>
      <c r="J160" s="151">
        <f t="shared" si="17"/>
        <v>2300</v>
      </c>
      <c r="K160" s="152"/>
    </row>
    <row r="161" spans="1:14" s="141" customFormat="1" ht="20.25" customHeight="1">
      <c r="A161" s="147">
        <v>10</v>
      </c>
      <c r="B161" s="143" t="s">
        <v>879</v>
      </c>
      <c r="C161" s="143" t="s">
        <v>878</v>
      </c>
      <c r="D161" s="143" t="s">
        <v>1016</v>
      </c>
      <c r="E161" s="143" t="s">
        <v>868</v>
      </c>
      <c r="F161" s="143">
        <v>1</v>
      </c>
      <c r="G161" s="143" t="s">
        <v>1017</v>
      </c>
      <c r="H161" s="149">
        <v>1</v>
      </c>
      <c r="I161" s="150">
        <v>32000</v>
      </c>
      <c r="J161" s="151">
        <f t="shared" si="17"/>
        <v>32000</v>
      </c>
      <c r="K161" s="152"/>
    </row>
    <row r="162" spans="1:14" s="141" customFormat="1" ht="20.25" customHeight="1">
      <c r="A162" s="147">
        <v>11</v>
      </c>
      <c r="B162" s="143" t="s">
        <v>879</v>
      </c>
      <c r="C162" s="143" t="s">
        <v>878</v>
      </c>
      <c r="D162" s="143" t="s">
        <v>1018</v>
      </c>
      <c r="E162" s="143" t="s">
        <v>869</v>
      </c>
      <c r="F162" s="143">
        <v>1</v>
      </c>
      <c r="G162" s="143" t="s">
        <v>1019</v>
      </c>
      <c r="H162" s="149">
        <v>1</v>
      </c>
      <c r="I162" s="150">
        <v>14100</v>
      </c>
      <c r="J162" s="151">
        <f t="shared" si="17"/>
        <v>14100</v>
      </c>
      <c r="K162" s="152"/>
    </row>
    <row r="163" spans="1:14" s="141" customFormat="1" ht="20.25" customHeight="1">
      <c r="A163" s="147">
        <v>12</v>
      </c>
      <c r="B163" s="143" t="s">
        <v>879</v>
      </c>
      <c r="C163" s="143" t="s">
        <v>878</v>
      </c>
      <c r="D163" s="143" t="s">
        <v>1023</v>
      </c>
      <c r="E163" s="143" t="s">
        <v>870</v>
      </c>
      <c r="F163" s="143">
        <v>1</v>
      </c>
      <c r="G163" s="143" t="s">
        <v>1024</v>
      </c>
      <c r="H163" s="149">
        <v>1</v>
      </c>
      <c r="I163" s="150">
        <v>11000</v>
      </c>
      <c r="J163" s="151">
        <f t="shared" si="17"/>
        <v>11000</v>
      </c>
      <c r="K163" s="152"/>
    </row>
    <row r="164" spans="1:14" s="141" customFormat="1" ht="20.25" customHeight="1">
      <c r="A164" s="147">
        <v>13</v>
      </c>
      <c r="B164" s="143" t="s">
        <v>879</v>
      </c>
      <c r="C164" s="143" t="s">
        <v>878</v>
      </c>
      <c r="D164" s="143" t="s">
        <v>1251</v>
      </c>
      <c r="E164" s="143" t="s">
        <v>1252</v>
      </c>
      <c r="F164" s="143">
        <v>1</v>
      </c>
      <c r="G164" s="143" t="s">
        <v>643</v>
      </c>
      <c r="H164" s="149">
        <v>1</v>
      </c>
      <c r="I164" s="150">
        <v>10000</v>
      </c>
      <c r="J164" s="151">
        <f t="shared" si="17"/>
        <v>10000</v>
      </c>
      <c r="K164" s="152"/>
    </row>
    <row r="165" spans="1:14" s="141" customFormat="1" ht="20.25" customHeight="1">
      <c r="A165" s="147">
        <v>14</v>
      </c>
      <c r="B165" s="143" t="s">
        <v>879</v>
      </c>
      <c r="C165" s="143" t="s">
        <v>878</v>
      </c>
      <c r="D165" s="143" t="s">
        <v>1253</v>
      </c>
      <c r="E165" s="143"/>
      <c r="F165" s="143">
        <v>1</v>
      </c>
      <c r="G165" s="143" t="s">
        <v>1254</v>
      </c>
      <c r="H165" s="149">
        <v>1</v>
      </c>
      <c r="I165" s="150">
        <v>5000</v>
      </c>
      <c r="J165" s="151">
        <f t="shared" si="17"/>
        <v>5000</v>
      </c>
      <c r="K165" s="152"/>
    </row>
    <row r="166" spans="1:14" s="141" customFormat="1" ht="20.25" customHeight="1">
      <c r="A166" s="147">
        <v>15</v>
      </c>
      <c r="B166" s="143" t="s">
        <v>879</v>
      </c>
      <c r="C166" s="143" t="s">
        <v>878</v>
      </c>
      <c r="D166" s="143" t="s">
        <v>1011</v>
      </c>
      <c r="E166" s="148" t="s">
        <v>1038</v>
      </c>
      <c r="F166" s="143">
        <v>1</v>
      </c>
      <c r="G166" s="149" t="s">
        <v>1029</v>
      </c>
      <c r="H166" s="149">
        <v>1</v>
      </c>
      <c r="I166" s="157">
        <f>66590/2</f>
        <v>33295</v>
      </c>
      <c r="J166" s="159">
        <f t="shared" si="17"/>
        <v>33295</v>
      </c>
      <c r="K166" s="152"/>
    </row>
    <row r="167" spans="1:14" s="141" customFormat="1" ht="20.25" customHeight="1">
      <c r="A167" s="147">
        <v>16</v>
      </c>
      <c r="B167" s="143" t="s">
        <v>879</v>
      </c>
      <c r="C167" s="143" t="s">
        <v>878</v>
      </c>
      <c r="D167" s="143" t="s">
        <v>1011</v>
      </c>
      <c r="E167" s="148" t="s">
        <v>1039</v>
      </c>
      <c r="F167" s="143">
        <v>1</v>
      </c>
      <c r="G167" s="149" t="s">
        <v>1029</v>
      </c>
      <c r="H167" s="149">
        <v>1</v>
      </c>
      <c r="I167" s="157">
        <f>48660/2</f>
        <v>24330</v>
      </c>
      <c r="J167" s="159">
        <f t="shared" si="17"/>
        <v>24330</v>
      </c>
      <c r="K167" s="152"/>
      <c r="M167" s="185">
        <v>1897273</v>
      </c>
      <c r="N167" s="186" t="s">
        <v>1302</v>
      </c>
    </row>
    <row r="168" spans="1:14" s="141" customFormat="1" ht="20.25" customHeight="1">
      <c r="A168" s="147">
        <v>17</v>
      </c>
      <c r="B168" s="143" t="s">
        <v>879</v>
      </c>
      <c r="C168" s="143" t="s">
        <v>878</v>
      </c>
      <c r="D168" s="143" t="s">
        <v>1011</v>
      </c>
      <c r="E168" s="148" t="s">
        <v>1040</v>
      </c>
      <c r="F168" s="143">
        <v>1</v>
      </c>
      <c r="G168" s="149" t="s">
        <v>1029</v>
      </c>
      <c r="H168" s="149">
        <v>1</v>
      </c>
      <c r="I168" s="157">
        <f>18222/3</f>
        <v>6074</v>
      </c>
      <c r="J168" s="159">
        <f t="shared" si="17"/>
        <v>6074</v>
      </c>
      <c r="K168" s="152"/>
      <c r="M168" s="154">
        <f>200000+100000</f>
        <v>300000</v>
      </c>
      <c r="N168" s="210" t="s">
        <v>1561</v>
      </c>
    </row>
    <row r="169" spans="1:14" s="141" customFormat="1" ht="20.25" customHeight="1">
      <c r="A169" s="147">
        <v>18</v>
      </c>
      <c r="B169" s="143" t="s">
        <v>879</v>
      </c>
      <c r="C169" s="143" t="s">
        <v>878</v>
      </c>
      <c r="D169" s="143" t="s">
        <v>1050</v>
      </c>
      <c r="E169" s="148" t="s">
        <v>1051</v>
      </c>
      <c r="F169" s="143">
        <v>1</v>
      </c>
      <c r="G169" s="149" t="s">
        <v>1052</v>
      </c>
      <c r="H169" s="149">
        <v>1</v>
      </c>
      <c r="I169" s="157">
        <v>30000</v>
      </c>
      <c r="J169" s="159">
        <f t="shared" si="17"/>
        <v>30000</v>
      </c>
      <c r="K169" s="152"/>
      <c r="M169" s="183">
        <f>L172*7%</f>
        <v>56283.745000000003</v>
      </c>
      <c r="N169" s="141" t="s">
        <v>1303</v>
      </c>
    </row>
    <row r="170" spans="1:14" s="141" customFormat="1" ht="20.25" customHeight="1">
      <c r="A170" s="147">
        <v>19</v>
      </c>
      <c r="B170" s="143" t="s">
        <v>879</v>
      </c>
      <c r="C170" s="143" t="s">
        <v>878</v>
      </c>
      <c r="D170" s="143" t="s">
        <v>1041</v>
      </c>
      <c r="E170" s="148" t="s">
        <v>1035</v>
      </c>
      <c r="F170" s="143">
        <v>1</v>
      </c>
      <c r="G170" s="143" t="s">
        <v>1024</v>
      </c>
      <c r="H170" s="149">
        <v>1</v>
      </c>
      <c r="I170" s="150">
        <v>800</v>
      </c>
      <c r="J170" s="151">
        <f>H170*I170</f>
        <v>800</v>
      </c>
      <c r="K170" s="152"/>
      <c r="M170" s="183">
        <f>(L172+M169)*20%</f>
        <v>172067.44900000002</v>
      </c>
      <c r="N170" s="141" t="s">
        <v>1304</v>
      </c>
    </row>
    <row r="171" spans="1:14" s="141" customFormat="1" ht="20.25" customHeight="1" thickBot="1">
      <c r="A171" s="147">
        <v>20</v>
      </c>
      <c r="B171" s="177" t="s">
        <v>1271</v>
      </c>
      <c r="C171" s="177" t="s">
        <v>1272</v>
      </c>
      <c r="D171" s="177" t="s">
        <v>1262</v>
      </c>
      <c r="E171" s="143" t="s">
        <v>1263</v>
      </c>
      <c r="F171" s="177">
        <v>1</v>
      </c>
      <c r="G171" s="177" t="s">
        <v>1116</v>
      </c>
      <c r="H171" s="178">
        <v>1</v>
      </c>
      <c r="I171" s="179">
        <v>700</v>
      </c>
      <c r="J171" s="180">
        <v>700</v>
      </c>
      <c r="K171" s="181"/>
      <c r="M171" s="183">
        <f>(L172+M169+M170)*25%</f>
        <v>258101.1735</v>
      </c>
      <c r="N171" s="141" t="s">
        <v>1305</v>
      </c>
    </row>
    <row r="172" spans="1:14" s="141" customFormat="1" ht="20.25" customHeight="1" thickBot="1">
      <c r="A172" s="160">
        <v>21</v>
      </c>
      <c r="B172" s="161" t="s">
        <v>879</v>
      </c>
      <c r="C172" s="161" t="s">
        <v>878</v>
      </c>
      <c r="D172" s="161" t="s">
        <v>1264</v>
      </c>
      <c r="E172" s="169" t="s">
        <v>1267</v>
      </c>
      <c r="F172" s="161">
        <v>1</v>
      </c>
      <c r="G172" s="161" t="s">
        <v>1266</v>
      </c>
      <c r="H172" s="162">
        <v>1</v>
      </c>
      <c r="I172" s="170">
        <v>1400</v>
      </c>
      <c r="J172" s="171">
        <f t="shared" ref="J172" si="18">H172*I172</f>
        <v>1400</v>
      </c>
      <c r="K172" s="163"/>
      <c r="L172" s="172">
        <f>SUM(J152:J172)</f>
        <v>804053.5</v>
      </c>
      <c r="M172" s="184">
        <f>L172+M168+M169+M170+M171</f>
        <v>1590505.8675000002</v>
      </c>
      <c r="N172" s="141" t="s">
        <v>1307</v>
      </c>
    </row>
    <row r="173" spans="1:14" s="141" customFormat="1" ht="7.5" customHeight="1" thickBot="1">
      <c r="D173" s="164"/>
      <c r="E173" s="164"/>
      <c r="G173" s="165"/>
      <c r="H173" s="165"/>
      <c r="I173" s="167"/>
      <c r="J173" s="168"/>
    </row>
    <row r="174" spans="1:14" s="141" customFormat="1" ht="20.25" customHeight="1">
      <c r="A174" s="142">
        <v>1</v>
      </c>
      <c r="B174" s="144" t="s">
        <v>881</v>
      </c>
      <c r="C174" s="144" t="s">
        <v>880</v>
      </c>
      <c r="D174" s="144" t="s">
        <v>1011</v>
      </c>
      <c r="E174" s="144" t="s">
        <v>1046</v>
      </c>
      <c r="F174" s="144">
        <v>1</v>
      </c>
      <c r="G174" s="145" t="s">
        <v>1012</v>
      </c>
      <c r="H174" s="145">
        <v>1</v>
      </c>
      <c r="I174" s="156">
        <f>409557/2</f>
        <v>204778.5</v>
      </c>
      <c r="J174" s="158">
        <f>H174*I174</f>
        <v>204778.5</v>
      </c>
      <c r="K174" s="146"/>
    </row>
    <row r="175" spans="1:14" s="141" customFormat="1" ht="20.25" customHeight="1">
      <c r="A175" s="147">
        <v>2</v>
      </c>
      <c r="B175" s="143" t="s">
        <v>881</v>
      </c>
      <c r="C175" s="143" t="s">
        <v>880</v>
      </c>
      <c r="D175" s="143" t="s">
        <v>1011</v>
      </c>
      <c r="E175" s="148" t="s">
        <v>1047</v>
      </c>
      <c r="F175" s="143">
        <v>1</v>
      </c>
      <c r="G175" s="149" t="s">
        <v>1012</v>
      </c>
      <c r="H175" s="149">
        <v>1</v>
      </c>
      <c r="I175" s="157">
        <f>225980</f>
        <v>225980</v>
      </c>
      <c r="J175" s="159">
        <f>H175*I175</f>
        <v>225980</v>
      </c>
      <c r="K175" s="152"/>
    </row>
    <row r="176" spans="1:14" s="141" customFormat="1" ht="20.25" customHeight="1">
      <c r="A176" s="147">
        <v>3</v>
      </c>
      <c r="B176" s="143" t="s">
        <v>881</v>
      </c>
      <c r="C176" s="143" t="s">
        <v>880</v>
      </c>
      <c r="D176" s="143" t="s">
        <v>1011</v>
      </c>
      <c r="E176" s="148" t="s">
        <v>1043</v>
      </c>
      <c r="F176" s="143">
        <v>1</v>
      </c>
      <c r="G176" s="149" t="s">
        <v>1012</v>
      </c>
      <c r="H176" s="149">
        <v>1</v>
      </c>
      <c r="I176" s="157">
        <f>225980/5</f>
        <v>45196</v>
      </c>
      <c r="J176" s="159">
        <f t="shared" ref="J176:J191" si="19">H176*I176</f>
        <v>45196</v>
      </c>
      <c r="K176" s="152"/>
    </row>
    <row r="177" spans="1:14" s="141" customFormat="1" ht="20.25" customHeight="1">
      <c r="A177" s="147">
        <v>4</v>
      </c>
      <c r="B177" s="143" t="s">
        <v>881</v>
      </c>
      <c r="C177" s="143" t="s">
        <v>880</v>
      </c>
      <c r="D177" s="143" t="s">
        <v>1013</v>
      </c>
      <c r="E177" s="148" t="s">
        <v>1034</v>
      </c>
      <c r="F177" s="143">
        <v>1</v>
      </c>
      <c r="G177" s="143" t="s">
        <v>1014</v>
      </c>
      <c r="H177" s="149">
        <v>1</v>
      </c>
      <c r="I177" s="157">
        <v>109000</v>
      </c>
      <c r="J177" s="159">
        <f t="shared" si="19"/>
        <v>109000</v>
      </c>
      <c r="K177" s="152"/>
    </row>
    <row r="178" spans="1:14" s="141" customFormat="1" ht="20.25" customHeight="1">
      <c r="A178" s="147">
        <v>5</v>
      </c>
      <c r="B178" s="143" t="s">
        <v>881</v>
      </c>
      <c r="C178" s="143" t="s">
        <v>880</v>
      </c>
      <c r="D178" s="143" t="s">
        <v>1015</v>
      </c>
      <c r="E178" s="148" t="s">
        <v>1044</v>
      </c>
      <c r="F178" s="143">
        <v>4</v>
      </c>
      <c r="G178" s="143" t="s">
        <v>1014</v>
      </c>
      <c r="H178" s="149">
        <v>4</v>
      </c>
      <c r="I178" s="157">
        <v>3800</v>
      </c>
      <c r="J178" s="159">
        <f t="shared" si="19"/>
        <v>15200</v>
      </c>
      <c r="K178" s="152"/>
    </row>
    <row r="179" spans="1:14" s="141" customFormat="1" ht="20.25" customHeight="1">
      <c r="A179" s="147">
        <v>6</v>
      </c>
      <c r="B179" s="143" t="s">
        <v>881</v>
      </c>
      <c r="C179" s="143" t="s">
        <v>880</v>
      </c>
      <c r="D179" s="143" t="s">
        <v>1020</v>
      </c>
      <c r="E179" s="143" t="s">
        <v>869</v>
      </c>
      <c r="F179" s="143">
        <v>1</v>
      </c>
      <c r="G179" s="143" t="s">
        <v>1014</v>
      </c>
      <c r="H179" s="149">
        <v>1</v>
      </c>
      <c r="I179" s="150">
        <v>22000</v>
      </c>
      <c r="J179" s="151">
        <f t="shared" si="19"/>
        <v>22000</v>
      </c>
      <c r="K179" s="152"/>
    </row>
    <row r="180" spans="1:14" s="141" customFormat="1" ht="20.25" customHeight="1">
      <c r="A180" s="147">
        <v>7</v>
      </c>
      <c r="B180" s="143" t="s">
        <v>881</v>
      </c>
      <c r="C180" s="143" t="s">
        <v>880</v>
      </c>
      <c r="D180" s="143" t="s">
        <v>1021</v>
      </c>
      <c r="E180" s="143" t="s">
        <v>869</v>
      </c>
      <c r="F180" s="143">
        <v>1</v>
      </c>
      <c r="G180" s="143" t="s">
        <v>1014</v>
      </c>
      <c r="H180" s="149">
        <v>1</v>
      </c>
      <c r="I180" s="150">
        <v>5500</v>
      </c>
      <c r="J180" s="151">
        <f t="shared" si="19"/>
        <v>5500</v>
      </c>
      <c r="K180" s="152"/>
    </row>
    <row r="181" spans="1:14" s="141" customFormat="1" ht="20.25" customHeight="1">
      <c r="A181" s="147">
        <v>8</v>
      </c>
      <c r="B181" s="143" t="s">
        <v>881</v>
      </c>
      <c r="C181" s="143" t="s">
        <v>880</v>
      </c>
      <c r="D181" s="143" t="s">
        <v>1027</v>
      </c>
      <c r="E181" s="143" t="s">
        <v>1002</v>
      </c>
      <c r="F181" s="143">
        <v>1</v>
      </c>
      <c r="G181" s="143" t="s">
        <v>1024</v>
      </c>
      <c r="H181" s="149">
        <v>1</v>
      </c>
      <c r="I181" s="150">
        <v>5400</v>
      </c>
      <c r="J181" s="151">
        <f t="shared" si="19"/>
        <v>5400</v>
      </c>
      <c r="K181" s="152"/>
    </row>
    <row r="182" spans="1:14" s="141" customFormat="1" ht="20.25" customHeight="1">
      <c r="A182" s="147">
        <v>9</v>
      </c>
      <c r="B182" s="143" t="s">
        <v>881</v>
      </c>
      <c r="C182" s="143" t="s">
        <v>880</v>
      </c>
      <c r="D182" s="143" t="s">
        <v>1028</v>
      </c>
      <c r="E182" s="143" t="s">
        <v>868</v>
      </c>
      <c r="F182" s="143">
        <v>1</v>
      </c>
      <c r="G182" s="143" t="s">
        <v>1024</v>
      </c>
      <c r="H182" s="149">
        <v>1</v>
      </c>
      <c r="I182" s="150">
        <v>2300</v>
      </c>
      <c r="J182" s="151">
        <f t="shared" si="19"/>
        <v>2300</v>
      </c>
      <c r="K182" s="152"/>
    </row>
    <row r="183" spans="1:14" s="141" customFormat="1" ht="20.25" customHeight="1">
      <c r="A183" s="147">
        <v>10</v>
      </c>
      <c r="B183" s="143" t="s">
        <v>881</v>
      </c>
      <c r="C183" s="143" t="s">
        <v>880</v>
      </c>
      <c r="D183" s="143" t="s">
        <v>1016</v>
      </c>
      <c r="E183" s="143" t="s">
        <v>868</v>
      </c>
      <c r="F183" s="143">
        <v>1</v>
      </c>
      <c r="G183" s="143" t="s">
        <v>1017</v>
      </c>
      <c r="H183" s="149">
        <v>1</v>
      </c>
      <c r="I183" s="150">
        <v>32000</v>
      </c>
      <c r="J183" s="151">
        <f t="shared" si="19"/>
        <v>32000</v>
      </c>
      <c r="K183" s="152"/>
    </row>
    <row r="184" spans="1:14" s="141" customFormat="1" ht="20.25" customHeight="1">
      <c r="A184" s="147">
        <v>11</v>
      </c>
      <c r="B184" s="143" t="s">
        <v>881</v>
      </c>
      <c r="C184" s="143" t="s">
        <v>880</v>
      </c>
      <c r="D184" s="143" t="s">
        <v>1018</v>
      </c>
      <c r="E184" s="143" t="s">
        <v>869</v>
      </c>
      <c r="F184" s="143">
        <v>1</v>
      </c>
      <c r="G184" s="143" t="s">
        <v>1019</v>
      </c>
      <c r="H184" s="149">
        <v>1</v>
      </c>
      <c r="I184" s="150">
        <v>14100</v>
      </c>
      <c r="J184" s="151">
        <f t="shared" si="19"/>
        <v>14100</v>
      </c>
      <c r="K184" s="152"/>
    </row>
    <row r="185" spans="1:14" s="141" customFormat="1" ht="20.25" customHeight="1">
      <c r="A185" s="147">
        <v>12</v>
      </c>
      <c r="B185" s="143" t="s">
        <v>881</v>
      </c>
      <c r="C185" s="143" t="s">
        <v>880</v>
      </c>
      <c r="D185" s="143" t="s">
        <v>1023</v>
      </c>
      <c r="E185" s="143" t="s">
        <v>870</v>
      </c>
      <c r="F185" s="143">
        <v>1</v>
      </c>
      <c r="G185" s="143" t="s">
        <v>1024</v>
      </c>
      <c r="H185" s="149">
        <v>1</v>
      </c>
      <c r="I185" s="150">
        <v>11000</v>
      </c>
      <c r="J185" s="151">
        <f t="shared" si="19"/>
        <v>11000</v>
      </c>
      <c r="K185" s="152"/>
    </row>
    <row r="186" spans="1:14" s="141" customFormat="1" ht="20.25" customHeight="1">
      <c r="A186" s="147">
        <v>13</v>
      </c>
      <c r="B186" s="143" t="s">
        <v>881</v>
      </c>
      <c r="C186" s="143" t="s">
        <v>880</v>
      </c>
      <c r="D186" s="143" t="s">
        <v>1251</v>
      </c>
      <c r="E186" s="143" t="s">
        <v>1252</v>
      </c>
      <c r="F186" s="143">
        <v>1</v>
      </c>
      <c r="G186" s="143" t="s">
        <v>643</v>
      </c>
      <c r="H186" s="149">
        <v>1</v>
      </c>
      <c r="I186" s="150">
        <v>10000</v>
      </c>
      <c r="J186" s="151">
        <f t="shared" si="19"/>
        <v>10000</v>
      </c>
      <c r="K186" s="152"/>
    </row>
    <row r="187" spans="1:14" s="141" customFormat="1" ht="20.25" customHeight="1">
      <c r="A187" s="147">
        <v>14</v>
      </c>
      <c r="B187" s="143" t="s">
        <v>881</v>
      </c>
      <c r="C187" s="143" t="s">
        <v>880</v>
      </c>
      <c r="D187" s="143" t="s">
        <v>1253</v>
      </c>
      <c r="E187" s="143"/>
      <c r="F187" s="143">
        <v>1</v>
      </c>
      <c r="G187" s="143" t="s">
        <v>1254</v>
      </c>
      <c r="H187" s="149">
        <v>1</v>
      </c>
      <c r="I187" s="150">
        <v>5000</v>
      </c>
      <c r="J187" s="151">
        <f t="shared" si="19"/>
        <v>5000</v>
      </c>
      <c r="K187" s="152"/>
    </row>
    <row r="188" spans="1:14" s="141" customFormat="1" ht="20.25" customHeight="1">
      <c r="A188" s="147">
        <v>15</v>
      </c>
      <c r="B188" s="143" t="s">
        <v>881</v>
      </c>
      <c r="C188" s="143" t="s">
        <v>880</v>
      </c>
      <c r="D188" s="143" t="s">
        <v>1011</v>
      </c>
      <c r="E188" s="148" t="s">
        <v>1038</v>
      </c>
      <c r="F188" s="143">
        <v>1</v>
      </c>
      <c r="G188" s="149" t="s">
        <v>1029</v>
      </c>
      <c r="H188" s="149">
        <v>1</v>
      </c>
      <c r="I188" s="157">
        <f>66590/2</f>
        <v>33295</v>
      </c>
      <c r="J188" s="159">
        <f t="shared" si="19"/>
        <v>33295</v>
      </c>
      <c r="K188" s="152"/>
    </row>
    <row r="189" spans="1:14" s="141" customFormat="1" ht="20.25" customHeight="1">
      <c r="A189" s="147">
        <v>16</v>
      </c>
      <c r="B189" s="143" t="s">
        <v>881</v>
      </c>
      <c r="C189" s="143" t="s">
        <v>880</v>
      </c>
      <c r="D189" s="143" t="s">
        <v>1011</v>
      </c>
      <c r="E189" s="148" t="s">
        <v>1039</v>
      </c>
      <c r="F189" s="143">
        <v>1</v>
      </c>
      <c r="G189" s="149" t="s">
        <v>1029</v>
      </c>
      <c r="H189" s="149">
        <v>1</v>
      </c>
      <c r="I189" s="157">
        <f>48660/2</f>
        <v>24330</v>
      </c>
      <c r="J189" s="159">
        <f t="shared" si="19"/>
        <v>24330</v>
      </c>
      <c r="K189" s="152"/>
      <c r="M189" s="185">
        <v>1727273</v>
      </c>
      <c r="N189" s="186" t="s">
        <v>1302</v>
      </c>
    </row>
    <row r="190" spans="1:14" s="141" customFormat="1" ht="20.25" customHeight="1">
      <c r="A190" s="147">
        <v>17</v>
      </c>
      <c r="B190" s="143" t="s">
        <v>881</v>
      </c>
      <c r="C190" s="143" t="s">
        <v>880</v>
      </c>
      <c r="D190" s="143" t="s">
        <v>1011</v>
      </c>
      <c r="E190" s="148" t="s">
        <v>1040</v>
      </c>
      <c r="F190" s="143">
        <v>1</v>
      </c>
      <c r="G190" s="149" t="s">
        <v>1029</v>
      </c>
      <c r="H190" s="149">
        <v>1</v>
      </c>
      <c r="I190" s="157">
        <f>18222/3</f>
        <v>6074</v>
      </c>
      <c r="J190" s="159">
        <f t="shared" si="19"/>
        <v>6074</v>
      </c>
      <c r="K190" s="152"/>
      <c r="M190" s="154">
        <f>200000+100000</f>
        <v>300000</v>
      </c>
      <c r="N190" s="210" t="s">
        <v>1561</v>
      </c>
    </row>
    <row r="191" spans="1:14" s="141" customFormat="1" ht="20.25" customHeight="1">
      <c r="A191" s="147">
        <v>18</v>
      </c>
      <c r="B191" s="143" t="s">
        <v>881</v>
      </c>
      <c r="C191" s="143" t="s">
        <v>880</v>
      </c>
      <c r="D191" s="143" t="s">
        <v>1050</v>
      </c>
      <c r="E191" s="148" t="s">
        <v>1051</v>
      </c>
      <c r="F191" s="143">
        <v>1</v>
      </c>
      <c r="G191" s="149" t="s">
        <v>1052</v>
      </c>
      <c r="H191" s="149">
        <v>1</v>
      </c>
      <c r="I191" s="157">
        <v>30000</v>
      </c>
      <c r="J191" s="159">
        <f t="shared" si="19"/>
        <v>30000</v>
      </c>
      <c r="K191" s="152"/>
      <c r="M191" s="183">
        <f>L194*7%</f>
        <v>56283.745000000003</v>
      </c>
      <c r="N191" s="141" t="s">
        <v>1303</v>
      </c>
    </row>
    <row r="192" spans="1:14" s="141" customFormat="1" ht="20.25" customHeight="1">
      <c r="A192" s="147">
        <v>19</v>
      </c>
      <c r="B192" s="143" t="s">
        <v>881</v>
      </c>
      <c r="C192" s="143" t="s">
        <v>880</v>
      </c>
      <c r="D192" s="143" t="s">
        <v>1041</v>
      </c>
      <c r="E192" s="148" t="s">
        <v>1035</v>
      </c>
      <c r="F192" s="143">
        <v>1</v>
      </c>
      <c r="G192" s="143" t="s">
        <v>1024</v>
      </c>
      <c r="H192" s="149">
        <v>1</v>
      </c>
      <c r="I192" s="150">
        <v>800</v>
      </c>
      <c r="J192" s="151">
        <f>H192*I192</f>
        <v>800</v>
      </c>
      <c r="K192" s="152"/>
      <c r="M192" s="183">
        <f>(L194+M191)*20%</f>
        <v>172067.44900000002</v>
      </c>
      <c r="N192" s="141" t="s">
        <v>1304</v>
      </c>
    </row>
    <row r="193" spans="1:14" s="141" customFormat="1" ht="20.25" customHeight="1" thickBot="1">
      <c r="A193" s="147">
        <v>20</v>
      </c>
      <c r="B193" s="177" t="s">
        <v>1274</v>
      </c>
      <c r="C193" s="177" t="s">
        <v>1273</v>
      </c>
      <c r="D193" s="143" t="s">
        <v>1262</v>
      </c>
      <c r="E193" s="143" t="s">
        <v>1263</v>
      </c>
      <c r="F193" s="177">
        <v>1</v>
      </c>
      <c r="G193" s="177" t="s">
        <v>1116</v>
      </c>
      <c r="H193" s="178">
        <v>1</v>
      </c>
      <c r="I193" s="179">
        <v>700</v>
      </c>
      <c r="J193" s="180">
        <v>700</v>
      </c>
      <c r="K193" s="181"/>
      <c r="M193" s="183">
        <f>(L194+M191+M192)*25%</f>
        <v>258101.1735</v>
      </c>
      <c r="N193" s="141" t="s">
        <v>1305</v>
      </c>
    </row>
    <row r="194" spans="1:14" s="141" customFormat="1" ht="20.25" customHeight="1" thickBot="1">
      <c r="A194" s="160">
        <v>21</v>
      </c>
      <c r="B194" s="161" t="s">
        <v>881</v>
      </c>
      <c r="C194" s="161" t="s">
        <v>880</v>
      </c>
      <c r="D194" s="169" t="s">
        <v>1264</v>
      </c>
      <c r="E194" s="169" t="s">
        <v>1267</v>
      </c>
      <c r="F194" s="161">
        <v>1</v>
      </c>
      <c r="G194" s="161" t="s">
        <v>1266</v>
      </c>
      <c r="H194" s="162">
        <v>1</v>
      </c>
      <c r="I194" s="170">
        <v>1400</v>
      </c>
      <c r="J194" s="171">
        <f t="shared" ref="J194" si="20">H194*I194</f>
        <v>1400</v>
      </c>
      <c r="K194" s="163"/>
      <c r="L194" s="172">
        <f>SUM(J174:J194)</f>
        <v>804053.5</v>
      </c>
      <c r="M194" s="184">
        <f>L194+M190+M191+M192+M193</f>
        <v>1590505.8675000002</v>
      </c>
      <c r="N194" s="141" t="s">
        <v>1307</v>
      </c>
    </row>
    <row r="195" spans="1:14" s="141" customFormat="1" ht="7.5" customHeight="1" thickBot="1">
      <c r="D195" s="164"/>
      <c r="E195" s="164"/>
      <c r="G195" s="165"/>
      <c r="H195" s="165"/>
      <c r="I195" s="167"/>
      <c r="J195" s="168"/>
    </row>
    <row r="196" spans="1:14" s="141" customFormat="1" ht="20.25" customHeight="1">
      <c r="A196" s="142">
        <v>1</v>
      </c>
      <c r="B196" s="144" t="s">
        <v>1057</v>
      </c>
      <c r="C196" s="144" t="s">
        <v>1055</v>
      </c>
      <c r="D196" s="144" t="s">
        <v>1011</v>
      </c>
      <c r="E196" s="144" t="s">
        <v>1046</v>
      </c>
      <c r="F196" s="144">
        <v>1</v>
      </c>
      <c r="G196" s="145" t="s">
        <v>1012</v>
      </c>
      <c r="H196" s="145">
        <v>1</v>
      </c>
      <c r="I196" s="156">
        <f>409557/2</f>
        <v>204778.5</v>
      </c>
      <c r="J196" s="158">
        <f>H196*I196</f>
        <v>204778.5</v>
      </c>
      <c r="K196" s="146"/>
    </row>
    <row r="197" spans="1:14" s="141" customFormat="1" ht="20.25" customHeight="1">
      <c r="A197" s="147">
        <v>2</v>
      </c>
      <c r="B197" s="143" t="s">
        <v>1056</v>
      </c>
      <c r="C197" s="143" t="s">
        <v>1054</v>
      </c>
      <c r="D197" s="143" t="s">
        <v>1011</v>
      </c>
      <c r="E197" s="148" t="s">
        <v>1058</v>
      </c>
      <c r="F197" s="143">
        <v>1</v>
      </c>
      <c r="G197" s="149" t="s">
        <v>1012</v>
      </c>
      <c r="H197" s="149">
        <v>1</v>
      </c>
      <c r="I197" s="157">
        <f>225980</f>
        <v>225980</v>
      </c>
      <c r="J197" s="159">
        <f>H197*I197</f>
        <v>225980</v>
      </c>
      <c r="K197" s="152"/>
    </row>
    <row r="198" spans="1:14" s="141" customFormat="1" ht="20.25" customHeight="1">
      <c r="A198" s="147">
        <v>3</v>
      </c>
      <c r="B198" s="143" t="s">
        <v>1056</v>
      </c>
      <c r="C198" s="143" t="s">
        <v>1054</v>
      </c>
      <c r="D198" s="143" t="s">
        <v>1011</v>
      </c>
      <c r="E198" s="148" t="s">
        <v>1048</v>
      </c>
      <c r="F198" s="143">
        <v>1</v>
      </c>
      <c r="G198" s="149" t="s">
        <v>1012</v>
      </c>
      <c r="H198" s="149">
        <v>1</v>
      </c>
      <c r="I198" s="157">
        <f>225980/5</f>
        <v>45196</v>
      </c>
      <c r="J198" s="159">
        <f t="shared" ref="J198:J213" si="21">H198*I198</f>
        <v>45196</v>
      </c>
      <c r="K198" s="152"/>
    </row>
    <row r="199" spans="1:14" s="141" customFormat="1" ht="20.25" customHeight="1">
      <c r="A199" s="147">
        <v>4</v>
      </c>
      <c r="B199" s="143" t="s">
        <v>1056</v>
      </c>
      <c r="C199" s="143" t="s">
        <v>1054</v>
      </c>
      <c r="D199" s="143" t="s">
        <v>1013</v>
      </c>
      <c r="E199" s="148" t="s">
        <v>1034</v>
      </c>
      <c r="F199" s="143">
        <v>1</v>
      </c>
      <c r="G199" s="143" t="s">
        <v>1014</v>
      </c>
      <c r="H199" s="149">
        <v>1</v>
      </c>
      <c r="I199" s="157">
        <v>109000</v>
      </c>
      <c r="J199" s="159">
        <f t="shared" si="21"/>
        <v>109000</v>
      </c>
      <c r="K199" s="152"/>
    </row>
    <row r="200" spans="1:14" s="141" customFormat="1" ht="20.25" customHeight="1">
      <c r="A200" s="147">
        <v>5</v>
      </c>
      <c r="B200" s="143" t="s">
        <v>1056</v>
      </c>
      <c r="C200" s="143" t="s">
        <v>1054</v>
      </c>
      <c r="D200" s="143" t="s">
        <v>1015</v>
      </c>
      <c r="E200" s="148" t="s">
        <v>1044</v>
      </c>
      <c r="F200" s="143">
        <v>4</v>
      </c>
      <c r="G200" s="143" t="s">
        <v>1014</v>
      </c>
      <c r="H200" s="149">
        <v>4</v>
      </c>
      <c r="I200" s="157">
        <v>3800</v>
      </c>
      <c r="J200" s="159">
        <f t="shared" si="21"/>
        <v>15200</v>
      </c>
      <c r="K200" s="152"/>
    </row>
    <row r="201" spans="1:14" s="141" customFormat="1" ht="20.25" customHeight="1">
      <c r="A201" s="147">
        <v>6</v>
      </c>
      <c r="B201" s="143" t="s">
        <v>1056</v>
      </c>
      <c r="C201" s="143" t="s">
        <v>1054</v>
      </c>
      <c r="D201" s="143" t="s">
        <v>1020</v>
      </c>
      <c r="E201" s="143" t="s">
        <v>869</v>
      </c>
      <c r="F201" s="143">
        <v>1</v>
      </c>
      <c r="G201" s="143" t="s">
        <v>1014</v>
      </c>
      <c r="H201" s="149">
        <v>1</v>
      </c>
      <c r="I201" s="150">
        <v>22000</v>
      </c>
      <c r="J201" s="151">
        <f t="shared" si="21"/>
        <v>22000</v>
      </c>
      <c r="K201" s="152"/>
    </row>
    <row r="202" spans="1:14" s="141" customFormat="1" ht="20.25" customHeight="1">
      <c r="A202" s="147">
        <v>7</v>
      </c>
      <c r="B202" s="143" t="s">
        <v>1056</v>
      </c>
      <c r="C202" s="143" t="s">
        <v>1054</v>
      </c>
      <c r="D202" s="143" t="s">
        <v>1021</v>
      </c>
      <c r="E202" s="143" t="s">
        <v>869</v>
      </c>
      <c r="F202" s="143">
        <v>1</v>
      </c>
      <c r="G202" s="143" t="s">
        <v>1014</v>
      </c>
      <c r="H202" s="149">
        <v>1</v>
      </c>
      <c r="I202" s="150">
        <v>5500</v>
      </c>
      <c r="J202" s="151">
        <f t="shared" si="21"/>
        <v>5500</v>
      </c>
      <c r="K202" s="152"/>
    </row>
    <row r="203" spans="1:14" s="141" customFormat="1" ht="20.25" customHeight="1">
      <c r="A203" s="147">
        <v>8</v>
      </c>
      <c r="B203" s="143" t="s">
        <v>1056</v>
      </c>
      <c r="C203" s="143" t="s">
        <v>1054</v>
      </c>
      <c r="D203" s="143" t="s">
        <v>1027</v>
      </c>
      <c r="E203" s="143" t="s">
        <v>1002</v>
      </c>
      <c r="F203" s="143">
        <v>1</v>
      </c>
      <c r="G203" s="143" t="s">
        <v>1024</v>
      </c>
      <c r="H203" s="149">
        <v>1</v>
      </c>
      <c r="I203" s="150">
        <v>5400</v>
      </c>
      <c r="J203" s="151">
        <f t="shared" si="21"/>
        <v>5400</v>
      </c>
      <c r="K203" s="152"/>
    </row>
    <row r="204" spans="1:14" s="141" customFormat="1" ht="20.25" customHeight="1">
      <c r="A204" s="147">
        <v>9</v>
      </c>
      <c r="B204" s="143" t="s">
        <v>1056</v>
      </c>
      <c r="C204" s="143" t="s">
        <v>1054</v>
      </c>
      <c r="D204" s="143" t="s">
        <v>1028</v>
      </c>
      <c r="E204" s="143" t="s">
        <v>868</v>
      </c>
      <c r="F204" s="143">
        <v>1</v>
      </c>
      <c r="G204" s="143" t="s">
        <v>1024</v>
      </c>
      <c r="H204" s="149">
        <v>1</v>
      </c>
      <c r="I204" s="150">
        <v>2300</v>
      </c>
      <c r="J204" s="151">
        <f t="shared" si="21"/>
        <v>2300</v>
      </c>
      <c r="K204" s="152"/>
    </row>
    <row r="205" spans="1:14" s="141" customFormat="1" ht="20.25" customHeight="1">
      <c r="A205" s="147">
        <v>10</v>
      </c>
      <c r="B205" s="143" t="s">
        <v>1056</v>
      </c>
      <c r="C205" s="143" t="s">
        <v>1054</v>
      </c>
      <c r="D205" s="143" t="s">
        <v>1016</v>
      </c>
      <c r="E205" s="143" t="s">
        <v>868</v>
      </c>
      <c r="F205" s="143">
        <v>1</v>
      </c>
      <c r="G205" s="143" t="s">
        <v>1017</v>
      </c>
      <c r="H205" s="149">
        <v>1</v>
      </c>
      <c r="I205" s="150">
        <v>32000</v>
      </c>
      <c r="J205" s="151">
        <f t="shared" si="21"/>
        <v>32000</v>
      </c>
      <c r="K205" s="152"/>
    </row>
    <row r="206" spans="1:14" s="141" customFormat="1" ht="20.25" customHeight="1">
      <c r="A206" s="147">
        <v>11</v>
      </c>
      <c r="B206" s="143" t="s">
        <v>1056</v>
      </c>
      <c r="C206" s="143" t="s">
        <v>1054</v>
      </c>
      <c r="D206" s="143" t="s">
        <v>1018</v>
      </c>
      <c r="E206" s="143" t="s">
        <v>869</v>
      </c>
      <c r="F206" s="143">
        <v>1</v>
      </c>
      <c r="G206" s="143" t="s">
        <v>1019</v>
      </c>
      <c r="H206" s="149">
        <v>1</v>
      </c>
      <c r="I206" s="150">
        <v>14100</v>
      </c>
      <c r="J206" s="151">
        <f t="shared" si="21"/>
        <v>14100</v>
      </c>
      <c r="K206" s="152"/>
    </row>
    <row r="207" spans="1:14" s="141" customFormat="1" ht="20.25" customHeight="1">
      <c r="A207" s="147">
        <v>12</v>
      </c>
      <c r="B207" s="143" t="s">
        <v>1056</v>
      </c>
      <c r="C207" s="143" t="s">
        <v>1054</v>
      </c>
      <c r="D207" s="143" t="s">
        <v>1023</v>
      </c>
      <c r="E207" s="143" t="s">
        <v>870</v>
      </c>
      <c r="F207" s="143">
        <v>1</v>
      </c>
      <c r="G207" s="143" t="s">
        <v>1024</v>
      </c>
      <c r="H207" s="149">
        <v>1</v>
      </c>
      <c r="I207" s="150">
        <v>11000</v>
      </c>
      <c r="J207" s="151">
        <f t="shared" si="21"/>
        <v>11000</v>
      </c>
      <c r="K207" s="152"/>
    </row>
    <row r="208" spans="1:14" s="141" customFormat="1" ht="20.25" customHeight="1">
      <c r="A208" s="147">
        <v>13</v>
      </c>
      <c r="B208" s="143" t="s">
        <v>1056</v>
      </c>
      <c r="C208" s="143" t="s">
        <v>1054</v>
      </c>
      <c r="D208" s="143" t="s">
        <v>1251</v>
      </c>
      <c r="E208" s="143" t="s">
        <v>1252</v>
      </c>
      <c r="F208" s="143">
        <v>1</v>
      </c>
      <c r="G208" s="143" t="s">
        <v>643</v>
      </c>
      <c r="H208" s="149">
        <v>1</v>
      </c>
      <c r="I208" s="150">
        <v>10000</v>
      </c>
      <c r="J208" s="151">
        <f t="shared" si="21"/>
        <v>10000</v>
      </c>
      <c r="K208" s="152"/>
    </row>
    <row r="209" spans="1:14" s="141" customFormat="1" ht="20.25" customHeight="1">
      <c r="A209" s="147">
        <v>14</v>
      </c>
      <c r="B209" s="143" t="s">
        <v>1056</v>
      </c>
      <c r="C209" s="143" t="s">
        <v>1054</v>
      </c>
      <c r="D209" s="143" t="s">
        <v>1253</v>
      </c>
      <c r="E209" s="143"/>
      <c r="F209" s="143">
        <v>1</v>
      </c>
      <c r="G209" s="143" t="s">
        <v>1254</v>
      </c>
      <c r="H209" s="149">
        <v>1</v>
      </c>
      <c r="I209" s="150">
        <v>5000</v>
      </c>
      <c r="J209" s="151">
        <f t="shared" si="21"/>
        <v>5000</v>
      </c>
      <c r="K209" s="152"/>
    </row>
    <row r="210" spans="1:14" s="141" customFormat="1" ht="20.25" customHeight="1">
      <c r="A210" s="147">
        <v>15</v>
      </c>
      <c r="B210" s="143" t="s">
        <v>1056</v>
      </c>
      <c r="C210" s="143" t="s">
        <v>1054</v>
      </c>
      <c r="D210" s="143" t="s">
        <v>1011</v>
      </c>
      <c r="E210" s="148" t="s">
        <v>1038</v>
      </c>
      <c r="F210" s="143">
        <v>1</v>
      </c>
      <c r="G210" s="149" t="s">
        <v>1029</v>
      </c>
      <c r="H210" s="149">
        <v>1</v>
      </c>
      <c r="I210" s="157">
        <f>66590/2</f>
        <v>33295</v>
      </c>
      <c r="J210" s="159">
        <f t="shared" si="21"/>
        <v>33295</v>
      </c>
      <c r="K210" s="152"/>
    </row>
    <row r="211" spans="1:14" s="141" customFormat="1" ht="20.25" customHeight="1">
      <c r="A211" s="147">
        <v>16</v>
      </c>
      <c r="B211" s="143" t="s">
        <v>1056</v>
      </c>
      <c r="C211" s="143" t="s">
        <v>1054</v>
      </c>
      <c r="D211" s="143" t="s">
        <v>1011</v>
      </c>
      <c r="E211" s="148" t="s">
        <v>1039</v>
      </c>
      <c r="F211" s="143">
        <v>1</v>
      </c>
      <c r="G211" s="149" t="s">
        <v>1029</v>
      </c>
      <c r="H211" s="149">
        <v>1</v>
      </c>
      <c r="I211" s="157">
        <f>48660/2</f>
        <v>24330</v>
      </c>
      <c r="J211" s="159">
        <f t="shared" si="21"/>
        <v>24330</v>
      </c>
      <c r="K211" s="152"/>
      <c r="M211" s="185">
        <v>1791818</v>
      </c>
      <c r="N211" s="186" t="s">
        <v>1302</v>
      </c>
    </row>
    <row r="212" spans="1:14" s="141" customFormat="1" ht="20.25" customHeight="1">
      <c r="A212" s="147">
        <v>17</v>
      </c>
      <c r="B212" s="143" t="s">
        <v>1056</v>
      </c>
      <c r="C212" s="143" t="s">
        <v>1054</v>
      </c>
      <c r="D212" s="143" t="s">
        <v>1011</v>
      </c>
      <c r="E212" s="148" t="s">
        <v>1040</v>
      </c>
      <c r="F212" s="143">
        <v>1</v>
      </c>
      <c r="G212" s="149" t="s">
        <v>1029</v>
      </c>
      <c r="H212" s="149">
        <v>1</v>
      </c>
      <c r="I212" s="157">
        <f>18222/3</f>
        <v>6074</v>
      </c>
      <c r="J212" s="159">
        <f t="shared" si="21"/>
        <v>6074</v>
      </c>
      <c r="K212" s="152"/>
      <c r="M212" s="154">
        <f>200000+100000</f>
        <v>300000</v>
      </c>
      <c r="N212" s="210" t="s">
        <v>1561</v>
      </c>
    </row>
    <row r="213" spans="1:14" s="141" customFormat="1" ht="20.25" customHeight="1">
      <c r="A213" s="147">
        <v>18</v>
      </c>
      <c r="B213" s="143" t="s">
        <v>1056</v>
      </c>
      <c r="C213" s="143" t="s">
        <v>1054</v>
      </c>
      <c r="D213" s="143" t="s">
        <v>1050</v>
      </c>
      <c r="E213" s="148" t="s">
        <v>1051</v>
      </c>
      <c r="F213" s="143">
        <v>1</v>
      </c>
      <c r="G213" s="149" t="s">
        <v>1052</v>
      </c>
      <c r="H213" s="149">
        <v>1</v>
      </c>
      <c r="I213" s="157">
        <v>30000</v>
      </c>
      <c r="J213" s="159">
        <f t="shared" si="21"/>
        <v>30000</v>
      </c>
      <c r="K213" s="152"/>
      <c r="M213" s="183">
        <f>L216*7%</f>
        <v>56283.745000000003</v>
      </c>
      <c r="N213" s="141" t="s">
        <v>1303</v>
      </c>
    </row>
    <row r="214" spans="1:14" s="141" customFormat="1" ht="20.25" customHeight="1">
      <c r="A214" s="147">
        <v>19</v>
      </c>
      <c r="B214" s="143" t="s">
        <v>1056</v>
      </c>
      <c r="C214" s="143" t="s">
        <v>1054</v>
      </c>
      <c r="D214" s="143" t="s">
        <v>1041</v>
      </c>
      <c r="E214" s="148" t="s">
        <v>1035</v>
      </c>
      <c r="F214" s="143">
        <v>1</v>
      </c>
      <c r="G214" s="143" t="s">
        <v>1024</v>
      </c>
      <c r="H214" s="149">
        <v>1</v>
      </c>
      <c r="I214" s="150">
        <v>800</v>
      </c>
      <c r="J214" s="151">
        <f>H214*I214</f>
        <v>800</v>
      </c>
      <c r="K214" s="152"/>
      <c r="M214" s="183">
        <f>(L216+M213)*20%</f>
        <v>172067.44900000002</v>
      </c>
      <c r="N214" s="141" t="s">
        <v>1304</v>
      </c>
    </row>
    <row r="215" spans="1:14" s="141" customFormat="1" ht="20.25" customHeight="1" thickBot="1">
      <c r="A215" s="147">
        <v>20</v>
      </c>
      <c r="B215" s="177" t="s">
        <v>1056</v>
      </c>
      <c r="C215" s="177" t="s">
        <v>1054</v>
      </c>
      <c r="D215" s="177" t="s">
        <v>1262</v>
      </c>
      <c r="E215" s="143" t="s">
        <v>1263</v>
      </c>
      <c r="F215" s="177">
        <v>1</v>
      </c>
      <c r="G215" s="177" t="s">
        <v>1116</v>
      </c>
      <c r="H215" s="178">
        <v>1</v>
      </c>
      <c r="I215" s="179">
        <v>700</v>
      </c>
      <c r="J215" s="180">
        <v>700</v>
      </c>
      <c r="K215" s="181"/>
      <c r="M215" s="183">
        <f>(L216+M213+M214)*25%</f>
        <v>258101.1735</v>
      </c>
      <c r="N215" s="141" t="s">
        <v>1305</v>
      </c>
    </row>
    <row r="216" spans="1:14" s="141" customFormat="1" ht="20.25" customHeight="1" thickBot="1">
      <c r="A216" s="160">
        <v>21</v>
      </c>
      <c r="B216" s="161" t="s">
        <v>1056</v>
      </c>
      <c r="C216" s="161" t="s">
        <v>1054</v>
      </c>
      <c r="D216" s="161" t="s">
        <v>1264</v>
      </c>
      <c r="E216" s="169" t="s">
        <v>1267</v>
      </c>
      <c r="F216" s="161">
        <v>1</v>
      </c>
      <c r="G216" s="161" t="s">
        <v>1266</v>
      </c>
      <c r="H216" s="162">
        <v>1</v>
      </c>
      <c r="I216" s="170">
        <v>1400</v>
      </c>
      <c r="J216" s="171">
        <f t="shared" ref="J216" si="22">H216*I216</f>
        <v>1400</v>
      </c>
      <c r="K216" s="163"/>
      <c r="L216" s="172">
        <f>SUM(J196:J216)</f>
        <v>804053.5</v>
      </c>
      <c r="M216" s="184">
        <f>L216+M212+M213+M214+M215</f>
        <v>1590505.8675000002</v>
      </c>
      <c r="N216" s="141" t="s">
        <v>1307</v>
      </c>
    </row>
    <row r="217" spans="1:14" s="141" customFormat="1" ht="7.5" customHeight="1" thickBot="1">
      <c r="D217" s="164"/>
      <c r="E217" s="164"/>
      <c r="G217" s="165"/>
      <c r="H217" s="165"/>
      <c r="I217" s="167"/>
      <c r="J217" s="168"/>
    </row>
    <row r="218" spans="1:14" s="141" customFormat="1" ht="20.25" customHeight="1">
      <c r="A218" s="142">
        <v>1</v>
      </c>
      <c r="B218" s="144" t="s">
        <v>1062</v>
      </c>
      <c r="C218" s="144" t="s">
        <v>1060</v>
      </c>
      <c r="D218" s="144" t="s">
        <v>1011</v>
      </c>
      <c r="E218" s="144" t="s">
        <v>1046</v>
      </c>
      <c r="F218" s="144">
        <v>1</v>
      </c>
      <c r="G218" s="145" t="s">
        <v>1012</v>
      </c>
      <c r="H218" s="145">
        <v>1</v>
      </c>
      <c r="I218" s="156">
        <f>409557/2</f>
        <v>204778.5</v>
      </c>
      <c r="J218" s="158">
        <f>H218*I218</f>
        <v>204778.5</v>
      </c>
      <c r="K218" s="146"/>
    </row>
    <row r="219" spans="1:14" s="141" customFormat="1" ht="20.25" customHeight="1">
      <c r="A219" s="147">
        <v>2</v>
      </c>
      <c r="B219" s="143" t="s">
        <v>1061</v>
      </c>
      <c r="C219" s="143" t="s">
        <v>1059</v>
      </c>
      <c r="D219" s="143" t="s">
        <v>1011</v>
      </c>
      <c r="E219" s="148" t="s">
        <v>1049</v>
      </c>
      <c r="F219" s="143">
        <v>1</v>
      </c>
      <c r="G219" s="149" t="s">
        <v>1012</v>
      </c>
      <c r="H219" s="149">
        <v>1</v>
      </c>
      <c r="I219" s="157">
        <f>225980</f>
        <v>225980</v>
      </c>
      <c r="J219" s="159">
        <f>H219*I219</f>
        <v>225980</v>
      </c>
      <c r="K219" s="152"/>
    </row>
    <row r="220" spans="1:14" s="141" customFormat="1" ht="20.25" customHeight="1">
      <c r="A220" s="147">
        <v>3</v>
      </c>
      <c r="B220" s="143" t="s">
        <v>1061</v>
      </c>
      <c r="C220" s="143" t="s">
        <v>1059</v>
      </c>
      <c r="D220" s="143" t="s">
        <v>1011</v>
      </c>
      <c r="E220" s="148" t="s">
        <v>1048</v>
      </c>
      <c r="F220" s="143">
        <v>1</v>
      </c>
      <c r="G220" s="149" t="s">
        <v>1012</v>
      </c>
      <c r="H220" s="149">
        <v>1</v>
      </c>
      <c r="I220" s="157">
        <f>225980/5</f>
        <v>45196</v>
      </c>
      <c r="J220" s="159">
        <f t="shared" ref="J220:J235" si="23">H220*I220</f>
        <v>45196</v>
      </c>
      <c r="K220" s="152"/>
    </row>
    <row r="221" spans="1:14" s="141" customFormat="1" ht="20.25" customHeight="1">
      <c r="A221" s="147">
        <v>4</v>
      </c>
      <c r="B221" s="143" t="s">
        <v>1061</v>
      </c>
      <c r="C221" s="143" t="s">
        <v>1059</v>
      </c>
      <c r="D221" s="143" t="s">
        <v>1013</v>
      </c>
      <c r="E221" s="148" t="s">
        <v>1034</v>
      </c>
      <c r="F221" s="143">
        <v>1</v>
      </c>
      <c r="G221" s="143" t="s">
        <v>1014</v>
      </c>
      <c r="H221" s="149">
        <v>1</v>
      </c>
      <c r="I221" s="157">
        <v>109000</v>
      </c>
      <c r="J221" s="159">
        <f t="shared" si="23"/>
        <v>109000</v>
      </c>
      <c r="K221" s="152"/>
    </row>
    <row r="222" spans="1:14" s="141" customFormat="1" ht="20.25" customHeight="1">
      <c r="A222" s="147">
        <v>5</v>
      </c>
      <c r="B222" s="143" t="s">
        <v>1061</v>
      </c>
      <c r="C222" s="143" t="s">
        <v>1059</v>
      </c>
      <c r="D222" s="143" t="s">
        <v>1015</v>
      </c>
      <c r="E222" s="148" t="s">
        <v>1044</v>
      </c>
      <c r="F222" s="143">
        <v>4</v>
      </c>
      <c r="G222" s="143" t="s">
        <v>1014</v>
      </c>
      <c r="H222" s="149">
        <v>4</v>
      </c>
      <c r="I222" s="157">
        <v>3800</v>
      </c>
      <c r="J222" s="159">
        <f t="shared" si="23"/>
        <v>15200</v>
      </c>
      <c r="K222" s="152"/>
    </row>
    <row r="223" spans="1:14" s="141" customFormat="1" ht="20.25" customHeight="1">
      <c r="A223" s="147">
        <v>6</v>
      </c>
      <c r="B223" s="143" t="s">
        <v>1061</v>
      </c>
      <c r="C223" s="143" t="s">
        <v>1059</v>
      </c>
      <c r="D223" s="143" t="s">
        <v>1020</v>
      </c>
      <c r="E223" s="143" t="s">
        <v>869</v>
      </c>
      <c r="F223" s="143">
        <v>1</v>
      </c>
      <c r="G223" s="143" t="s">
        <v>1014</v>
      </c>
      <c r="H223" s="149">
        <v>1</v>
      </c>
      <c r="I223" s="150">
        <v>22000</v>
      </c>
      <c r="J223" s="151">
        <f t="shared" si="23"/>
        <v>22000</v>
      </c>
      <c r="K223" s="152"/>
    </row>
    <row r="224" spans="1:14" s="141" customFormat="1" ht="20.25" customHeight="1">
      <c r="A224" s="147">
        <v>7</v>
      </c>
      <c r="B224" s="143" t="s">
        <v>1061</v>
      </c>
      <c r="C224" s="143" t="s">
        <v>1059</v>
      </c>
      <c r="D224" s="143" t="s">
        <v>1021</v>
      </c>
      <c r="E224" s="143" t="s">
        <v>869</v>
      </c>
      <c r="F224" s="143">
        <v>1</v>
      </c>
      <c r="G224" s="143" t="s">
        <v>1014</v>
      </c>
      <c r="H224" s="149">
        <v>1</v>
      </c>
      <c r="I224" s="150">
        <v>5500</v>
      </c>
      <c r="J224" s="151">
        <f t="shared" si="23"/>
        <v>5500</v>
      </c>
      <c r="K224" s="152"/>
    </row>
    <row r="225" spans="1:14" s="141" customFormat="1" ht="20.25" customHeight="1">
      <c r="A225" s="147">
        <v>8</v>
      </c>
      <c r="B225" s="143" t="s">
        <v>1061</v>
      </c>
      <c r="C225" s="143" t="s">
        <v>1059</v>
      </c>
      <c r="D225" s="143" t="s">
        <v>1027</v>
      </c>
      <c r="E225" s="143" t="s">
        <v>1002</v>
      </c>
      <c r="F225" s="143">
        <v>1</v>
      </c>
      <c r="G225" s="143" t="s">
        <v>1024</v>
      </c>
      <c r="H225" s="149">
        <v>1</v>
      </c>
      <c r="I225" s="150">
        <v>5400</v>
      </c>
      <c r="J225" s="151">
        <f t="shared" si="23"/>
        <v>5400</v>
      </c>
      <c r="K225" s="152"/>
    </row>
    <row r="226" spans="1:14" s="141" customFormat="1" ht="20.25" customHeight="1">
      <c r="A226" s="147">
        <v>9</v>
      </c>
      <c r="B226" s="143" t="s">
        <v>1061</v>
      </c>
      <c r="C226" s="143" t="s">
        <v>1059</v>
      </c>
      <c r="D226" s="143" t="s">
        <v>1028</v>
      </c>
      <c r="E226" s="143" t="s">
        <v>868</v>
      </c>
      <c r="F226" s="143">
        <v>1</v>
      </c>
      <c r="G226" s="143" t="s">
        <v>1024</v>
      </c>
      <c r="H226" s="149">
        <v>1</v>
      </c>
      <c r="I226" s="150">
        <v>2300</v>
      </c>
      <c r="J226" s="151">
        <f t="shared" si="23"/>
        <v>2300</v>
      </c>
      <c r="K226" s="152"/>
    </row>
    <row r="227" spans="1:14" s="141" customFormat="1" ht="20.25" customHeight="1">
      <c r="A227" s="147">
        <v>10</v>
      </c>
      <c r="B227" s="143" t="s">
        <v>1061</v>
      </c>
      <c r="C227" s="143" t="s">
        <v>1059</v>
      </c>
      <c r="D227" s="143" t="s">
        <v>1016</v>
      </c>
      <c r="E227" s="143" t="s">
        <v>868</v>
      </c>
      <c r="F227" s="143">
        <v>1</v>
      </c>
      <c r="G227" s="143" t="s">
        <v>1017</v>
      </c>
      <c r="H227" s="149">
        <v>1</v>
      </c>
      <c r="I227" s="150">
        <v>32000</v>
      </c>
      <c r="J227" s="151">
        <f t="shared" si="23"/>
        <v>32000</v>
      </c>
      <c r="K227" s="152"/>
    </row>
    <row r="228" spans="1:14" s="141" customFormat="1" ht="20.25" customHeight="1">
      <c r="A228" s="147">
        <v>11</v>
      </c>
      <c r="B228" s="143" t="s">
        <v>1061</v>
      </c>
      <c r="C228" s="143" t="s">
        <v>1059</v>
      </c>
      <c r="D228" s="143" t="s">
        <v>1018</v>
      </c>
      <c r="E228" s="143" t="s">
        <v>869</v>
      </c>
      <c r="F228" s="143">
        <v>1</v>
      </c>
      <c r="G228" s="143" t="s">
        <v>1019</v>
      </c>
      <c r="H228" s="149">
        <v>1</v>
      </c>
      <c r="I228" s="150">
        <v>14100</v>
      </c>
      <c r="J228" s="151">
        <f t="shared" si="23"/>
        <v>14100</v>
      </c>
      <c r="K228" s="152"/>
    </row>
    <row r="229" spans="1:14" s="141" customFormat="1" ht="20.25" customHeight="1">
      <c r="A229" s="147">
        <v>12</v>
      </c>
      <c r="B229" s="143" t="s">
        <v>1061</v>
      </c>
      <c r="C229" s="143" t="s">
        <v>1059</v>
      </c>
      <c r="D229" s="143" t="s">
        <v>1023</v>
      </c>
      <c r="E229" s="143" t="s">
        <v>870</v>
      </c>
      <c r="F229" s="143">
        <v>1</v>
      </c>
      <c r="G229" s="143" t="s">
        <v>1024</v>
      </c>
      <c r="H229" s="149">
        <v>1</v>
      </c>
      <c r="I229" s="150">
        <v>11000</v>
      </c>
      <c r="J229" s="151">
        <f t="shared" si="23"/>
        <v>11000</v>
      </c>
      <c r="K229" s="152"/>
    </row>
    <row r="230" spans="1:14" s="141" customFormat="1" ht="20.25" customHeight="1">
      <c r="A230" s="147">
        <v>13</v>
      </c>
      <c r="B230" s="143" t="s">
        <v>1061</v>
      </c>
      <c r="C230" s="143" t="s">
        <v>1059</v>
      </c>
      <c r="D230" s="143" t="s">
        <v>1251</v>
      </c>
      <c r="E230" s="143" t="s">
        <v>1252</v>
      </c>
      <c r="F230" s="143">
        <v>1</v>
      </c>
      <c r="G230" s="143" t="s">
        <v>643</v>
      </c>
      <c r="H230" s="149">
        <v>1</v>
      </c>
      <c r="I230" s="150">
        <v>10000</v>
      </c>
      <c r="J230" s="151">
        <f t="shared" si="23"/>
        <v>10000</v>
      </c>
      <c r="K230" s="152"/>
    </row>
    <row r="231" spans="1:14" s="141" customFormat="1" ht="20.25" customHeight="1">
      <c r="A231" s="147">
        <v>14</v>
      </c>
      <c r="B231" s="143" t="s">
        <v>1061</v>
      </c>
      <c r="C231" s="143" t="s">
        <v>1059</v>
      </c>
      <c r="D231" s="143" t="s">
        <v>1253</v>
      </c>
      <c r="E231" s="143"/>
      <c r="F231" s="143">
        <v>1</v>
      </c>
      <c r="G231" s="143" t="s">
        <v>1254</v>
      </c>
      <c r="H231" s="149">
        <v>1</v>
      </c>
      <c r="I231" s="150">
        <v>5000</v>
      </c>
      <c r="J231" s="151">
        <f t="shared" si="23"/>
        <v>5000</v>
      </c>
      <c r="K231" s="152"/>
    </row>
    <row r="232" spans="1:14" s="141" customFormat="1" ht="20.25" customHeight="1">
      <c r="A232" s="147">
        <v>15</v>
      </c>
      <c r="B232" s="143" t="s">
        <v>1061</v>
      </c>
      <c r="C232" s="143" t="s">
        <v>1059</v>
      </c>
      <c r="D232" s="143" t="s">
        <v>1011</v>
      </c>
      <c r="E232" s="148" t="s">
        <v>1038</v>
      </c>
      <c r="F232" s="143">
        <v>1</v>
      </c>
      <c r="G232" s="149" t="s">
        <v>1029</v>
      </c>
      <c r="H232" s="149">
        <v>1</v>
      </c>
      <c r="I232" s="157">
        <f>66590/2</f>
        <v>33295</v>
      </c>
      <c r="J232" s="159">
        <f t="shared" si="23"/>
        <v>33295</v>
      </c>
      <c r="K232" s="152"/>
    </row>
    <row r="233" spans="1:14" s="141" customFormat="1" ht="20.25" customHeight="1">
      <c r="A233" s="147">
        <v>16</v>
      </c>
      <c r="B233" s="143" t="s">
        <v>1061</v>
      </c>
      <c r="C233" s="143" t="s">
        <v>1059</v>
      </c>
      <c r="D233" s="143" t="s">
        <v>1011</v>
      </c>
      <c r="E233" s="148" t="s">
        <v>1039</v>
      </c>
      <c r="F233" s="143">
        <v>1</v>
      </c>
      <c r="G233" s="149" t="s">
        <v>1029</v>
      </c>
      <c r="H233" s="149">
        <v>1</v>
      </c>
      <c r="I233" s="157">
        <f>48660/2</f>
        <v>24330</v>
      </c>
      <c r="J233" s="159">
        <f t="shared" si="23"/>
        <v>24330</v>
      </c>
      <c r="K233" s="152"/>
      <c r="M233" s="185">
        <v>1830000</v>
      </c>
      <c r="N233" s="186" t="s">
        <v>1302</v>
      </c>
    </row>
    <row r="234" spans="1:14" s="141" customFormat="1" ht="20.25" customHeight="1">
      <c r="A234" s="147">
        <v>17</v>
      </c>
      <c r="B234" s="143" t="s">
        <v>1061</v>
      </c>
      <c r="C234" s="143" t="s">
        <v>1059</v>
      </c>
      <c r="D234" s="143" t="s">
        <v>1011</v>
      </c>
      <c r="E234" s="148" t="s">
        <v>1040</v>
      </c>
      <c r="F234" s="143">
        <v>1</v>
      </c>
      <c r="G234" s="149" t="s">
        <v>1029</v>
      </c>
      <c r="H234" s="149">
        <v>1</v>
      </c>
      <c r="I234" s="157">
        <f>18222/3</f>
        <v>6074</v>
      </c>
      <c r="J234" s="159">
        <f t="shared" si="23"/>
        <v>6074</v>
      </c>
      <c r="K234" s="152"/>
      <c r="M234" s="154">
        <f>200000+100000</f>
        <v>300000</v>
      </c>
      <c r="N234" s="210" t="s">
        <v>1561</v>
      </c>
    </row>
    <row r="235" spans="1:14" s="141" customFormat="1" ht="20.25" customHeight="1">
      <c r="A235" s="147">
        <v>18</v>
      </c>
      <c r="B235" s="143" t="s">
        <v>1061</v>
      </c>
      <c r="C235" s="143" t="s">
        <v>1059</v>
      </c>
      <c r="D235" s="143" t="s">
        <v>1050</v>
      </c>
      <c r="E235" s="148" t="s">
        <v>1051</v>
      </c>
      <c r="F235" s="143">
        <v>1</v>
      </c>
      <c r="G235" s="149" t="s">
        <v>1052</v>
      </c>
      <c r="H235" s="149">
        <v>1</v>
      </c>
      <c r="I235" s="157">
        <v>30000</v>
      </c>
      <c r="J235" s="159">
        <f t="shared" si="23"/>
        <v>30000</v>
      </c>
      <c r="K235" s="152"/>
      <c r="M235" s="183">
        <f>L238*7%</f>
        <v>56283.745000000003</v>
      </c>
      <c r="N235" s="141" t="s">
        <v>1303</v>
      </c>
    </row>
    <row r="236" spans="1:14" s="141" customFormat="1" ht="20.25" customHeight="1">
      <c r="A236" s="147">
        <v>19</v>
      </c>
      <c r="B236" s="143" t="s">
        <v>1061</v>
      </c>
      <c r="C236" s="143" t="s">
        <v>1059</v>
      </c>
      <c r="D236" s="143" t="s">
        <v>1041</v>
      </c>
      <c r="E236" s="148" t="s">
        <v>1035</v>
      </c>
      <c r="F236" s="143">
        <v>1</v>
      </c>
      <c r="G236" s="143" t="s">
        <v>1024</v>
      </c>
      <c r="H236" s="149">
        <v>1</v>
      </c>
      <c r="I236" s="150">
        <v>800</v>
      </c>
      <c r="J236" s="151">
        <f>H236*I236</f>
        <v>800</v>
      </c>
      <c r="K236" s="152"/>
      <c r="M236" s="183">
        <f>(L238+M235)*20%</f>
        <v>172067.44900000002</v>
      </c>
      <c r="N236" s="141" t="s">
        <v>1304</v>
      </c>
    </row>
    <row r="237" spans="1:14" s="141" customFormat="1" ht="20.25" customHeight="1" thickBot="1">
      <c r="A237" s="147">
        <v>20</v>
      </c>
      <c r="B237" s="177" t="s">
        <v>1061</v>
      </c>
      <c r="C237" s="177" t="s">
        <v>1059</v>
      </c>
      <c r="D237" s="177" t="s">
        <v>1262</v>
      </c>
      <c r="E237" s="143" t="s">
        <v>1263</v>
      </c>
      <c r="F237" s="177">
        <v>1</v>
      </c>
      <c r="G237" s="177" t="s">
        <v>1116</v>
      </c>
      <c r="H237" s="178">
        <v>1</v>
      </c>
      <c r="I237" s="179">
        <v>700</v>
      </c>
      <c r="J237" s="180">
        <v>700</v>
      </c>
      <c r="K237" s="181"/>
      <c r="M237" s="183">
        <f>(L238+M235+M236)*25%</f>
        <v>258101.1735</v>
      </c>
      <c r="N237" s="141" t="s">
        <v>1305</v>
      </c>
    </row>
    <row r="238" spans="1:14" s="141" customFormat="1" ht="20.25" customHeight="1" thickBot="1">
      <c r="A238" s="160">
        <v>21</v>
      </c>
      <c r="B238" s="161" t="s">
        <v>1061</v>
      </c>
      <c r="C238" s="161" t="s">
        <v>1059</v>
      </c>
      <c r="D238" s="161" t="s">
        <v>1264</v>
      </c>
      <c r="E238" s="169" t="s">
        <v>1267</v>
      </c>
      <c r="F238" s="161">
        <v>1</v>
      </c>
      <c r="G238" s="161" t="s">
        <v>1266</v>
      </c>
      <c r="H238" s="162">
        <v>1</v>
      </c>
      <c r="I238" s="170">
        <v>1400</v>
      </c>
      <c r="J238" s="171">
        <f t="shared" ref="J238" si="24">H238*I238</f>
        <v>1400</v>
      </c>
      <c r="K238" s="163"/>
      <c r="L238" s="172">
        <f>SUM(J218:J238)</f>
        <v>804053.5</v>
      </c>
      <c r="M238" s="184">
        <f>L238+M234+M235+M236+M237</f>
        <v>1590505.8675000002</v>
      </c>
      <c r="N238" s="141" t="s">
        <v>1307</v>
      </c>
    </row>
    <row r="239" spans="1:14" s="141" customFormat="1" ht="7.5" customHeight="1" thickBot="1">
      <c r="D239" s="164"/>
      <c r="E239" s="164"/>
      <c r="G239" s="165"/>
      <c r="H239" s="165"/>
      <c r="I239" s="167"/>
      <c r="J239" s="168"/>
    </row>
    <row r="240" spans="1:14" s="141" customFormat="1" ht="20.25" customHeight="1">
      <c r="A240" s="142">
        <v>1</v>
      </c>
      <c r="B240" s="144" t="s">
        <v>1066</v>
      </c>
      <c r="C240" s="144" t="s">
        <v>1064</v>
      </c>
      <c r="D240" s="144" t="s">
        <v>1011</v>
      </c>
      <c r="E240" s="144" t="s">
        <v>1046</v>
      </c>
      <c r="F240" s="144">
        <v>1</v>
      </c>
      <c r="G240" s="145" t="s">
        <v>1012</v>
      </c>
      <c r="H240" s="145">
        <v>1</v>
      </c>
      <c r="I240" s="156">
        <f>409557/2</f>
        <v>204778.5</v>
      </c>
      <c r="J240" s="158">
        <f>H240*I240</f>
        <v>204778.5</v>
      </c>
      <c r="K240" s="146"/>
    </row>
    <row r="241" spans="1:14" s="141" customFormat="1" ht="20.25" customHeight="1">
      <c r="A241" s="147">
        <v>2</v>
      </c>
      <c r="B241" s="143" t="s">
        <v>1065</v>
      </c>
      <c r="C241" s="143" t="s">
        <v>1063</v>
      </c>
      <c r="D241" s="143" t="s">
        <v>1011</v>
      </c>
      <c r="E241" s="148" t="s">
        <v>1049</v>
      </c>
      <c r="F241" s="143">
        <v>1</v>
      </c>
      <c r="G241" s="149" t="s">
        <v>1012</v>
      </c>
      <c r="H241" s="149">
        <v>1</v>
      </c>
      <c r="I241" s="157">
        <f>225980</f>
        <v>225980</v>
      </c>
      <c r="J241" s="159">
        <f>H241*I241</f>
        <v>225980</v>
      </c>
      <c r="K241" s="152"/>
    </row>
    <row r="242" spans="1:14" s="141" customFormat="1" ht="20.25" customHeight="1">
      <c r="A242" s="147">
        <v>3</v>
      </c>
      <c r="B242" s="143" t="s">
        <v>1065</v>
      </c>
      <c r="C242" s="143" t="s">
        <v>1063</v>
      </c>
      <c r="D242" s="143" t="s">
        <v>1011</v>
      </c>
      <c r="E242" s="148" t="s">
        <v>1048</v>
      </c>
      <c r="F242" s="143">
        <v>1</v>
      </c>
      <c r="G242" s="149" t="s">
        <v>1012</v>
      </c>
      <c r="H242" s="149">
        <v>1</v>
      </c>
      <c r="I242" s="157">
        <f>225980/5</f>
        <v>45196</v>
      </c>
      <c r="J242" s="159">
        <f t="shared" ref="J242:J257" si="25">H242*I242</f>
        <v>45196</v>
      </c>
      <c r="K242" s="152"/>
    </row>
    <row r="243" spans="1:14" s="141" customFormat="1" ht="20.25" customHeight="1">
      <c r="A243" s="147">
        <v>4</v>
      </c>
      <c r="B243" s="143" t="s">
        <v>1065</v>
      </c>
      <c r="C243" s="143" t="s">
        <v>1063</v>
      </c>
      <c r="D243" s="143" t="s">
        <v>1013</v>
      </c>
      <c r="E243" s="148" t="s">
        <v>1034</v>
      </c>
      <c r="F243" s="143">
        <v>1</v>
      </c>
      <c r="G243" s="143" t="s">
        <v>1014</v>
      </c>
      <c r="H243" s="149">
        <v>1</v>
      </c>
      <c r="I243" s="157">
        <v>109000</v>
      </c>
      <c r="J243" s="159">
        <f t="shared" si="25"/>
        <v>109000</v>
      </c>
      <c r="K243" s="152"/>
    </row>
    <row r="244" spans="1:14" s="141" customFormat="1" ht="20.25" customHeight="1">
      <c r="A244" s="147">
        <v>5</v>
      </c>
      <c r="B244" s="143" t="s">
        <v>1065</v>
      </c>
      <c r="C244" s="143" t="s">
        <v>1063</v>
      </c>
      <c r="D244" s="143" t="s">
        <v>1015</v>
      </c>
      <c r="E244" s="148" t="s">
        <v>1044</v>
      </c>
      <c r="F244" s="143">
        <v>4</v>
      </c>
      <c r="G244" s="143" t="s">
        <v>1014</v>
      </c>
      <c r="H244" s="149">
        <v>4</v>
      </c>
      <c r="I244" s="157">
        <v>3800</v>
      </c>
      <c r="J244" s="159">
        <f t="shared" si="25"/>
        <v>15200</v>
      </c>
      <c r="K244" s="152"/>
    </row>
    <row r="245" spans="1:14" s="141" customFormat="1" ht="20.25" customHeight="1">
      <c r="A245" s="147">
        <v>6</v>
      </c>
      <c r="B245" s="143" t="s">
        <v>1065</v>
      </c>
      <c r="C245" s="143" t="s">
        <v>1063</v>
      </c>
      <c r="D245" s="143" t="s">
        <v>1020</v>
      </c>
      <c r="E245" s="143" t="s">
        <v>869</v>
      </c>
      <c r="F245" s="143">
        <v>1</v>
      </c>
      <c r="G245" s="143" t="s">
        <v>1014</v>
      </c>
      <c r="H245" s="149">
        <v>1</v>
      </c>
      <c r="I245" s="150">
        <v>22000</v>
      </c>
      <c r="J245" s="151">
        <f t="shared" si="25"/>
        <v>22000</v>
      </c>
      <c r="K245" s="152"/>
    </row>
    <row r="246" spans="1:14" s="141" customFormat="1" ht="20.25" customHeight="1">
      <c r="A246" s="147">
        <v>7</v>
      </c>
      <c r="B246" s="143" t="s">
        <v>1065</v>
      </c>
      <c r="C246" s="143" t="s">
        <v>1063</v>
      </c>
      <c r="D246" s="143" t="s">
        <v>1021</v>
      </c>
      <c r="E246" s="143" t="s">
        <v>869</v>
      </c>
      <c r="F246" s="143">
        <v>1</v>
      </c>
      <c r="G246" s="143" t="s">
        <v>1014</v>
      </c>
      <c r="H246" s="149">
        <v>1</v>
      </c>
      <c r="I246" s="150">
        <v>5500</v>
      </c>
      <c r="J246" s="151">
        <f t="shared" si="25"/>
        <v>5500</v>
      </c>
      <c r="K246" s="152"/>
    </row>
    <row r="247" spans="1:14" s="141" customFormat="1" ht="20.25" customHeight="1">
      <c r="A247" s="147">
        <v>8</v>
      </c>
      <c r="B247" s="143" t="s">
        <v>1065</v>
      </c>
      <c r="C247" s="143" t="s">
        <v>1063</v>
      </c>
      <c r="D247" s="143" t="s">
        <v>1027</v>
      </c>
      <c r="E247" s="143" t="s">
        <v>1002</v>
      </c>
      <c r="F247" s="143">
        <v>1</v>
      </c>
      <c r="G247" s="143" t="s">
        <v>1024</v>
      </c>
      <c r="H247" s="149">
        <v>1</v>
      </c>
      <c r="I247" s="150">
        <v>5400</v>
      </c>
      <c r="J247" s="151">
        <f t="shared" si="25"/>
        <v>5400</v>
      </c>
      <c r="K247" s="152"/>
    </row>
    <row r="248" spans="1:14" s="141" customFormat="1" ht="20.25" customHeight="1">
      <c r="A248" s="147">
        <v>9</v>
      </c>
      <c r="B248" s="143" t="s">
        <v>1065</v>
      </c>
      <c r="C248" s="143" t="s">
        <v>1063</v>
      </c>
      <c r="D248" s="143" t="s">
        <v>1028</v>
      </c>
      <c r="E248" s="143" t="s">
        <v>868</v>
      </c>
      <c r="F248" s="143">
        <v>1</v>
      </c>
      <c r="G248" s="143" t="s">
        <v>1024</v>
      </c>
      <c r="H248" s="149">
        <v>1</v>
      </c>
      <c r="I248" s="150">
        <v>2300</v>
      </c>
      <c r="J248" s="151">
        <f t="shared" si="25"/>
        <v>2300</v>
      </c>
      <c r="K248" s="152"/>
    </row>
    <row r="249" spans="1:14" s="141" customFormat="1" ht="20.25" customHeight="1">
      <c r="A249" s="147">
        <v>10</v>
      </c>
      <c r="B249" s="143" t="s">
        <v>1065</v>
      </c>
      <c r="C249" s="143" t="s">
        <v>1063</v>
      </c>
      <c r="D249" s="143" t="s">
        <v>1016</v>
      </c>
      <c r="E249" s="143" t="s">
        <v>868</v>
      </c>
      <c r="F249" s="143">
        <v>1</v>
      </c>
      <c r="G249" s="143" t="s">
        <v>1017</v>
      </c>
      <c r="H249" s="149">
        <v>1</v>
      </c>
      <c r="I249" s="150">
        <v>32000</v>
      </c>
      <c r="J249" s="151">
        <f t="shared" si="25"/>
        <v>32000</v>
      </c>
      <c r="K249" s="152"/>
    </row>
    <row r="250" spans="1:14" s="141" customFormat="1" ht="20.25" customHeight="1">
      <c r="A250" s="147">
        <v>11</v>
      </c>
      <c r="B250" s="143" t="s">
        <v>1065</v>
      </c>
      <c r="C250" s="143" t="s">
        <v>1063</v>
      </c>
      <c r="D250" s="143" t="s">
        <v>1018</v>
      </c>
      <c r="E250" s="143" t="s">
        <v>869</v>
      </c>
      <c r="F250" s="143">
        <v>1</v>
      </c>
      <c r="G250" s="143" t="s">
        <v>1019</v>
      </c>
      <c r="H250" s="149">
        <v>1</v>
      </c>
      <c r="I250" s="150">
        <v>14100</v>
      </c>
      <c r="J250" s="151">
        <f t="shared" si="25"/>
        <v>14100</v>
      </c>
      <c r="K250" s="152"/>
    </row>
    <row r="251" spans="1:14" s="141" customFormat="1" ht="20.25" customHeight="1">
      <c r="A251" s="147">
        <v>12</v>
      </c>
      <c r="B251" s="143" t="s">
        <v>1065</v>
      </c>
      <c r="C251" s="143" t="s">
        <v>1063</v>
      </c>
      <c r="D251" s="143" t="s">
        <v>1023</v>
      </c>
      <c r="E251" s="143" t="s">
        <v>870</v>
      </c>
      <c r="F251" s="143">
        <v>1</v>
      </c>
      <c r="G251" s="143" t="s">
        <v>1024</v>
      </c>
      <c r="H251" s="149">
        <v>1</v>
      </c>
      <c r="I251" s="150">
        <v>11000</v>
      </c>
      <c r="J251" s="151">
        <f t="shared" si="25"/>
        <v>11000</v>
      </c>
      <c r="K251" s="152"/>
    </row>
    <row r="252" spans="1:14" s="141" customFormat="1" ht="20.25" customHeight="1">
      <c r="A252" s="147">
        <v>13</v>
      </c>
      <c r="B252" s="143" t="s">
        <v>1065</v>
      </c>
      <c r="C252" s="143" t="s">
        <v>1063</v>
      </c>
      <c r="D252" s="143" t="s">
        <v>1251</v>
      </c>
      <c r="E252" s="143" t="s">
        <v>1252</v>
      </c>
      <c r="F252" s="143">
        <v>1</v>
      </c>
      <c r="G252" s="143" t="s">
        <v>643</v>
      </c>
      <c r="H252" s="149">
        <v>1</v>
      </c>
      <c r="I252" s="150">
        <v>10000</v>
      </c>
      <c r="J252" s="151">
        <f t="shared" si="25"/>
        <v>10000</v>
      </c>
      <c r="K252" s="152"/>
    </row>
    <row r="253" spans="1:14" s="141" customFormat="1" ht="20.25" customHeight="1">
      <c r="A253" s="147">
        <v>14</v>
      </c>
      <c r="B253" s="143" t="s">
        <v>1065</v>
      </c>
      <c r="C253" s="143" t="s">
        <v>1063</v>
      </c>
      <c r="D253" s="143" t="s">
        <v>1253</v>
      </c>
      <c r="E253" s="143"/>
      <c r="F253" s="143">
        <v>1</v>
      </c>
      <c r="G253" s="143" t="s">
        <v>1254</v>
      </c>
      <c r="H253" s="149">
        <v>1</v>
      </c>
      <c r="I253" s="150">
        <v>5000</v>
      </c>
      <c r="J253" s="151">
        <f t="shared" si="25"/>
        <v>5000</v>
      </c>
      <c r="K253" s="152"/>
    </row>
    <row r="254" spans="1:14" s="141" customFormat="1" ht="20.25" customHeight="1">
      <c r="A254" s="147">
        <v>15</v>
      </c>
      <c r="B254" s="143" t="s">
        <v>1065</v>
      </c>
      <c r="C254" s="143" t="s">
        <v>1063</v>
      </c>
      <c r="D254" s="143" t="s">
        <v>1011</v>
      </c>
      <c r="E254" s="148" t="s">
        <v>1038</v>
      </c>
      <c r="F254" s="143">
        <v>2</v>
      </c>
      <c r="G254" s="149" t="s">
        <v>1029</v>
      </c>
      <c r="H254" s="149">
        <v>2</v>
      </c>
      <c r="I254" s="157">
        <f>66590/2</f>
        <v>33295</v>
      </c>
      <c r="J254" s="159">
        <f t="shared" si="25"/>
        <v>66590</v>
      </c>
      <c r="K254" s="152"/>
    </row>
    <row r="255" spans="1:14" s="141" customFormat="1" ht="20.25" customHeight="1">
      <c r="A255" s="147">
        <v>16</v>
      </c>
      <c r="B255" s="143" t="s">
        <v>1065</v>
      </c>
      <c r="C255" s="143" t="s">
        <v>1063</v>
      </c>
      <c r="D255" s="143" t="s">
        <v>1011</v>
      </c>
      <c r="E255" s="148" t="s">
        <v>1039</v>
      </c>
      <c r="F255" s="143">
        <v>2</v>
      </c>
      <c r="G255" s="149" t="s">
        <v>1029</v>
      </c>
      <c r="H255" s="149">
        <v>2</v>
      </c>
      <c r="I255" s="157">
        <f>48660/2</f>
        <v>24330</v>
      </c>
      <c r="J255" s="159">
        <f t="shared" si="25"/>
        <v>48660</v>
      </c>
      <c r="K255" s="152"/>
      <c r="M255" s="185">
        <v>1945454</v>
      </c>
      <c r="N255" s="186" t="s">
        <v>1302</v>
      </c>
    </row>
    <row r="256" spans="1:14" s="141" customFormat="1" ht="20.25" customHeight="1">
      <c r="A256" s="147">
        <v>17</v>
      </c>
      <c r="B256" s="143" t="s">
        <v>1065</v>
      </c>
      <c r="C256" s="143" t="s">
        <v>1063</v>
      </c>
      <c r="D256" s="143" t="s">
        <v>1011</v>
      </c>
      <c r="E256" s="148" t="s">
        <v>1040</v>
      </c>
      <c r="F256" s="143">
        <v>2</v>
      </c>
      <c r="G256" s="149" t="s">
        <v>1029</v>
      </c>
      <c r="H256" s="149">
        <v>2</v>
      </c>
      <c r="I256" s="157">
        <f>18222/3</f>
        <v>6074</v>
      </c>
      <c r="J256" s="159">
        <f t="shared" si="25"/>
        <v>12148</v>
      </c>
      <c r="K256" s="152"/>
      <c r="M256" s="154">
        <f>200000+100000</f>
        <v>300000</v>
      </c>
      <c r="N256" s="210" t="s">
        <v>1561</v>
      </c>
    </row>
    <row r="257" spans="1:14" s="141" customFormat="1" ht="20.25" customHeight="1">
      <c r="A257" s="147">
        <v>18</v>
      </c>
      <c r="B257" s="143" t="s">
        <v>1065</v>
      </c>
      <c r="C257" s="143" t="s">
        <v>1063</v>
      </c>
      <c r="D257" s="143" t="s">
        <v>1050</v>
      </c>
      <c r="E257" s="148" t="s">
        <v>1051</v>
      </c>
      <c r="F257" s="143">
        <v>2</v>
      </c>
      <c r="G257" s="149" t="s">
        <v>1052</v>
      </c>
      <c r="H257" s="149">
        <v>2</v>
      </c>
      <c r="I257" s="157">
        <v>30000</v>
      </c>
      <c r="J257" s="159">
        <f t="shared" si="25"/>
        <v>60000</v>
      </c>
      <c r="K257" s="152"/>
      <c r="M257" s="183">
        <f>L260*7%</f>
        <v>62947.675000000003</v>
      </c>
      <c r="N257" s="141" t="s">
        <v>1303</v>
      </c>
    </row>
    <row r="258" spans="1:14" s="141" customFormat="1" ht="20.25" customHeight="1">
      <c r="A258" s="147">
        <v>19</v>
      </c>
      <c r="B258" s="143" t="s">
        <v>1065</v>
      </c>
      <c r="C258" s="143" t="s">
        <v>1063</v>
      </c>
      <c r="D258" s="143" t="s">
        <v>1041</v>
      </c>
      <c r="E258" s="148" t="s">
        <v>1035</v>
      </c>
      <c r="F258" s="143">
        <v>2</v>
      </c>
      <c r="G258" s="143" t="s">
        <v>1024</v>
      </c>
      <c r="H258" s="149">
        <v>2</v>
      </c>
      <c r="I258" s="150">
        <v>800</v>
      </c>
      <c r="J258" s="151">
        <f>H258*I258</f>
        <v>1600</v>
      </c>
      <c r="K258" s="152"/>
      <c r="M258" s="183">
        <f>(L260+M257)*20%</f>
        <v>192440.03500000003</v>
      </c>
      <c r="N258" s="141" t="s">
        <v>1304</v>
      </c>
    </row>
    <row r="259" spans="1:14" s="141" customFormat="1" ht="20.25" customHeight="1" thickBot="1">
      <c r="A259" s="147">
        <v>20</v>
      </c>
      <c r="B259" s="177" t="s">
        <v>1065</v>
      </c>
      <c r="C259" s="177" t="s">
        <v>1063</v>
      </c>
      <c r="D259" s="177" t="s">
        <v>1262</v>
      </c>
      <c r="E259" s="143" t="s">
        <v>1263</v>
      </c>
      <c r="F259" s="177">
        <v>2</v>
      </c>
      <c r="G259" s="177" t="s">
        <v>1116</v>
      </c>
      <c r="H259" s="178">
        <v>2</v>
      </c>
      <c r="I259" s="179">
        <v>700</v>
      </c>
      <c r="J259" s="180">
        <v>1400</v>
      </c>
      <c r="K259" s="181"/>
      <c r="M259" s="183">
        <f>(L260+M257+M258)*25%</f>
        <v>288660.05249999999</v>
      </c>
      <c r="N259" s="141" t="s">
        <v>1305</v>
      </c>
    </row>
    <row r="260" spans="1:14" s="141" customFormat="1" ht="20.25" customHeight="1" thickBot="1">
      <c r="A260" s="160">
        <v>21</v>
      </c>
      <c r="B260" s="161" t="s">
        <v>1065</v>
      </c>
      <c r="C260" s="161" t="s">
        <v>1063</v>
      </c>
      <c r="D260" s="161" t="s">
        <v>1264</v>
      </c>
      <c r="E260" s="169" t="s">
        <v>1267</v>
      </c>
      <c r="F260" s="161">
        <v>1</v>
      </c>
      <c r="G260" s="161" t="s">
        <v>1266</v>
      </c>
      <c r="H260" s="162">
        <v>1</v>
      </c>
      <c r="I260" s="170">
        <v>1400</v>
      </c>
      <c r="J260" s="171">
        <f t="shared" ref="J260" si="26">H260*I260</f>
        <v>1400</v>
      </c>
      <c r="K260" s="163"/>
      <c r="L260" s="172">
        <f>SUM(J240:J260)</f>
        <v>899252.5</v>
      </c>
      <c r="M260" s="184">
        <f>L260+M256+M257+M258+M259</f>
        <v>1743300.2625</v>
      </c>
      <c r="N260" s="141" t="s">
        <v>1307</v>
      </c>
    </row>
    <row r="261" spans="1:14" s="141" customFormat="1" ht="7.5" customHeight="1" thickBot="1">
      <c r="D261" s="164"/>
      <c r="E261" s="164"/>
      <c r="G261" s="165"/>
      <c r="H261" s="165"/>
      <c r="I261" s="167"/>
      <c r="J261" s="168"/>
    </row>
    <row r="262" spans="1:14" s="141" customFormat="1" ht="20.25" customHeight="1">
      <c r="A262" s="142">
        <v>1</v>
      </c>
      <c r="B262" s="144" t="s">
        <v>1074</v>
      </c>
      <c r="C262" s="144" t="s">
        <v>1068</v>
      </c>
      <c r="D262" s="144" t="s">
        <v>1011</v>
      </c>
      <c r="E262" s="144" t="s">
        <v>1046</v>
      </c>
      <c r="F262" s="144">
        <v>1</v>
      </c>
      <c r="G262" s="145" t="s">
        <v>1012</v>
      </c>
      <c r="H262" s="145">
        <v>1</v>
      </c>
      <c r="I262" s="156">
        <f>409557/2</f>
        <v>204778.5</v>
      </c>
      <c r="J262" s="158">
        <f>H262*I262</f>
        <v>204778.5</v>
      </c>
      <c r="K262" s="146"/>
    </row>
    <row r="263" spans="1:14" s="141" customFormat="1" ht="20.25" customHeight="1">
      <c r="A263" s="147">
        <v>2</v>
      </c>
      <c r="B263" s="143" t="s">
        <v>1073</v>
      </c>
      <c r="C263" s="143" t="s">
        <v>1067</v>
      </c>
      <c r="D263" s="143" t="s">
        <v>1011</v>
      </c>
      <c r="E263" s="148" t="s">
        <v>1047</v>
      </c>
      <c r="F263" s="143">
        <v>1</v>
      </c>
      <c r="G263" s="149" t="s">
        <v>1012</v>
      </c>
      <c r="H263" s="149">
        <v>1</v>
      </c>
      <c r="I263" s="157">
        <f>225980</f>
        <v>225980</v>
      </c>
      <c r="J263" s="159">
        <f>H263*I263</f>
        <v>225980</v>
      </c>
      <c r="K263" s="152"/>
    </row>
    <row r="264" spans="1:14" s="141" customFormat="1" ht="20.25" customHeight="1">
      <c r="A264" s="147">
        <v>3</v>
      </c>
      <c r="B264" s="143" t="s">
        <v>1073</v>
      </c>
      <c r="C264" s="143" t="s">
        <v>1067</v>
      </c>
      <c r="D264" s="143" t="s">
        <v>1011</v>
      </c>
      <c r="E264" s="148" t="s">
        <v>1043</v>
      </c>
      <c r="F264" s="143">
        <v>1</v>
      </c>
      <c r="G264" s="149" t="s">
        <v>1012</v>
      </c>
      <c r="H264" s="149">
        <v>1</v>
      </c>
      <c r="I264" s="157">
        <f>225980/5</f>
        <v>45196</v>
      </c>
      <c r="J264" s="159">
        <f t="shared" ref="J264:J277" si="27">H264*I264</f>
        <v>45196</v>
      </c>
      <c r="K264" s="152"/>
    </row>
    <row r="265" spans="1:14" s="141" customFormat="1" ht="20.25" customHeight="1">
      <c r="A265" s="147">
        <v>4</v>
      </c>
      <c r="B265" s="143" t="s">
        <v>1073</v>
      </c>
      <c r="C265" s="143" t="s">
        <v>1067</v>
      </c>
      <c r="D265" s="143" t="s">
        <v>1013</v>
      </c>
      <c r="E265" s="148" t="s">
        <v>1034</v>
      </c>
      <c r="F265" s="143">
        <v>1</v>
      </c>
      <c r="G265" s="143" t="s">
        <v>1014</v>
      </c>
      <c r="H265" s="149">
        <v>1</v>
      </c>
      <c r="I265" s="157">
        <v>109000</v>
      </c>
      <c r="J265" s="159">
        <f t="shared" si="27"/>
        <v>109000</v>
      </c>
      <c r="K265" s="152"/>
    </row>
    <row r="266" spans="1:14" s="141" customFormat="1" ht="20.25" customHeight="1">
      <c r="A266" s="147">
        <v>5</v>
      </c>
      <c r="B266" s="143" t="s">
        <v>1073</v>
      </c>
      <c r="C266" s="143" t="s">
        <v>1067</v>
      </c>
      <c r="D266" s="143" t="s">
        <v>1015</v>
      </c>
      <c r="E266" s="148" t="s">
        <v>1044</v>
      </c>
      <c r="F266" s="143">
        <v>4</v>
      </c>
      <c r="G266" s="143" t="s">
        <v>1014</v>
      </c>
      <c r="H266" s="149">
        <v>4</v>
      </c>
      <c r="I266" s="157">
        <v>3800</v>
      </c>
      <c r="J266" s="159">
        <f t="shared" si="27"/>
        <v>15200</v>
      </c>
      <c r="K266" s="152"/>
    </row>
    <row r="267" spans="1:14" s="141" customFormat="1" ht="20.25" customHeight="1">
      <c r="A267" s="147">
        <v>6</v>
      </c>
      <c r="B267" s="143" t="s">
        <v>1073</v>
      </c>
      <c r="C267" s="143" t="s">
        <v>1067</v>
      </c>
      <c r="D267" s="143" t="s">
        <v>1020</v>
      </c>
      <c r="E267" s="143" t="s">
        <v>869</v>
      </c>
      <c r="F267" s="143">
        <v>1</v>
      </c>
      <c r="G267" s="143" t="s">
        <v>1014</v>
      </c>
      <c r="H267" s="149">
        <v>1</v>
      </c>
      <c r="I267" s="150">
        <v>22000</v>
      </c>
      <c r="J267" s="151">
        <f t="shared" si="27"/>
        <v>22000</v>
      </c>
      <c r="K267" s="152"/>
    </row>
    <row r="268" spans="1:14" s="141" customFormat="1" ht="20.25" customHeight="1">
      <c r="A268" s="147">
        <v>7</v>
      </c>
      <c r="B268" s="143" t="s">
        <v>1073</v>
      </c>
      <c r="C268" s="143" t="s">
        <v>1067</v>
      </c>
      <c r="D268" s="143" t="s">
        <v>1021</v>
      </c>
      <c r="E268" s="143" t="s">
        <v>869</v>
      </c>
      <c r="F268" s="143">
        <v>1</v>
      </c>
      <c r="G268" s="143" t="s">
        <v>1014</v>
      </c>
      <c r="H268" s="149">
        <v>1</v>
      </c>
      <c r="I268" s="150">
        <v>5500</v>
      </c>
      <c r="J268" s="151">
        <f t="shared" si="27"/>
        <v>5500</v>
      </c>
      <c r="K268" s="152"/>
    </row>
    <row r="269" spans="1:14" s="141" customFormat="1" ht="20.25" customHeight="1">
      <c r="A269" s="147">
        <v>8</v>
      </c>
      <c r="B269" s="143" t="s">
        <v>1073</v>
      </c>
      <c r="C269" s="143" t="s">
        <v>1067</v>
      </c>
      <c r="D269" s="143" t="s">
        <v>1018</v>
      </c>
      <c r="E269" s="143" t="s">
        <v>869</v>
      </c>
      <c r="F269" s="143">
        <v>1</v>
      </c>
      <c r="G269" s="143" t="s">
        <v>1019</v>
      </c>
      <c r="H269" s="149">
        <v>1</v>
      </c>
      <c r="I269" s="150">
        <v>14100</v>
      </c>
      <c r="J269" s="151">
        <f t="shared" si="27"/>
        <v>14100</v>
      </c>
      <c r="K269" s="152"/>
    </row>
    <row r="270" spans="1:14" s="141" customFormat="1" ht="20.25" customHeight="1">
      <c r="A270" s="147">
        <v>9</v>
      </c>
      <c r="B270" s="143" t="s">
        <v>1073</v>
      </c>
      <c r="C270" s="143" t="s">
        <v>1067</v>
      </c>
      <c r="D270" s="143" t="s">
        <v>1023</v>
      </c>
      <c r="E270" s="143" t="s">
        <v>870</v>
      </c>
      <c r="F270" s="143">
        <v>1</v>
      </c>
      <c r="G270" s="143" t="s">
        <v>1024</v>
      </c>
      <c r="H270" s="149">
        <v>1</v>
      </c>
      <c r="I270" s="150">
        <v>11000</v>
      </c>
      <c r="J270" s="151">
        <f t="shared" si="27"/>
        <v>11000</v>
      </c>
      <c r="K270" s="152"/>
    </row>
    <row r="271" spans="1:14" s="141" customFormat="1" ht="20.25" customHeight="1">
      <c r="A271" s="147">
        <v>10</v>
      </c>
      <c r="B271" s="143" t="s">
        <v>1073</v>
      </c>
      <c r="C271" s="143" t="s">
        <v>1067</v>
      </c>
      <c r="D271" s="143" t="s">
        <v>1251</v>
      </c>
      <c r="E271" s="143" t="s">
        <v>1252</v>
      </c>
      <c r="F271" s="143">
        <v>1</v>
      </c>
      <c r="G271" s="143" t="s">
        <v>643</v>
      </c>
      <c r="H271" s="149">
        <v>1</v>
      </c>
      <c r="I271" s="150">
        <v>10000</v>
      </c>
      <c r="J271" s="151">
        <f t="shared" si="27"/>
        <v>10000</v>
      </c>
      <c r="K271" s="152"/>
    </row>
    <row r="272" spans="1:14" s="141" customFormat="1" ht="20.25" customHeight="1">
      <c r="A272" s="147">
        <v>11</v>
      </c>
      <c r="B272" s="143" t="s">
        <v>1073</v>
      </c>
      <c r="C272" s="143" t="s">
        <v>1067</v>
      </c>
      <c r="D272" s="143" t="s">
        <v>1253</v>
      </c>
      <c r="E272" s="143"/>
      <c r="F272" s="143">
        <v>1</v>
      </c>
      <c r="G272" s="143" t="s">
        <v>1254</v>
      </c>
      <c r="H272" s="149">
        <v>1</v>
      </c>
      <c r="I272" s="150">
        <v>5000</v>
      </c>
      <c r="J272" s="151">
        <f t="shared" si="27"/>
        <v>5000</v>
      </c>
      <c r="K272" s="152"/>
    </row>
    <row r="273" spans="1:14" s="141" customFormat="1" ht="20.25" customHeight="1">
      <c r="A273" s="147">
        <v>12</v>
      </c>
      <c r="B273" s="143" t="s">
        <v>1073</v>
      </c>
      <c r="C273" s="143" t="s">
        <v>1067</v>
      </c>
      <c r="D273" s="143" t="s">
        <v>1011</v>
      </c>
      <c r="E273" s="148" t="s">
        <v>1038</v>
      </c>
      <c r="F273" s="143">
        <v>1</v>
      </c>
      <c r="G273" s="149" t="s">
        <v>1029</v>
      </c>
      <c r="H273" s="149">
        <v>1</v>
      </c>
      <c r="I273" s="157">
        <f>66590/2</f>
        <v>33295</v>
      </c>
      <c r="J273" s="159">
        <f t="shared" si="27"/>
        <v>33295</v>
      </c>
      <c r="K273" s="152"/>
    </row>
    <row r="274" spans="1:14" s="141" customFormat="1" ht="20.25" customHeight="1">
      <c r="A274" s="147">
        <v>13</v>
      </c>
      <c r="B274" s="143" t="s">
        <v>1073</v>
      </c>
      <c r="C274" s="143" t="s">
        <v>1067</v>
      </c>
      <c r="D274" s="143" t="s">
        <v>1011</v>
      </c>
      <c r="E274" s="148" t="s">
        <v>1039</v>
      </c>
      <c r="F274" s="143">
        <v>1</v>
      </c>
      <c r="G274" s="149" t="s">
        <v>1029</v>
      </c>
      <c r="H274" s="149">
        <v>1</v>
      </c>
      <c r="I274" s="157">
        <f>48660/2</f>
        <v>24330</v>
      </c>
      <c r="J274" s="159">
        <f t="shared" si="27"/>
        <v>24330</v>
      </c>
      <c r="K274" s="152"/>
    </row>
    <row r="275" spans="1:14" s="141" customFormat="1" ht="20.25" customHeight="1">
      <c r="A275" s="147">
        <v>14</v>
      </c>
      <c r="B275" s="143" t="s">
        <v>1073</v>
      </c>
      <c r="C275" s="143" t="s">
        <v>1067</v>
      </c>
      <c r="D275" s="143" t="s">
        <v>1011</v>
      </c>
      <c r="E275" s="148" t="s">
        <v>1040</v>
      </c>
      <c r="F275" s="143">
        <v>1</v>
      </c>
      <c r="G275" s="149" t="s">
        <v>1029</v>
      </c>
      <c r="H275" s="149">
        <v>1</v>
      </c>
      <c r="I275" s="157">
        <f>18222/3</f>
        <v>6074</v>
      </c>
      <c r="J275" s="159">
        <f t="shared" si="27"/>
        <v>6074</v>
      </c>
      <c r="K275" s="152"/>
      <c r="M275" s="185">
        <v>1463636</v>
      </c>
      <c r="N275" s="186" t="s">
        <v>1302</v>
      </c>
    </row>
    <row r="276" spans="1:14" s="141" customFormat="1" ht="20.25" customHeight="1">
      <c r="A276" s="147">
        <v>15</v>
      </c>
      <c r="B276" s="143" t="s">
        <v>1073</v>
      </c>
      <c r="C276" s="143" t="s">
        <v>1067</v>
      </c>
      <c r="D276" s="143" t="s">
        <v>1050</v>
      </c>
      <c r="E276" s="148" t="s">
        <v>1051</v>
      </c>
      <c r="F276" s="143">
        <v>1</v>
      </c>
      <c r="G276" s="149" t="s">
        <v>1079</v>
      </c>
      <c r="H276" s="149">
        <v>1</v>
      </c>
      <c r="I276" s="157">
        <v>30000</v>
      </c>
      <c r="J276" s="159">
        <f t="shared" si="27"/>
        <v>30000</v>
      </c>
      <c r="K276" s="152"/>
      <c r="M276" s="154">
        <f>200000+100000</f>
        <v>300000</v>
      </c>
      <c r="N276" s="210" t="s">
        <v>1561</v>
      </c>
    </row>
    <row r="277" spans="1:14" s="141" customFormat="1" ht="20.25" customHeight="1">
      <c r="A277" s="147">
        <v>16</v>
      </c>
      <c r="B277" s="143" t="s">
        <v>1073</v>
      </c>
      <c r="C277" s="143" t="s">
        <v>1067</v>
      </c>
      <c r="D277" s="143" t="s">
        <v>1027</v>
      </c>
      <c r="E277" s="143" t="s">
        <v>1103</v>
      </c>
      <c r="F277" s="143">
        <v>1</v>
      </c>
      <c r="G277" s="143" t="s">
        <v>1024</v>
      </c>
      <c r="H277" s="149">
        <v>1</v>
      </c>
      <c r="I277" s="157">
        <v>2300</v>
      </c>
      <c r="J277" s="159">
        <f t="shared" si="27"/>
        <v>2300</v>
      </c>
      <c r="K277" s="152"/>
      <c r="M277" s="183">
        <f>L280*7%</f>
        <v>53665.745000000003</v>
      </c>
      <c r="N277" s="141" t="s">
        <v>1303</v>
      </c>
    </row>
    <row r="278" spans="1:14" s="141" customFormat="1" ht="20.25" customHeight="1">
      <c r="A278" s="147">
        <v>17</v>
      </c>
      <c r="B278" s="143" t="s">
        <v>1073</v>
      </c>
      <c r="C278" s="143" t="s">
        <v>1067</v>
      </c>
      <c r="D278" s="143" t="s">
        <v>1041</v>
      </c>
      <c r="E278" s="148" t="s">
        <v>1035</v>
      </c>
      <c r="F278" s="143">
        <v>1</v>
      </c>
      <c r="G278" s="143" t="s">
        <v>1024</v>
      </c>
      <c r="H278" s="149">
        <v>1</v>
      </c>
      <c r="I278" s="150">
        <v>800</v>
      </c>
      <c r="J278" s="151">
        <f>H278*I278</f>
        <v>800</v>
      </c>
      <c r="K278" s="152"/>
      <c r="M278" s="183">
        <f>(L280+M277)*20%</f>
        <v>164063.84900000002</v>
      </c>
      <c r="N278" s="141" t="s">
        <v>1304</v>
      </c>
    </row>
    <row r="279" spans="1:14" s="141" customFormat="1" ht="20.25" customHeight="1" thickBot="1">
      <c r="A279" s="147">
        <v>18</v>
      </c>
      <c r="B279" s="177" t="s">
        <v>1073</v>
      </c>
      <c r="C279" s="177" t="s">
        <v>1067</v>
      </c>
      <c r="D279" s="177" t="s">
        <v>1262</v>
      </c>
      <c r="E279" s="143" t="s">
        <v>1263</v>
      </c>
      <c r="F279" s="177">
        <v>1</v>
      </c>
      <c r="G279" s="177" t="s">
        <v>1116</v>
      </c>
      <c r="H279" s="178">
        <v>1</v>
      </c>
      <c r="I279" s="179">
        <v>700</v>
      </c>
      <c r="J279" s="180">
        <v>700</v>
      </c>
      <c r="K279" s="181"/>
      <c r="M279" s="183">
        <f>(L280+M277+M278)*25%</f>
        <v>246095.77350000001</v>
      </c>
      <c r="N279" s="141" t="s">
        <v>1305</v>
      </c>
    </row>
    <row r="280" spans="1:14" s="141" customFormat="1" ht="20.25" customHeight="1" thickBot="1">
      <c r="A280" s="160">
        <v>19</v>
      </c>
      <c r="B280" s="161" t="s">
        <v>1073</v>
      </c>
      <c r="C280" s="161" t="s">
        <v>1067</v>
      </c>
      <c r="D280" s="161" t="s">
        <v>1264</v>
      </c>
      <c r="E280" s="169" t="s">
        <v>1267</v>
      </c>
      <c r="F280" s="161">
        <v>1</v>
      </c>
      <c r="G280" s="161" t="s">
        <v>1266</v>
      </c>
      <c r="H280" s="162">
        <v>1</v>
      </c>
      <c r="I280" s="170">
        <v>1400</v>
      </c>
      <c r="J280" s="171">
        <f t="shared" ref="J280" si="28">H280*I280</f>
        <v>1400</v>
      </c>
      <c r="K280" s="163"/>
      <c r="L280" s="172">
        <f>SUM(J262:J280)</f>
        <v>766653.5</v>
      </c>
      <c r="M280" s="184">
        <f>L280+M276+M277+M278+M279</f>
        <v>1530478.8675000002</v>
      </c>
      <c r="N280" s="141" t="s">
        <v>1307</v>
      </c>
    </row>
    <row r="281" spans="1:14" s="141" customFormat="1" ht="7.5" customHeight="1" thickBot="1">
      <c r="D281" s="164"/>
      <c r="E281" s="164"/>
      <c r="G281" s="165"/>
      <c r="H281" s="165"/>
      <c r="I281" s="167"/>
      <c r="J281" s="168"/>
    </row>
    <row r="282" spans="1:14" s="141" customFormat="1" ht="20.25" customHeight="1">
      <c r="A282" s="142">
        <v>1</v>
      </c>
      <c r="B282" s="144" t="s">
        <v>1076</v>
      </c>
      <c r="C282" s="144" t="s">
        <v>1070</v>
      </c>
      <c r="D282" s="144" t="s">
        <v>1011</v>
      </c>
      <c r="E282" s="144" t="s">
        <v>1046</v>
      </c>
      <c r="F282" s="144">
        <v>1</v>
      </c>
      <c r="G282" s="145" t="s">
        <v>1012</v>
      </c>
      <c r="H282" s="145">
        <v>1</v>
      </c>
      <c r="I282" s="156">
        <f>409557/2</f>
        <v>204778.5</v>
      </c>
      <c r="J282" s="158">
        <f>H282*I282</f>
        <v>204778.5</v>
      </c>
      <c r="K282" s="146"/>
    </row>
    <row r="283" spans="1:14" s="141" customFormat="1" ht="20.25" customHeight="1">
      <c r="A283" s="147">
        <v>2</v>
      </c>
      <c r="B283" s="143" t="s">
        <v>1075</v>
      </c>
      <c r="C283" s="143" t="s">
        <v>1069</v>
      </c>
      <c r="D283" s="143" t="s">
        <v>1011</v>
      </c>
      <c r="E283" s="148" t="s">
        <v>1058</v>
      </c>
      <c r="F283" s="143">
        <v>1</v>
      </c>
      <c r="G283" s="149" t="s">
        <v>1012</v>
      </c>
      <c r="H283" s="149">
        <v>1</v>
      </c>
      <c r="I283" s="157">
        <f>225980</f>
        <v>225980</v>
      </c>
      <c r="J283" s="159">
        <f>H283*I283</f>
        <v>225980</v>
      </c>
      <c r="K283" s="152"/>
    </row>
    <row r="284" spans="1:14" s="141" customFormat="1" ht="20.25" customHeight="1">
      <c r="A284" s="147">
        <v>3</v>
      </c>
      <c r="B284" s="143" t="s">
        <v>1075</v>
      </c>
      <c r="C284" s="143" t="s">
        <v>1069</v>
      </c>
      <c r="D284" s="143" t="s">
        <v>1011</v>
      </c>
      <c r="E284" s="148" t="s">
        <v>1048</v>
      </c>
      <c r="F284" s="143">
        <v>1</v>
      </c>
      <c r="G284" s="149" t="s">
        <v>1012</v>
      </c>
      <c r="H284" s="149">
        <v>1</v>
      </c>
      <c r="I284" s="157">
        <f>225980/5</f>
        <v>45196</v>
      </c>
      <c r="J284" s="159">
        <f t="shared" ref="J284:J296" si="29">H284*I284</f>
        <v>45196</v>
      </c>
      <c r="K284" s="152"/>
    </row>
    <row r="285" spans="1:14" s="141" customFormat="1" ht="20.25" customHeight="1">
      <c r="A285" s="147">
        <v>4</v>
      </c>
      <c r="B285" s="143" t="s">
        <v>1075</v>
      </c>
      <c r="C285" s="143" t="s">
        <v>1069</v>
      </c>
      <c r="D285" s="143" t="s">
        <v>1013</v>
      </c>
      <c r="E285" s="148" t="s">
        <v>1034</v>
      </c>
      <c r="F285" s="143">
        <v>1</v>
      </c>
      <c r="G285" s="143" t="s">
        <v>1014</v>
      </c>
      <c r="H285" s="149">
        <v>1</v>
      </c>
      <c r="I285" s="157">
        <v>109000</v>
      </c>
      <c r="J285" s="159">
        <f t="shared" si="29"/>
        <v>109000</v>
      </c>
      <c r="K285" s="152"/>
    </row>
    <row r="286" spans="1:14" s="141" customFormat="1" ht="20.25" customHeight="1">
      <c r="A286" s="147">
        <v>5</v>
      </c>
      <c r="B286" s="143" t="s">
        <v>1075</v>
      </c>
      <c r="C286" s="143" t="s">
        <v>1069</v>
      </c>
      <c r="D286" s="143" t="s">
        <v>1015</v>
      </c>
      <c r="E286" s="148" t="s">
        <v>1044</v>
      </c>
      <c r="F286" s="143">
        <v>4</v>
      </c>
      <c r="G286" s="143" t="s">
        <v>1014</v>
      </c>
      <c r="H286" s="149">
        <v>4</v>
      </c>
      <c r="I286" s="157">
        <v>3800</v>
      </c>
      <c r="J286" s="159">
        <f t="shared" si="29"/>
        <v>15200</v>
      </c>
      <c r="K286" s="152"/>
    </row>
    <row r="287" spans="1:14" s="141" customFormat="1" ht="20.25" customHeight="1">
      <c r="A287" s="147">
        <v>6</v>
      </c>
      <c r="B287" s="143" t="s">
        <v>1075</v>
      </c>
      <c r="C287" s="143" t="s">
        <v>1069</v>
      </c>
      <c r="D287" s="143" t="s">
        <v>1020</v>
      </c>
      <c r="E287" s="143" t="s">
        <v>869</v>
      </c>
      <c r="F287" s="143">
        <v>1</v>
      </c>
      <c r="G287" s="143" t="s">
        <v>1014</v>
      </c>
      <c r="H287" s="149">
        <v>1</v>
      </c>
      <c r="I287" s="150">
        <v>22000</v>
      </c>
      <c r="J287" s="151">
        <f t="shared" si="29"/>
        <v>22000</v>
      </c>
      <c r="K287" s="152"/>
    </row>
    <row r="288" spans="1:14" s="141" customFormat="1" ht="20.25" customHeight="1">
      <c r="A288" s="147">
        <v>7</v>
      </c>
      <c r="B288" s="143" t="s">
        <v>1075</v>
      </c>
      <c r="C288" s="143" t="s">
        <v>1069</v>
      </c>
      <c r="D288" s="143" t="s">
        <v>1021</v>
      </c>
      <c r="E288" s="143" t="s">
        <v>869</v>
      </c>
      <c r="F288" s="143">
        <v>1</v>
      </c>
      <c r="G288" s="143" t="s">
        <v>1014</v>
      </c>
      <c r="H288" s="149">
        <v>1</v>
      </c>
      <c r="I288" s="150">
        <v>5500</v>
      </c>
      <c r="J288" s="151">
        <f t="shared" si="29"/>
        <v>5500</v>
      </c>
      <c r="K288" s="152"/>
    </row>
    <row r="289" spans="1:14" s="141" customFormat="1" ht="20.25" customHeight="1">
      <c r="A289" s="147">
        <v>8</v>
      </c>
      <c r="B289" s="143" t="s">
        <v>1075</v>
      </c>
      <c r="C289" s="143" t="s">
        <v>1069</v>
      </c>
      <c r="D289" s="143" t="s">
        <v>1018</v>
      </c>
      <c r="E289" s="143" t="s">
        <v>869</v>
      </c>
      <c r="F289" s="143">
        <v>1</v>
      </c>
      <c r="G289" s="143" t="s">
        <v>1019</v>
      </c>
      <c r="H289" s="149">
        <v>1</v>
      </c>
      <c r="I289" s="150">
        <v>14100</v>
      </c>
      <c r="J289" s="151">
        <f t="shared" si="29"/>
        <v>14100</v>
      </c>
      <c r="K289" s="152"/>
    </row>
    <row r="290" spans="1:14" s="141" customFormat="1" ht="20.25" customHeight="1">
      <c r="A290" s="147">
        <v>9</v>
      </c>
      <c r="B290" s="143" t="s">
        <v>1075</v>
      </c>
      <c r="C290" s="143" t="s">
        <v>1069</v>
      </c>
      <c r="D290" s="143" t="s">
        <v>1023</v>
      </c>
      <c r="E290" s="143" t="s">
        <v>870</v>
      </c>
      <c r="F290" s="143">
        <v>1</v>
      </c>
      <c r="G290" s="143" t="s">
        <v>1024</v>
      </c>
      <c r="H290" s="149">
        <v>1</v>
      </c>
      <c r="I290" s="150">
        <v>11000</v>
      </c>
      <c r="J290" s="151">
        <f t="shared" si="29"/>
        <v>11000</v>
      </c>
      <c r="K290" s="152"/>
    </row>
    <row r="291" spans="1:14" s="141" customFormat="1" ht="20.25" customHeight="1">
      <c r="A291" s="147">
        <v>10</v>
      </c>
      <c r="B291" s="143" t="s">
        <v>1075</v>
      </c>
      <c r="C291" s="143" t="s">
        <v>1069</v>
      </c>
      <c r="D291" s="143" t="s">
        <v>1251</v>
      </c>
      <c r="E291" s="143" t="s">
        <v>1252</v>
      </c>
      <c r="F291" s="143">
        <v>1</v>
      </c>
      <c r="G291" s="143" t="s">
        <v>643</v>
      </c>
      <c r="H291" s="149">
        <v>1</v>
      </c>
      <c r="I291" s="150">
        <v>10000</v>
      </c>
      <c r="J291" s="151">
        <f t="shared" si="29"/>
        <v>10000</v>
      </c>
      <c r="K291" s="152"/>
    </row>
    <row r="292" spans="1:14" s="141" customFormat="1" ht="20.25" customHeight="1">
      <c r="A292" s="147">
        <v>11</v>
      </c>
      <c r="B292" s="143" t="s">
        <v>1075</v>
      </c>
      <c r="C292" s="143" t="s">
        <v>1069</v>
      </c>
      <c r="D292" s="143" t="s">
        <v>1253</v>
      </c>
      <c r="E292" s="143"/>
      <c r="F292" s="143">
        <v>1</v>
      </c>
      <c r="G292" s="143" t="s">
        <v>1254</v>
      </c>
      <c r="H292" s="149">
        <v>1</v>
      </c>
      <c r="I292" s="150">
        <v>5000</v>
      </c>
      <c r="J292" s="151">
        <f t="shared" si="29"/>
        <v>5000</v>
      </c>
      <c r="K292" s="152"/>
    </row>
    <row r="293" spans="1:14" s="141" customFormat="1" ht="20.25" customHeight="1">
      <c r="A293" s="147">
        <v>12</v>
      </c>
      <c r="B293" s="143" t="s">
        <v>1075</v>
      </c>
      <c r="C293" s="143" t="s">
        <v>1069</v>
      </c>
      <c r="D293" s="143" t="s">
        <v>1011</v>
      </c>
      <c r="E293" s="148" t="s">
        <v>1038</v>
      </c>
      <c r="F293" s="143">
        <v>1</v>
      </c>
      <c r="G293" s="149" t="s">
        <v>1104</v>
      </c>
      <c r="H293" s="149">
        <v>1</v>
      </c>
      <c r="I293" s="157">
        <f>66590/2</f>
        <v>33295</v>
      </c>
      <c r="J293" s="159">
        <f t="shared" si="29"/>
        <v>33295</v>
      </c>
      <c r="K293" s="152"/>
    </row>
    <row r="294" spans="1:14" s="141" customFormat="1" ht="20.25" customHeight="1">
      <c r="A294" s="147">
        <v>13</v>
      </c>
      <c r="B294" s="143" t="s">
        <v>1075</v>
      </c>
      <c r="C294" s="143" t="s">
        <v>1069</v>
      </c>
      <c r="D294" s="143" t="s">
        <v>1011</v>
      </c>
      <c r="E294" s="148" t="s">
        <v>1039</v>
      </c>
      <c r="F294" s="143">
        <v>1</v>
      </c>
      <c r="G294" s="149" t="s">
        <v>1104</v>
      </c>
      <c r="H294" s="149">
        <v>1</v>
      </c>
      <c r="I294" s="157">
        <f>48660/2</f>
        <v>24330</v>
      </c>
      <c r="J294" s="159">
        <f t="shared" si="29"/>
        <v>24330</v>
      </c>
      <c r="K294" s="152"/>
    </row>
    <row r="295" spans="1:14" s="141" customFormat="1" ht="20.25" customHeight="1">
      <c r="A295" s="147">
        <v>14</v>
      </c>
      <c r="B295" s="143" t="s">
        <v>1075</v>
      </c>
      <c r="C295" s="143" t="s">
        <v>1069</v>
      </c>
      <c r="D295" s="143" t="s">
        <v>1011</v>
      </c>
      <c r="E295" s="148" t="s">
        <v>1040</v>
      </c>
      <c r="F295" s="143">
        <v>1</v>
      </c>
      <c r="G295" s="149" t="s">
        <v>1104</v>
      </c>
      <c r="H295" s="149">
        <v>1</v>
      </c>
      <c r="I295" s="157">
        <f>18222/3</f>
        <v>6074</v>
      </c>
      <c r="J295" s="159">
        <f t="shared" si="29"/>
        <v>6074</v>
      </c>
      <c r="K295" s="152"/>
      <c r="M295" s="185">
        <v>1509090</v>
      </c>
      <c r="N295" s="186" t="s">
        <v>1302</v>
      </c>
    </row>
    <row r="296" spans="1:14" s="141" customFormat="1" ht="20.25" customHeight="1">
      <c r="A296" s="147">
        <v>15</v>
      </c>
      <c r="B296" s="143" t="s">
        <v>1075</v>
      </c>
      <c r="C296" s="143" t="s">
        <v>1069</v>
      </c>
      <c r="D296" s="143" t="s">
        <v>1050</v>
      </c>
      <c r="E296" s="148" t="s">
        <v>1051</v>
      </c>
      <c r="F296" s="143">
        <v>1</v>
      </c>
      <c r="G296" s="149" t="s">
        <v>1105</v>
      </c>
      <c r="H296" s="149">
        <v>1</v>
      </c>
      <c r="I296" s="157">
        <v>30000</v>
      </c>
      <c r="J296" s="159">
        <f t="shared" si="29"/>
        <v>30000</v>
      </c>
      <c r="K296" s="152"/>
      <c r="M296" s="154">
        <f>200000+100000</f>
        <v>300000</v>
      </c>
      <c r="N296" s="210" t="s">
        <v>1561</v>
      </c>
    </row>
    <row r="297" spans="1:14" s="141" customFormat="1" ht="20.25" customHeight="1">
      <c r="A297" s="147">
        <v>16</v>
      </c>
      <c r="B297" s="143" t="s">
        <v>1075</v>
      </c>
      <c r="C297" s="143" t="s">
        <v>1069</v>
      </c>
      <c r="D297" s="143" t="s">
        <v>1027</v>
      </c>
      <c r="E297" s="143" t="s">
        <v>1103</v>
      </c>
      <c r="F297" s="143">
        <v>1</v>
      </c>
      <c r="G297" s="143" t="s">
        <v>1106</v>
      </c>
      <c r="H297" s="149">
        <v>1</v>
      </c>
      <c r="I297" s="157">
        <v>2300</v>
      </c>
      <c r="J297" s="159">
        <f t="shared" ref="J297" si="30">H297*I297</f>
        <v>2300</v>
      </c>
      <c r="K297" s="152"/>
      <c r="M297" s="183">
        <f>L300*7%</f>
        <v>53665.745000000003</v>
      </c>
      <c r="N297" s="141" t="s">
        <v>1303</v>
      </c>
    </row>
    <row r="298" spans="1:14" s="141" customFormat="1" ht="20.25" customHeight="1">
      <c r="A298" s="147">
        <v>17</v>
      </c>
      <c r="B298" s="143" t="s">
        <v>1075</v>
      </c>
      <c r="C298" s="143" t="s">
        <v>1069</v>
      </c>
      <c r="D298" s="143" t="s">
        <v>1041</v>
      </c>
      <c r="E298" s="148" t="s">
        <v>1035</v>
      </c>
      <c r="F298" s="143">
        <v>1</v>
      </c>
      <c r="G298" s="143" t="s">
        <v>1106</v>
      </c>
      <c r="H298" s="149">
        <v>1</v>
      </c>
      <c r="I298" s="150">
        <v>800</v>
      </c>
      <c r="J298" s="151">
        <f>H298*I298</f>
        <v>800</v>
      </c>
      <c r="K298" s="152"/>
      <c r="M298" s="183">
        <f>(L300+M297)*20%</f>
        <v>164063.84900000002</v>
      </c>
      <c r="N298" s="141" t="s">
        <v>1304</v>
      </c>
    </row>
    <row r="299" spans="1:14" s="141" customFormat="1" ht="20.25" customHeight="1" thickBot="1">
      <c r="A299" s="147">
        <v>18</v>
      </c>
      <c r="B299" s="177" t="s">
        <v>1075</v>
      </c>
      <c r="C299" s="177" t="s">
        <v>1069</v>
      </c>
      <c r="D299" s="177" t="s">
        <v>1262</v>
      </c>
      <c r="E299" s="143" t="s">
        <v>1263</v>
      </c>
      <c r="F299" s="177">
        <v>1</v>
      </c>
      <c r="G299" s="177" t="s">
        <v>1116</v>
      </c>
      <c r="H299" s="178">
        <v>1</v>
      </c>
      <c r="I299" s="179">
        <v>700</v>
      </c>
      <c r="J299" s="180">
        <v>700</v>
      </c>
      <c r="K299" s="181"/>
      <c r="M299" s="183">
        <f>(L300+M297+M298)*25%</f>
        <v>246095.77350000001</v>
      </c>
      <c r="N299" s="141" t="s">
        <v>1305</v>
      </c>
    </row>
    <row r="300" spans="1:14" s="141" customFormat="1" ht="20.25" customHeight="1" thickBot="1">
      <c r="A300" s="160">
        <v>19</v>
      </c>
      <c r="B300" s="161" t="s">
        <v>1075</v>
      </c>
      <c r="C300" s="161" t="s">
        <v>1069</v>
      </c>
      <c r="D300" s="161" t="s">
        <v>1264</v>
      </c>
      <c r="E300" s="169" t="s">
        <v>1267</v>
      </c>
      <c r="F300" s="161">
        <v>1</v>
      </c>
      <c r="G300" s="161" t="s">
        <v>1266</v>
      </c>
      <c r="H300" s="162">
        <v>1</v>
      </c>
      <c r="I300" s="170">
        <v>1400</v>
      </c>
      <c r="J300" s="171">
        <f t="shared" ref="J300" si="31">H300*I300</f>
        <v>1400</v>
      </c>
      <c r="K300" s="163"/>
      <c r="L300" s="172">
        <f>SUM(J282:J300)</f>
        <v>766653.5</v>
      </c>
      <c r="M300" s="184">
        <f>L300+M296+M297+M298+M299</f>
        <v>1530478.8675000002</v>
      </c>
      <c r="N300" s="141" t="s">
        <v>1307</v>
      </c>
    </row>
    <row r="301" spans="1:14" s="141" customFormat="1" ht="7.5" customHeight="1" thickBot="1">
      <c r="D301" s="164"/>
      <c r="E301" s="164"/>
      <c r="G301" s="165"/>
      <c r="H301" s="165"/>
      <c r="I301" s="167"/>
      <c r="J301" s="168"/>
    </row>
    <row r="302" spans="1:14" s="141" customFormat="1" ht="20.25" customHeight="1">
      <c r="A302" s="142">
        <v>1</v>
      </c>
      <c r="B302" s="144" t="s">
        <v>1078</v>
      </c>
      <c r="C302" s="144" t="s">
        <v>1072</v>
      </c>
      <c r="D302" s="144" t="s">
        <v>1011</v>
      </c>
      <c r="E302" s="144" t="s">
        <v>1046</v>
      </c>
      <c r="F302" s="144">
        <v>1</v>
      </c>
      <c r="G302" s="145" t="s">
        <v>1107</v>
      </c>
      <c r="H302" s="145">
        <v>1</v>
      </c>
      <c r="I302" s="156">
        <f>409557/2</f>
        <v>204778.5</v>
      </c>
      <c r="J302" s="158">
        <f>H302*I302</f>
        <v>204778.5</v>
      </c>
      <c r="K302" s="146"/>
    </row>
    <row r="303" spans="1:14" s="141" customFormat="1" ht="20.25" customHeight="1">
      <c r="A303" s="147">
        <v>2</v>
      </c>
      <c r="B303" s="143" t="s">
        <v>1077</v>
      </c>
      <c r="C303" s="143" t="s">
        <v>1071</v>
      </c>
      <c r="D303" s="143" t="s">
        <v>1011</v>
      </c>
      <c r="E303" s="148" t="s">
        <v>1049</v>
      </c>
      <c r="F303" s="143">
        <v>1</v>
      </c>
      <c r="G303" s="149" t="s">
        <v>1107</v>
      </c>
      <c r="H303" s="149">
        <v>1</v>
      </c>
      <c r="I303" s="157">
        <f>225980</f>
        <v>225980</v>
      </c>
      <c r="J303" s="159">
        <f>H303*I303</f>
        <v>225980</v>
      </c>
      <c r="K303" s="152"/>
    </row>
    <row r="304" spans="1:14" s="141" customFormat="1" ht="20.25" customHeight="1">
      <c r="A304" s="147">
        <v>3</v>
      </c>
      <c r="B304" s="143" t="s">
        <v>1077</v>
      </c>
      <c r="C304" s="143" t="s">
        <v>1071</v>
      </c>
      <c r="D304" s="143" t="s">
        <v>1011</v>
      </c>
      <c r="E304" s="148" t="s">
        <v>1048</v>
      </c>
      <c r="F304" s="143">
        <v>1</v>
      </c>
      <c r="G304" s="149" t="s">
        <v>1107</v>
      </c>
      <c r="H304" s="149">
        <v>1</v>
      </c>
      <c r="I304" s="157">
        <f>225980/5</f>
        <v>45196</v>
      </c>
      <c r="J304" s="159">
        <f t="shared" ref="J304:J316" si="32">H304*I304</f>
        <v>45196</v>
      </c>
      <c r="K304" s="152"/>
    </row>
    <row r="305" spans="1:14" s="141" customFormat="1" ht="20.25" customHeight="1">
      <c r="A305" s="147">
        <v>4</v>
      </c>
      <c r="B305" s="143" t="s">
        <v>1077</v>
      </c>
      <c r="C305" s="143" t="s">
        <v>1071</v>
      </c>
      <c r="D305" s="143" t="s">
        <v>1013</v>
      </c>
      <c r="E305" s="148" t="s">
        <v>1034</v>
      </c>
      <c r="F305" s="143">
        <v>1</v>
      </c>
      <c r="G305" s="143" t="s">
        <v>1014</v>
      </c>
      <c r="H305" s="149">
        <v>1</v>
      </c>
      <c r="I305" s="157">
        <v>109000</v>
      </c>
      <c r="J305" s="159">
        <f t="shared" si="32"/>
        <v>109000</v>
      </c>
      <c r="K305" s="152"/>
    </row>
    <row r="306" spans="1:14" s="141" customFormat="1" ht="20.25" customHeight="1">
      <c r="A306" s="147">
        <v>5</v>
      </c>
      <c r="B306" s="143" t="s">
        <v>1077</v>
      </c>
      <c r="C306" s="143" t="s">
        <v>1071</v>
      </c>
      <c r="D306" s="143" t="s">
        <v>1015</v>
      </c>
      <c r="E306" s="148" t="s">
        <v>1044</v>
      </c>
      <c r="F306" s="143">
        <v>4</v>
      </c>
      <c r="G306" s="143" t="s">
        <v>1014</v>
      </c>
      <c r="H306" s="149">
        <v>4</v>
      </c>
      <c r="I306" s="157">
        <v>3800</v>
      </c>
      <c r="J306" s="159">
        <f t="shared" si="32"/>
        <v>15200</v>
      </c>
      <c r="K306" s="152"/>
    </row>
    <row r="307" spans="1:14" s="141" customFormat="1" ht="20.25" customHeight="1">
      <c r="A307" s="147">
        <v>6</v>
      </c>
      <c r="B307" s="143" t="s">
        <v>1077</v>
      </c>
      <c r="C307" s="143" t="s">
        <v>1071</v>
      </c>
      <c r="D307" s="143" t="s">
        <v>1020</v>
      </c>
      <c r="E307" s="143" t="s">
        <v>869</v>
      </c>
      <c r="F307" s="143">
        <v>1</v>
      </c>
      <c r="G307" s="143" t="s">
        <v>1014</v>
      </c>
      <c r="H307" s="149">
        <v>1</v>
      </c>
      <c r="I307" s="150">
        <v>22000</v>
      </c>
      <c r="J307" s="151">
        <f t="shared" si="32"/>
        <v>22000</v>
      </c>
      <c r="K307" s="152"/>
    </row>
    <row r="308" spans="1:14" s="141" customFormat="1" ht="20.25" customHeight="1">
      <c r="A308" s="147">
        <v>7</v>
      </c>
      <c r="B308" s="143" t="s">
        <v>1077</v>
      </c>
      <c r="C308" s="143" t="s">
        <v>1071</v>
      </c>
      <c r="D308" s="143" t="s">
        <v>1021</v>
      </c>
      <c r="E308" s="143" t="s">
        <v>869</v>
      </c>
      <c r="F308" s="143">
        <v>1</v>
      </c>
      <c r="G308" s="143" t="s">
        <v>1014</v>
      </c>
      <c r="H308" s="149">
        <v>1</v>
      </c>
      <c r="I308" s="150">
        <v>5500</v>
      </c>
      <c r="J308" s="151">
        <f t="shared" si="32"/>
        <v>5500</v>
      </c>
      <c r="K308" s="152"/>
    </row>
    <row r="309" spans="1:14" s="141" customFormat="1" ht="20.25" customHeight="1">
      <c r="A309" s="147">
        <v>8</v>
      </c>
      <c r="B309" s="143" t="s">
        <v>1077</v>
      </c>
      <c r="C309" s="143" t="s">
        <v>1071</v>
      </c>
      <c r="D309" s="143" t="s">
        <v>1018</v>
      </c>
      <c r="E309" s="143" t="s">
        <v>869</v>
      </c>
      <c r="F309" s="143">
        <v>1</v>
      </c>
      <c r="G309" s="143" t="s">
        <v>1019</v>
      </c>
      <c r="H309" s="149">
        <v>1</v>
      </c>
      <c r="I309" s="150">
        <v>14100</v>
      </c>
      <c r="J309" s="151">
        <f t="shared" si="32"/>
        <v>14100</v>
      </c>
      <c r="K309" s="152"/>
    </row>
    <row r="310" spans="1:14" s="141" customFormat="1" ht="20.25" customHeight="1">
      <c r="A310" s="147">
        <v>9</v>
      </c>
      <c r="B310" s="143" t="s">
        <v>1077</v>
      </c>
      <c r="C310" s="143" t="s">
        <v>1071</v>
      </c>
      <c r="D310" s="143" t="s">
        <v>1023</v>
      </c>
      <c r="E310" s="143" t="s">
        <v>870</v>
      </c>
      <c r="F310" s="143">
        <v>1</v>
      </c>
      <c r="G310" s="143" t="s">
        <v>1024</v>
      </c>
      <c r="H310" s="149">
        <v>1</v>
      </c>
      <c r="I310" s="150">
        <v>11000</v>
      </c>
      <c r="J310" s="151">
        <f t="shared" si="32"/>
        <v>11000</v>
      </c>
      <c r="K310" s="152"/>
    </row>
    <row r="311" spans="1:14" s="141" customFormat="1" ht="20.25" customHeight="1">
      <c r="A311" s="147">
        <v>10</v>
      </c>
      <c r="B311" s="143" t="s">
        <v>1077</v>
      </c>
      <c r="C311" s="143" t="s">
        <v>1071</v>
      </c>
      <c r="D311" s="143" t="s">
        <v>1251</v>
      </c>
      <c r="E311" s="143" t="s">
        <v>1252</v>
      </c>
      <c r="F311" s="143">
        <v>1</v>
      </c>
      <c r="G311" s="143" t="s">
        <v>643</v>
      </c>
      <c r="H311" s="149">
        <v>1</v>
      </c>
      <c r="I311" s="150">
        <v>10000</v>
      </c>
      <c r="J311" s="151">
        <f t="shared" si="32"/>
        <v>10000</v>
      </c>
      <c r="K311" s="152"/>
    </row>
    <row r="312" spans="1:14" s="141" customFormat="1" ht="20.25" customHeight="1">
      <c r="A312" s="147">
        <v>11</v>
      </c>
      <c r="B312" s="143" t="s">
        <v>1077</v>
      </c>
      <c r="C312" s="143" t="s">
        <v>1071</v>
      </c>
      <c r="D312" s="143" t="s">
        <v>1253</v>
      </c>
      <c r="E312" s="143"/>
      <c r="F312" s="143">
        <v>1</v>
      </c>
      <c r="G312" s="143" t="s">
        <v>1254</v>
      </c>
      <c r="H312" s="149">
        <v>1</v>
      </c>
      <c r="I312" s="150">
        <v>5000</v>
      </c>
      <c r="J312" s="151">
        <f t="shared" si="32"/>
        <v>5000</v>
      </c>
      <c r="K312" s="152"/>
    </row>
    <row r="313" spans="1:14" s="141" customFormat="1" ht="20.25" customHeight="1">
      <c r="A313" s="147">
        <v>12</v>
      </c>
      <c r="B313" s="143" t="s">
        <v>1077</v>
      </c>
      <c r="C313" s="143" t="s">
        <v>1071</v>
      </c>
      <c r="D313" s="143" t="s">
        <v>1011</v>
      </c>
      <c r="E313" s="148" t="s">
        <v>1038</v>
      </c>
      <c r="F313" s="143">
        <v>1</v>
      </c>
      <c r="G313" s="149" t="s">
        <v>1029</v>
      </c>
      <c r="H313" s="149">
        <v>1</v>
      </c>
      <c r="I313" s="157">
        <f>66590/2</f>
        <v>33295</v>
      </c>
      <c r="J313" s="159">
        <f t="shared" si="32"/>
        <v>33295</v>
      </c>
      <c r="K313" s="152"/>
    </row>
    <row r="314" spans="1:14" s="141" customFormat="1" ht="20.25" customHeight="1">
      <c r="A314" s="147">
        <v>13</v>
      </c>
      <c r="B314" s="143" t="s">
        <v>1077</v>
      </c>
      <c r="C314" s="143" t="s">
        <v>1071</v>
      </c>
      <c r="D314" s="143" t="s">
        <v>1011</v>
      </c>
      <c r="E314" s="148" t="s">
        <v>1039</v>
      </c>
      <c r="F314" s="143">
        <v>1</v>
      </c>
      <c r="G314" s="149" t="s">
        <v>1029</v>
      </c>
      <c r="H314" s="149">
        <v>1</v>
      </c>
      <c r="I314" s="157">
        <f>48660/2</f>
        <v>24330</v>
      </c>
      <c r="J314" s="159">
        <f t="shared" si="32"/>
        <v>24330</v>
      </c>
      <c r="K314" s="152"/>
    </row>
    <row r="315" spans="1:14" s="141" customFormat="1" ht="20.25" customHeight="1">
      <c r="A315" s="147">
        <v>14</v>
      </c>
      <c r="B315" s="143" t="s">
        <v>1077</v>
      </c>
      <c r="C315" s="143" t="s">
        <v>1071</v>
      </c>
      <c r="D315" s="143" t="s">
        <v>1011</v>
      </c>
      <c r="E315" s="148" t="s">
        <v>1040</v>
      </c>
      <c r="F315" s="143">
        <v>1</v>
      </c>
      <c r="G315" s="149" t="s">
        <v>1029</v>
      </c>
      <c r="H315" s="149">
        <v>1</v>
      </c>
      <c r="I315" s="157">
        <f>18222/3</f>
        <v>6074</v>
      </c>
      <c r="J315" s="159">
        <f t="shared" si="32"/>
        <v>6074</v>
      </c>
      <c r="K315" s="152"/>
      <c r="M315" s="185">
        <v>1554545</v>
      </c>
      <c r="N315" s="186" t="s">
        <v>1302</v>
      </c>
    </row>
    <row r="316" spans="1:14" s="141" customFormat="1" ht="20.25" customHeight="1">
      <c r="A316" s="147">
        <v>15</v>
      </c>
      <c r="B316" s="143" t="s">
        <v>1077</v>
      </c>
      <c r="C316" s="143" t="s">
        <v>1071</v>
      </c>
      <c r="D316" s="143" t="s">
        <v>1050</v>
      </c>
      <c r="E316" s="148" t="s">
        <v>1051</v>
      </c>
      <c r="F316" s="143">
        <v>1</v>
      </c>
      <c r="G316" s="149" t="s">
        <v>1052</v>
      </c>
      <c r="H316" s="149">
        <v>1</v>
      </c>
      <c r="I316" s="157">
        <v>30000</v>
      </c>
      <c r="J316" s="159">
        <f t="shared" si="32"/>
        <v>30000</v>
      </c>
      <c r="K316" s="152"/>
      <c r="M316" s="154">
        <f>200000+100000</f>
        <v>300000</v>
      </c>
      <c r="N316" s="210" t="s">
        <v>1561</v>
      </c>
    </row>
    <row r="317" spans="1:14" s="141" customFormat="1" ht="20.25" customHeight="1">
      <c r="A317" s="147">
        <v>16</v>
      </c>
      <c r="B317" s="143" t="s">
        <v>1077</v>
      </c>
      <c r="C317" s="143" t="s">
        <v>1071</v>
      </c>
      <c r="D317" s="143" t="s">
        <v>1027</v>
      </c>
      <c r="E317" s="143" t="s">
        <v>1103</v>
      </c>
      <c r="F317" s="143">
        <v>1</v>
      </c>
      <c r="G317" s="143" t="s">
        <v>1024</v>
      </c>
      <c r="H317" s="149">
        <v>1</v>
      </c>
      <c r="I317" s="157">
        <v>2300</v>
      </c>
      <c r="J317" s="159">
        <f t="shared" ref="J317" si="33">H317*I317</f>
        <v>2300</v>
      </c>
      <c r="K317" s="152"/>
      <c r="M317" s="183">
        <f>L320*7%</f>
        <v>53665.745000000003</v>
      </c>
      <c r="N317" s="141" t="s">
        <v>1303</v>
      </c>
    </row>
    <row r="318" spans="1:14" s="141" customFormat="1" ht="20.25" customHeight="1">
      <c r="A318" s="147">
        <v>17</v>
      </c>
      <c r="B318" s="143" t="s">
        <v>1077</v>
      </c>
      <c r="C318" s="143" t="s">
        <v>1071</v>
      </c>
      <c r="D318" s="143" t="s">
        <v>1041</v>
      </c>
      <c r="E318" s="148" t="s">
        <v>1035</v>
      </c>
      <c r="F318" s="143">
        <v>1</v>
      </c>
      <c r="G318" s="143" t="s">
        <v>1024</v>
      </c>
      <c r="H318" s="149">
        <v>1</v>
      </c>
      <c r="I318" s="150">
        <v>800</v>
      </c>
      <c r="J318" s="151">
        <f>H318*I318</f>
        <v>800</v>
      </c>
      <c r="K318" s="152"/>
      <c r="M318" s="183">
        <f>(L320+M317)*20%</f>
        <v>164063.84900000002</v>
      </c>
      <c r="N318" s="141" t="s">
        <v>1304</v>
      </c>
    </row>
    <row r="319" spans="1:14" s="141" customFormat="1" ht="20.25" customHeight="1" thickBot="1">
      <c r="A319" s="147">
        <v>18</v>
      </c>
      <c r="B319" s="177" t="s">
        <v>1077</v>
      </c>
      <c r="C319" s="177" t="s">
        <v>1071</v>
      </c>
      <c r="D319" s="177" t="s">
        <v>1262</v>
      </c>
      <c r="E319" s="143" t="s">
        <v>1263</v>
      </c>
      <c r="F319" s="177">
        <v>1</v>
      </c>
      <c r="G319" s="177" t="s">
        <v>1116</v>
      </c>
      <c r="H319" s="178">
        <v>1</v>
      </c>
      <c r="I319" s="179">
        <v>700</v>
      </c>
      <c r="J319" s="180">
        <v>700</v>
      </c>
      <c r="K319" s="181"/>
      <c r="M319" s="183">
        <f>(L320+M317+M318)*25%</f>
        <v>246095.77350000001</v>
      </c>
      <c r="N319" s="141" t="s">
        <v>1305</v>
      </c>
    </row>
    <row r="320" spans="1:14" s="141" customFormat="1" ht="20.25" customHeight="1" thickBot="1">
      <c r="A320" s="160">
        <v>19</v>
      </c>
      <c r="B320" s="161" t="s">
        <v>1077</v>
      </c>
      <c r="C320" s="161" t="s">
        <v>1071</v>
      </c>
      <c r="D320" s="161" t="s">
        <v>1264</v>
      </c>
      <c r="E320" s="169" t="s">
        <v>1267</v>
      </c>
      <c r="F320" s="161">
        <v>1</v>
      </c>
      <c r="G320" s="161" t="s">
        <v>1266</v>
      </c>
      <c r="H320" s="162">
        <v>1</v>
      </c>
      <c r="I320" s="170">
        <v>1400</v>
      </c>
      <c r="J320" s="171">
        <f t="shared" ref="J320" si="34">H320*I320</f>
        <v>1400</v>
      </c>
      <c r="K320" s="163"/>
      <c r="L320" s="172">
        <f>SUM(J302:J320)</f>
        <v>766653.5</v>
      </c>
      <c r="M320" s="184">
        <f>L320+M316+M317+M318+M319</f>
        <v>1530478.8675000002</v>
      </c>
      <c r="N320" s="141" t="s">
        <v>1307</v>
      </c>
    </row>
    <row r="321" spans="1:14" s="141" customFormat="1" ht="7.5" customHeight="1" thickBot="1">
      <c r="D321" s="164"/>
      <c r="E321" s="164"/>
      <c r="G321" s="165"/>
      <c r="H321" s="165"/>
      <c r="I321" s="167"/>
      <c r="J321" s="168"/>
    </row>
    <row r="322" spans="1:14" s="141" customFormat="1" ht="20.25" customHeight="1">
      <c r="A322" s="142">
        <v>1</v>
      </c>
      <c r="B322" s="144" t="s">
        <v>1083</v>
      </c>
      <c r="C322" s="144" t="s">
        <v>1080</v>
      </c>
      <c r="D322" s="144" t="s">
        <v>1011</v>
      </c>
      <c r="E322" s="144" t="s">
        <v>1046</v>
      </c>
      <c r="F322" s="144">
        <v>1</v>
      </c>
      <c r="G322" s="145" t="s">
        <v>1012</v>
      </c>
      <c r="H322" s="145">
        <v>1</v>
      </c>
      <c r="I322" s="156">
        <f>409557/2</f>
        <v>204778.5</v>
      </c>
      <c r="J322" s="158">
        <f>H322*I322</f>
        <v>204778.5</v>
      </c>
      <c r="K322" s="146"/>
    </row>
    <row r="323" spans="1:14" s="141" customFormat="1" ht="20.25" customHeight="1">
      <c r="A323" s="147">
        <v>2</v>
      </c>
      <c r="B323" s="143" t="s">
        <v>1090</v>
      </c>
      <c r="C323" s="143" t="s">
        <v>1091</v>
      </c>
      <c r="D323" s="143" t="s">
        <v>1011</v>
      </c>
      <c r="E323" s="148" t="s">
        <v>1047</v>
      </c>
      <c r="F323" s="143">
        <v>1</v>
      </c>
      <c r="G323" s="149" t="s">
        <v>1012</v>
      </c>
      <c r="H323" s="149">
        <v>1</v>
      </c>
      <c r="I323" s="157">
        <f>225980</f>
        <v>225980</v>
      </c>
      <c r="J323" s="159">
        <f>H323*I323</f>
        <v>225980</v>
      </c>
      <c r="K323" s="152"/>
    </row>
    <row r="324" spans="1:14" s="141" customFormat="1" ht="20.25" customHeight="1">
      <c r="A324" s="147">
        <v>3</v>
      </c>
      <c r="B324" s="143" t="s">
        <v>1090</v>
      </c>
      <c r="C324" s="143" t="s">
        <v>1091</v>
      </c>
      <c r="D324" s="143" t="s">
        <v>1011</v>
      </c>
      <c r="E324" s="148" t="s">
        <v>1043</v>
      </c>
      <c r="F324" s="143">
        <v>1</v>
      </c>
      <c r="G324" s="149" t="s">
        <v>1012</v>
      </c>
      <c r="H324" s="149">
        <v>1</v>
      </c>
      <c r="I324" s="157">
        <f>225980/5</f>
        <v>45196</v>
      </c>
      <c r="J324" s="159">
        <f t="shared" ref="J324:J338" si="35">H324*I324</f>
        <v>45196</v>
      </c>
      <c r="K324" s="152"/>
    </row>
    <row r="325" spans="1:14" s="141" customFormat="1" ht="20.25" customHeight="1">
      <c r="A325" s="147">
        <v>4</v>
      </c>
      <c r="B325" s="143" t="s">
        <v>1090</v>
      </c>
      <c r="C325" s="143" t="s">
        <v>1091</v>
      </c>
      <c r="D325" s="143" t="s">
        <v>1013</v>
      </c>
      <c r="E325" s="148" t="s">
        <v>1034</v>
      </c>
      <c r="F325" s="143">
        <v>1</v>
      </c>
      <c r="G325" s="143" t="s">
        <v>1014</v>
      </c>
      <c r="H325" s="149">
        <v>1</v>
      </c>
      <c r="I325" s="157">
        <v>109000</v>
      </c>
      <c r="J325" s="159">
        <f t="shared" si="35"/>
        <v>109000</v>
      </c>
      <c r="K325" s="152"/>
    </row>
    <row r="326" spans="1:14" s="141" customFormat="1" ht="20.25" customHeight="1">
      <c r="A326" s="147">
        <v>5</v>
      </c>
      <c r="B326" s="143" t="s">
        <v>1090</v>
      </c>
      <c r="C326" s="143" t="s">
        <v>1091</v>
      </c>
      <c r="D326" s="143" t="s">
        <v>1015</v>
      </c>
      <c r="E326" s="148" t="s">
        <v>1044</v>
      </c>
      <c r="F326" s="143">
        <v>4</v>
      </c>
      <c r="G326" s="143" t="s">
        <v>1014</v>
      </c>
      <c r="H326" s="149">
        <v>4</v>
      </c>
      <c r="I326" s="157">
        <v>3800</v>
      </c>
      <c r="J326" s="159">
        <f t="shared" si="35"/>
        <v>15200</v>
      </c>
      <c r="K326" s="152"/>
    </row>
    <row r="327" spans="1:14" s="141" customFormat="1" ht="20.25" customHeight="1">
      <c r="A327" s="147">
        <v>6</v>
      </c>
      <c r="B327" s="143" t="s">
        <v>1090</v>
      </c>
      <c r="C327" s="143" t="s">
        <v>1091</v>
      </c>
      <c r="D327" s="143" t="s">
        <v>1020</v>
      </c>
      <c r="E327" s="143" t="s">
        <v>869</v>
      </c>
      <c r="F327" s="143">
        <v>1</v>
      </c>
      <c r="G327" s="143" t="s">
        <v>1014</v>
      </c>
      <c r="H327" s="149">
        <v>1</v>
      </c>
      <c r="I327" s="150">
        <v>22000</v>
      </c>
      <c r="J327" s="151">
        <f t="shared" si="35"/>
        <v>22000</v>
      </c>
      <c r="K327" s="152"/>
    </row>
    <row r="328" spans="1:14" s="141" customFormat="1" ht="20.25" customHeight="1">
      <c r="A328" s="147">
        <v>7</v>
      </c>
      <c r="B328" s="143" t="s">
        <v>1090</v>
      </c>
      <c r="C328" s="143" t="s">
        <v>1091</v>
      </c>
      <c r="D328" s="143" t="s">
        <v>1021</v>
      </c>
      <c r="E328" s="143" t="s">
        <v>869</v>
      </c>
      <c r="F328" s="143">
        <v>1</v>
      </c>
      <c r="G328" s="143" t="s">
        <v>1014</v>
      </c>
      <c r="H328" s="149">
        <v>1</v>
      </c>
      <c r="I328" s="150">
        <v>5500</v>
      </c>
      <c r="J328" s="151">
        <f t="shared" si="35"/>
        <v>5500</v>
      </c>
      <c r="K328" s="152"/>
    </row>
    <row r="329" spans="1:14" s="141" customFormat="1" ht="20.25" customHeight="1">
      <c r="A329" s="147">
        <v>8</v>
      </c>
      <c r="B329" s="143" t="s">
        <v>1090</v>
      </c>
      <c r="C329" s="143" t="s">
        <v>1091</v>
      </c>
      <c r="D329" s="143" t="s">
        <v>1016</v>
      </c>
      <c r="E329" s="143" t="s">
        <v>868</v>
      </c>
      <c r="F329" s="143">
        <v>1</v>
      </c>
      <c r="G329" s="143" t="s">
        <v>1017</v>
      </c>
      <c r="H329" s="149">
        <v>1</v>
      </c>
      <c r="I329" s="150">
        <v>32000</v>
      </c>
      <c r="J329" s="151">
        <f t="shared" si="35"/>
        <v>32000</v>
      </c>
      <c r="K329" s="152"/>
    </row>
    <row r="330" spans="1:14" s="141" customFormat="1" ht="20.25" customHeight="1">
      <c r="A330" s="147">
        <v>9</v>
      </c>
      <c r="B330" s="143" t="s">
        <v>1090</v>
      </c>
      <c r="C330" s="143" t="s">
        <v>1091</v>
      </c>
      <c r="D330" s="143" t="s">
        <v>1018</v>
      </c>
      <c r="E330" s="143" t="s">
        <v>869</v>
      </c>
      <c r="F330" s="143">
        <v>1</v>
      </c>
      <c r="G330" s="143" t="s">
        <v>1019</v>
      </c>
      <c r="H330" s="149">
        <v>1</v>
      </c>
      <c r="I330" s="150">
        <v>14100</v>
      </c>
      <c r="J330" s="151">
        <f t="shared" si="35"/>
        <v>14100</v>
      </c>
      <c r="K330" s="152"/>
    </row>
    <row r="331" spans="1:14" s="141" customFormat="1" ht="20.25" customHeight="1">
      <c r="A331" s="147">
        <v>10</v>
      </c>
      <c r="B331" s="143" t="s">
        <v>1090</v>
      </c>
      <c r="C331" s="143" t="s">
        <v>1091</v>
      </c>
      <c r="D331" s="143" t="s">
        <v>1023</v>
      </c>
      <c r="E331" s="143" t="s">
        <v>870</v>
      </c>
      <c r="F331" s="143">
        <v>1</v>
      </c>
      <c r="G331" s="143" t="s">
        <v>1024</v>
      </c>
      <c r="H331" s="149">
        <v>1</v>
      </c>
      <c r="I331" s="150">
        <v>11000</v>
      </c>
      <c r="J331" s="151">
        <f t="shared" si="35"/>
        <v>11000</v>
      </c>
      <c r="K331" s="152"/>
    </row>
    <row r="332" spans="1:14" s="141" customFormat="1" ht="20.25" customHeight="1">
      <c r="A332" s="147">
        <v>11</v>
      </c>
      <c r="B332" s="143" t="s">
        <v>1090</v>
      </c>
      <c r="C332" s="143" t="s">
        <v>1091</v>
      </c>
      <c r="D332" s="143" t="s">
        <v>1251</v>
      </c>
      <c r="E332" s="143" t="s">
        <v>1252</v>
      </c>
      <c r="F332" s="143">
        <v>1</v>
      </c>
      <c r="G332" s="143" t="s">
        <v>643</v>
      </c>
      <c r="H332" s="149">
        <v>1</v>
      </c>
      <c r="I332" s="150">
        <v>10000</v>
      </c>
      <c r="J332" s="151">
        <f t="shared" si="35"/>
        <v>10000</v>
      </c>
      <c r="K332" s="152"/>
    </row>
    <row r="333" spans="1:14" s="141" customFormat="1" ht="20.25" customHeight="1">
      <c r="A333" s="147">
        <v>12</v>
      </c>
      <c r="B333" s="143" t="s">
        <v>1090</v>
      </c>
      <c r="C333" s="143" t="s">
        <v>1091</v>
      </c>
      <c r="D333" s="143" t="s">
        <v>1253</v>
      </c>
      <c r="E333" s="143"/>
      <c r="F333" s="143">
        <v>1</v>
      </c>
      <c r="G333" s="143" t="s">
        <v>1254</v>
      </c>
      <c r="H333" s="149">
        <v>1</v>
      </c>
      <c r="I333" s="150">
        <v>5000</v>
      </c>
      <c r="J333" s="151">
        <f t="shared" si="35"/>
        <v>5000</v>
      </c>
      <c r="K333" s="152"/>
    </row>
    <row r="334" spans="1:14" s="141" customFormat="1" ht="20.25" customHeight="1">
      <c r="A334" s="147">
        <v>13</v>
      </c>
      <c r="B334" s="143" t="s">
        <v>1090</v>
      </c>
      <c r="C334" s="143" t="s">
        <v>1091</v>
      </c>
      <c r="D334" s="143" t="s">
        <v>1011</v>
      </c>
      <c r="E334" s="148" t="s">
        <v>1038</v>
      </c>
      <c r="F334" s="143">
        <v>1</v>
      </c>
      <c r="G334" s="149" t="s">
        <v>1029</v>
      </c>
      <c r="H334" s="149">
        <v>1</v>
      </c>
      <c r="I334" s="157">
        <f>66590/2</f>
        <v>33295</v>
      </c>
      <c r="J334" s="159">
        <f t="shared" si="35"/>
        <v>33295</v>
      </c>
      <c r="K334" s="152"/>
    </row>
    <row r="335" spans="1:14" s="141" customFormat="1" ht="20.25" customHeight="1">
      <c r="A335" s="147">
        <v>14</v>
      </c>
      <c r="B335" s="143" t="s">
        <v>1090</v>
      </c>
      <c r="C335" s="143" t="s">
        <v>1091</v>
      </c>
      <c r="D335" s="143" t="s">
        <v>1011</v>
      </c>
      <c r="E335" s="148" t="s">
        <v>1039</v>
      </c>
      <c r="F335" s="143">
        <v>1</v>
      </c>
      <c r="G335" s="149" t="s">
        <v>1029</v>
      </c>
      <c r="H335" s="149">
        <v>1</v>
      </c>
      <c r="I335" s="157">
        <f>48660/2</f>
        <v>24330</v>
      </c>
      <c r="J335" s="159">
        <f t="shared" si="35"/>
        <v>24330</v>
      </c>
      <c r="K335" s="152"/>
    </row>
    <row r="336" spans="1:14" s="141" customFormat="1" ht="20.25" customHeight="1">
      <c r="A336" s="147">
        <v>15</v>
      </c>
      <c r="B336" s="143" t="s">
        <v>1090</v>
      </c>
      <c r="C336" s="143" t="s">
        <v>1091</v>
      </c>
      <c r="D336" s="143" t="s">
        <v>1011</v>
      </c>
      <c r="E336" s="148" t="s">
        <v>1108</v>
      </c>
      <c r="F336" s="143">
        <v>1</v>
      </c>
      <c r="G336" s="149" t="s">
        <v>1029</v>
      </c>
      <c r="H336" s="149">
        <v>1</v>
      </c>
      <c r="I336" s="157">
        <f>18222/3</f>
        <v>6074</v>
      </c>
      <c r="J336" s="159">
        <f t="shared" si="35"/>
        <v>6074</v>
      </c>
      <c r="K336" s="152"/>
      <c r="M336" s="185">
        <v>1627273</v>
      </c>
      <c r="N336" s="186" t="s">
        <v>1302</v>
      </c>
    </row>
    <row r="337" spans="1:14" s="141" customFormat="1" ht="20.25" customHeight="1">
      <c r="A337" s="147">
        <v>16</v>
      </c>
      <c r="B337" s="143" t="s">
        <v>1090</v>
      </c>
      <c r="C337" s="143" t="s">
        <v>1091</v>
      </c>
      <c r="D337" s="143" t="s">
        <v>1050</v>
      </c>
      <c r="E337" s="148" t="s">
        <v>1051</v>
      </c>
      <c r="F337" s="143">
        <v>1</v>
      </c>
      <c r="G337" s="149" t="s">
        <v>1079</v>
      </c>
      <c r="H337" s="149">
        <v>1</v>
      </c>
      <c r="I337" s="157">
        <v>30000</v>
      </c>
      <c r="J337" s="159">
        <f t="shared" si="35"/>
        <v>30000</v>
      </c>
      <c r="K337" s="152"/>
      <c r="M337" s="154">
        <f>200000+100000</f>
        <v>300000</v>
      </c>
      <c r="N337" s="210" t="s">
        <v>1561</v>
      </c>
    </row>
    <row r="338" spans="1:14" s="141" customFormat="1" ht="20.25" customHeight="1">
      <c r="A338" s="147">
        <v>17</v>
      </c>
      <c r="B338" s="143" t="s">
        <v>1090</v>
      </c>
      <c r="C338" s="143" t="s">
        <v>1091</v>
      </c>
      <c r="D338" s="143" t="s">
        <v>1027</v>
      </c>
      <c r="E338" s="143" t="s">
        <v>1103</v>
      </c>
      <c r="F338" s="143">
        <v>1</v>
      </c>
      <c r="G338" s="143" t="s">
        <v>1024</v>
      </c>
      <c r="H338" s="149">
        <v>1</v>
      </c>
      <c r="I338" s="157">
        <v>2300</v>
      </c>
      <c r="J338" s="159">
        <f t="shared" si="35"/>
        <v>2300</v>
      </c>
      <c r="K338" s="152"/>
      <c r="M338" s="183">
        <f>L341*7%</f>
        <v>55905.745000000003</v>
      </c>
      <c r="N338" s="141" t="s">
        <v>1303</v>
      </c>
    </row>
    <row r="339" spans="1:14" s="141" customFormat="1" ht="20.25" customHeight="1">
      <c r="A339" s="147">
        <v>18</v>
      </c>
      <c r="B339" s="143" t="s">
        <v>1090</v>
      </c>
      <c r="C339" s="143" t="s">
        <v>1091</v>
      </c>
      <c r="D339" s="143" t="s">
        <v>1041</v>
      </c>
      <c r="E339" s="148" t="s">
        <v>1035</v>
      </c>
      <c r="F339" s="143">
        <v>1</v>
      </c>
      <c r="G339" s="143" t="s">
        <v>1024</v>
      </c>
      <c r="H339" s="149">
        <v>1</v>
      </c>
      <c r="I339" s="150">
        <v>800</v>
      </c>
      <c r="J339" s="151">
        <f>H339*I339</f>
        <v>800</v>
      </c>
      <c r="K339" s="152"/>
      <c r="M339" s="183">
        <f>(L341+M338)*20%</f>
        <v>170911.84900000002</v>
      </c>
      <c r="N339" s="141" t="s">
        <v>1304</v>
      </c>
    </row>
    <row r="340" spans="1:14" s="141" customFormat="1" ht="20.25" customHeight="1" thickBot="1">
      <c r="A340" s="147">
        <v>19</v>
      </c>
      <c r="B340" s="177" t="s">
        <v>1090</v>
      </c>
      <c r="C340" s="177" t="s">
        <v>1091</v>
      </c>
      <c r="D340" s="177" t="s">
        <v>1262</v>
      </c>
      <c r="E340" s="143" t="s">
        <v>1263</v>
      </c>
      <c r="F340" s="177">
        <v>1</v>
      </c>
      <c r="G340" s="177" t="s">
        <v>1116</v>
      </c>
      <c r="H340" s="178">
        <v>1</v>
      </c>
      <c r="I340" s="179">
        <v>700</v>
      </c>
      <c r="J340" s="180">
        <v>700</v>
      </c>
      <c r="K340" s="181"/>
      <c r="M340" s="183">
        <f>(L341+M338+M339)*25%</f>
        <v>256367.77350000001</v>
      </c>
      <c r="N340" s="141" t="s">
        <v>1305</v>
      </c>
    </row>
    <row r="341" spans="1:14" s="141" customFormat="1" ht="20.25" customHeight="1" thickBot="1">
      <c r="A341" s="160">
        <v>20</v>
      </c>
      <c r="B341" s="161" t="s">
        <v>1090</v>
      </c>
      <c r="C341" s="161" t="s">
        <v>1091</v>
      </c>
      <c r="D341" s="161" t="s">
        <v>1264</v>
      </c>
      <c r="E341" s="169" t="s">
        <v>1267</v>
      </c>
      <c r="F341" s="161">
        <v>1</v>
      </c>
      <c r="G341" s="161" t="s">
        <v>1266</v>
      </c>
      <c r="H341" s="162">
        <v>1</v>
      </c>
      <c r="I341" s="170">
        <v>1400</v>
      </c>
      <c r="J341" s="171">
        <f t="shared" ref="J341" si="36">H341*I341</f>
        <v>1400</v>
      </c>
      <c r="K341" s="163"/>
      <c r="L341" s="172">
        <f>SUM(J322:J341)</f>
        <v>798653.5</v>
      </c>
      <c r="M341" s="184">
        <f>L341+M337+M338+M339+M340</f>
        <v>1581838.8675000002</v>
      </c>
      <c r="N341" s="141" t="s">
        <v>1307</v>
      </c>
    </row>
    <row r="342" spans="1:14" s="141" customFormat="1" ht="7.5" customHeight="1" thickBot="1">
      <c r="D342" s="164"/>
      <c r="E342" s="164"/>
      <c r="G342" s="165"/>
      <c r="H342" s="165"/>
      <c r="I342" s="167"/>
      <c r="J342" s="168"/>
    </row>
    <row r="343" spans="1:14" s="141" customFormat="1" ht="20.25" customHeight="1">
      <c r="A343" s="142">
        <v>1</v>
      </c>
      <c r="B343" s="144" t="s">
        <v>1084</v>
      </c>
      <c r="C343" s="144" t="s">
        <v>1081</v>
      </c>
      <c r="D343" s="144" t="s">
        <v>1011</v>
      </c>
      <c r="E343" s="144" t="s">
        <v>1046</v>
      </c>
      <c r="F343" s="144">
        <v>1</v>
      </c>
      <c r="G343" s="145" t="s">
        <v>1012</v>
      </c>
      <c r="H343" s="145">
        <v>1</v>
      </c>
      <c r="I343" s="156">
        <f>409557/2</f>
        <v>204778.5</v>
      </c>
      <c r="J343" s="158">
        <f>H343*I343</f>
        <v>204778.5</v>
      </c>
      <c r="K343" s="146"/>
    </row>
    <row r="344" spans="1:14" s="141" customFormat="1" ht="20.25" customHeight="1">
      <c r="A344" s="147">
        <v>2</v>
      </c>
      <c r="B344" s="143" t="s">
        <v>1095</v>
      </c>
      <c r="C344" s="143" t="s">
        <v>1096</v>
      </c>
      <c r="D344" s="143" t="s">
        <v>1011</v>
      </c>
      <c r="E344" s="148" t="s">
        <v>1058</v>
      </c>
      <c r="F344" s="143">
        <v>1</v>
      </c>
      <c r="G344" s="149" t="s">
        <v>1012</v>
      </c>
      <c r="H344" s="149">
        <v>1</v>
      </c>
      <c r="I344" s="157">
        <f>225980</f>
        <v>225980</v>
      </c>
      <c r="J344" s="159">
        <f>H344*I344</f>
        <v>225980</v>
      </c>
      <c r="K344" s="152"/>
    </row>
    <row r="345" spans="1:14" s="141" customFormat="1" ht="20.25" customHeight="1">
      <c r="A345" s="147">
        <v>3</v>
      </c>
      <c r="B345" s="143" t="s">
        <v>1095</v>
      </c>
      <c r="C345" s="143" t="s">
        <v>1096</v>
      </c>
      <c r="D345" s="143" t="s">
        <v>1011</v>
      </c>
      <c r="E345" s="148" t="s">
        <v>1048</v>
      </c>
      <c r="F345" s="143">
        <v>1</v>
      </c>
      <c r="G345" s="149" t="s">
        <v>1012</v>
      </c>
      <c r="H345" s="149">
        <v>1</v>
      </c>
      <c r="I345" s="157">
        <f>225980/5</f>
        <v>45196</v>
      </c>
      <c r="J345" s="159">
        <f t="shared" ref="J345:J359" si="37">H345*I345</f>
        <v>45196</v>
      </c>
      <c r="K345" s="152"/>
    </row>
    <row r="346" spans="1:14" s="141" customFormat="1" ht="20.25" customHeight="1">
      <c r="A346" s="147">
        <v>4</v>
      </c>
      <c r="B346" s="143" t="s">
        <v>1095</v>
      </c>
      <c r="C346" s="143" t="s">
        <v>1096</v>
      </c>
      <c r="D346" s="143" t="s">
        <v>1013</v>
      </c>
      <c r="E346" s="148" t="s">
        <v>1034</v>
      </c>
      <c r="F346" s="143">
        <v>1</v>
      </c>
      <c r="G346" s="143" t="s">
        <v>1014</v>
      </c>
      <c r="H346" s="149">
        <v>1</v>
      </c>
      <c r="I346" s="157">
        <v>109000</v>
      </c>
      <c r="J346" s="159">
        <f t="shared" si="37"/>
        <v>109000</v>
      </c>
      <c r="K346" s="152"/>
    </row>
    <row r="347" spans="1:14" s="141" customFormat="1" ht="20.25" customHeight="1">
      <c r="A347" s="147">
        <v>5</v>
      </c>
      <c r="B347" s="143" t="s">
        <v>1095</v>
      </c>
      <c r="C347" s="143" t="s">
        <v>1096</v>
      </c>
      <c r="D347" s="143" t="s">
        <v>1015</v>
      </c>
      <c r="E347" s="148" t="s">
        <v>1044</v>
      </c>
      <c r="F347" s="143">
        <v>4</v>
      </c>
      <c r="G347" s="143" t="s">
        <v>1014</v>
      </c>
      <c r="H347" s="149">
        <v>4</v>
      </c>
      <c r="I347" s="157">
        <v>3800</v>
      </c>
      <c r="J347" s="159">
        <f t="shared" si="37"/>
        <v>15200</v>
      </c>
      <c r="K347" s="152"/>
    </row>
    <row r="348" spans="1:14" s="141" customFormat="1" ht="20.25" customHeight="1">
      <c r="A348" s="147">
        <v>6</v>
      </c>
      <c r="B348" s="143" t="s">
        <v>1095</v>
      </c>
      <c r="C348" s="143" t="s">
        <v>1096</v>
      </c>
      <c r="D348" s="143" t="s">
        <v>1020</v>
      </c>
      <c r="E348" s="143" t="s">
        <v>869</v>
      </c>
      <c r="F348" s="143">
        <v>1</v>
      </c>
      <c r="G348" s="143" t="s">
        <v>1014</v>
      </c>
      <c r="H348" s="149">
        <v>1</v>
      </c>
      <c r="I348" s="150">
        <v>22000</v>
      </c>
      <c r="J348" s="151">
        <f t="shared" si="37"/>
        <v>22000</v>
      </c>
      <c r="K348" s="152"/>
    </row>
    <row r="349" spans="1:14" s="141" customFormat="1" ht="20.25" customHeight="1">
      <c r="A349" s="147">
        <v>7</v>
      </c>
      <c r="B349" s="143" t="s">
        <v>1095</v>
      </c>
      <c r="C349" s="143" t="s">
        <v>1096</v>
      </c>
      <c r="D349" s="143" t="s">
        <v>1021</v>
      </c>
      <c r="E349" s="143" t="s">
        <v>869</v>
      </c>
      <c r="F349" s="143">
        <v>1</v>
      </c>
      <c r="G349" s="143" t="s">
        <v>1014</v>
      </c>
      <c r="H349" s="149">
        <v>1</v>
      </c>
      <c r="I349" s="150">
        <v>5500</v>
      </c>
      <c r="J349" s="151">
        <f t="shared" si="37"/>
        <v>5500</v>
      </c>
      <c r="K349" s="152"/>
    </row>
    <row r="350" spans="1:14" s="141" customFormat="1" ht="20.25" customHeight="1">
      <c r="A350" s="147">
        <v>8</v>
      </c>
      <c r="B350" s="143" t="s">
        <v>1095</v>
      </c>
      <c r="C350" s="143" t="s">
        <v>1096</v>
      </c>
      <c r="D350" s="143" t="s">
        <v>1016</v>
      </c>
      <c r="E350" s="143" t="s">
        <v>868</v>
      </c>
      <c r="F350" s="143">
        <v>1</v>
      </c>
      <c r="G350" s="143" t="s">
        <v>1017</v>
      </c>
      <c r="H350" s="149">
        <v>1</v>
      </c>
      <c r="I350" s="150">
        <v>32000</v>
      </c>
      <c r="J350" s="151">
        <f t="shared" si="37"/>
        <v>32000</v>
      </c>
      <c r="K350" s="152"/>
    </row>
    <row r="351" spans="1:14" s="141" customFormat="1" ht="20.25" customHeight="1">
      <c r="A351" s="147">
        <v>9</v>
      </c>
      <c r="B351" s="143" t="s">
        <v>1095</v>
      </c>
      <c r="C351" s="143" t="s">
        <v>1096</v>
      </c>
      <c r="D351" s="143" t="s">
        <v>1018</v>
      </c>
      <c r="E351" s="143" t="s">
        <v>869</v>
      </c>
      <c r="F351" s="143">
        <v>1</v>
      </c>
      <c r="G351" s="143" t="s">
        <v>1019</v>
      </c>
      <c r="H351" s="149">
        <v>1</v>
      </c>
      <c r="I351" s="150">
        <v>14100</v>
      </c>
      <c r="J351" s="151">
        <f t="shared" si="37"/>
        <v>14100</v>
      </c>
      <c r="K351" s="152"/>
    </row>
    <row r="352" spans="1:14" s="141" customFormat="1" ht="20.25" customHeight="1">
      <c r="A352" s="147">
        <v>10</v>
      </c>
      <c r="B352" s="143" t="s">
        <v>1095</v>
      </c>
      <c r="C352" s="143" t="s">
        <v>1096</v>
      </c>
      <c r="D352" s="143" t="s">
        <v>1023</v>
      </c>
      <c r="E352" s="143" t="s">
        <v>870</v>
      </c>
      <c r="F352" s="143">
        <v>1</v>
      </c>
      <c r="G352" s="143" t="s">
        <v>1024</v>
      </c>
      <c r="H352" s="149">
        <v>1</v>
      </c>
      <c r="I352" s="150">
        <v>11000</v>
      </c>
      <c r="J352" s="151">
        <f t="shared" si="37"/>
        <v>11000</v>
      </c>
      <c r="K352" s="152"/>
    </row>
    <row r="353" spans="1:14" s="141" customFormat="1" ht="20.25" customHeight="1">
      <c r="A353" s="147">
        <v>11</v>
      </c>
      <c r="B353" s="143" t="s">
        <v>1095</v>
      </c>
      <c r="C353" s="143" t="s">
        <v>1096</v>
      </c>
      <c r="D353" s="143" t="s">
        <v>1251</v>
      </c>
      <c r="E353" s="143" t="s">
        <v>1252</v>
      </c>
      <c r="F353" s="143">
        <v>1</v>
      </c>
      <c r="G353" s="143" t="s">
        <v>643</v>
      </c>
      <c r="H353" s="149">
        <v>1</v>
      </c>
      <c r="I353" s="150">
        <v>10000</v>
      </c>
      <c r="J353" s="151">
        <f t="shared" si="37"/>
        <v>10000</v>
      </c>
      <c r="K353" s="152"/>
    </row>
    <row r="354" spans="1:14" s="141" customFormat="1" ht="20.25" customHeight="1">
      <c r="A354" s="147">
        <v>12</v>
      </c>
      <c r="B354" s="143" t="s">
        <v>1095</v>
      </c>
      <c r="C354" s="143" t="s">
        <v>1096</v>
      </c>
      <c r="D354" s="143" t="s">
        <v>1253</v>
      </c>
      <c r="E354" s="143"/>
      <c r="F354" s="143">
        <v>1</v>
      </c>
      <c r="G354" s="143" t="s">
        <v>1254</v>
      </c>
      <c r="H354" s="149">
        <v>1</v>
      </c>
      <c r="I354" s="150">
        <v>5000</v>
      </c>
      <c r="J354" s="151">
        <f t="shared" si="37"/>
        <v>5000</v>
      </c>
      <c r="K354" s="152"/>
    </row>
    <row r="355" spans="1:14" s="141" customFormat="1" ht="20.25" customHeight="1">
      <c r="A355" s="147">
        <v>13</v>
      </c>
      <c r="B355" s="143" t="s">
        <v>1095</v>
      </c>
      <c r="C355" s="143" t="s">
        <v>1096</v>
      </c>
      <c r="D355" s="143" t="s">
        <v>1011</v>
      </c>
      <c r="E355" s="148" t="s">
        <v>1092</v>
      </c>
      <c r="F355" s="143">
        <v>1</v>
      </c>
      <c r="G355" s="149" t="s">
        <v>1104</v>
      </c>
      <c r="H355" s="149">
        <v>1</v>
      </c>
      <c r="I355" s="157">
        <f>66590/2</f>
        <v>33295</v>
      </c>
      <c r="J355" s="159">
        <f t="shared" si="37"/>
        <v>33295</v>
      </c>
      <c r="K355" s="152"/>
    </row>
    <row r="356" spans="1:14" s="141" customFormat="1" ht="20.25" customHeight="1">
      <c r="A356" s="147">
        <v>14</v>
      </c>
      <c r="B356" s="143" t="s">
        <v>1095</v>
      </c>
      <c r="C356" s="143" t="s">
        <v>1096</v>
      </c>
      <c r="D356" s="143" t="s">
        <v>1011</v>
      </c>
      <c r="E356" s="148" t="s">
        <v>1093</v>
      </c>
      <c r="F356" s="143">
        <v>1</v>
      </c>
      <c r="G356" s="149" t="s">
        <v>1104</v>
      </c>
      <c r="H356" s="149">
        <v>1</v>
      </c>
      <c r="I356" s="157">
        <f>48660/2</f>
        <v>24330</v>
      </c>
      <c r="J356" s="159">
        <f t="shared" si="37"/>
        <v>24330</v>
      </c>
      <c r="K356" s="152"/>
    </row>
    <row r="357" spans="1:14" s="141" customFormat="1" ht="20.25" customHeight="1">
      <c r="A357" s="147">
        <v>15</v>
      </c>
      <c r="B357" s="143" t="s">
        <v>1095</v>
      </c>
      <c r="C357" s="143" t="s">
        <v>1096</v>
      </c>
      <c r="D357" s="143" t="s">
        <v>1011</v>
      </c>
      <c r="E357" s="148" t="s">
        <v>1094</v>
      </c>
      <c r="F357" s="143">
        <v>1</v>
      </c>
      <c r="G357" s="149" t="s">
        <v>1104</v>
      </c>
      <c r="H357" s="149">
        <v>1</v>
      </c>
      <c r="I357" s="157">
        <f>18222/3</f>
        <v>6074</v>
      </c>
      <c r="J357" s="159">
        <f t="shared" si="37"/>
        <v>6074</v>
      </c>
      <c r="K357" s="152"/>
      <c r="M357" s="185">
        <v>1718182</v>
      </c>
      <c r="N357" s="186" t="s">
        <v>1302</v>
      </c>
    </row>
    <row r="358" spans="1:14" s="141" customFormat="1" ht="20.25" customHeight="1">
      <c r="A358" s="147">
        <v>16</v>
      </c>
      <c r="B358" s="143" t="s">
        <v>1095</v>
      </c>
      <c r="C358" s="143" t="s">
        <v>1096</v>
      </c>
      <c r="D358" s="143" t="s">
        <v>1050</v>
      </c>
      <c r="E358" s="148" t="s">
        <v>1051</v>
      </c>
      <c r="F358" s="143">
        <v>1</v>
      </c>
      <c r="G358" s="149" t="s">
        <v>1105</v>
      </c>
      <c r="H358" s="149">
        <v>1</v>
      </c>
      <c r="I358" s="157">
        <v>30000</v>
      </c>
      <c r="J358" s="159">
        <f t="shared" si="37"/>
        <v>30000</v>
      </c>
      <c r="K358" s="152"/>
      <c r="M358" s="154">
        <f>200000+100000</f>
        <v>300000</v>
      </c>
      <c r="N358" s="210" t="s">
        <v>1561</v>
      </c>
    </row>
    <row r="359" spans="1:14" s="141" customFormat="1" ht="20.25" customHeight="1">
      <c r="A359" s="147">
        <v>17</v>
      </c>
      <c r="B359" s="143" t="s">
        <v>1095</v>
      </c>
      <c r="C359" s="143" t="s">
        <v>1096</v>
      </c>
      <c r="D359" s="143" t="s">
        <v>1027</v>
      </c>
      <c r="E359" s="143" t="s">
        <v>1103</v>
      </c>
      <c r="F359" s="143">
        <v>1</v>
      </c>
      <c r="G359" s="143" t="s">
        <v>1106</v>
      </c>
      <c r="H359" s="149">
        <v>1</v>
      </c>
      <c r="I359" s="157">
        <v>2300</v>
      </c>
      <c r="J359" s="159">
        <f t="shared" si="37"/>
        <v>2300</v>
      </c>
      <c r="K359" s="152"/>
      <c r="M359" s="183">
        <f>L362*7%</f>
        <v>55905.745000000003</v>
      </c>
      <c r="N359" s="141" t="s">
        <v>1303</v>
      </c>
    </row>
    <row r="360" spans="1:14" s="141" customFormat="1" ht="20.25" customHeight="1">
      <c r="A360" s="147">
        <v>18</v>
      </c>
      <c r="B360" s="143" t="s">
        <v>1095</v>
      </c>
      <c r="C360" s="143" t="s">
        <v>1096</v>
      </c>
      <c r="D360" s="143" t="s">
        <v>1041</v>
      </c>
      <c r="E360" s="148" t="s">
        <v>1035</v>
      </c>
      <c r="F360" s="143">
        <v>1</v>
      </c>
      <c r="G360" s="143" t="s">
        <v>1106</v>
      </c>
      <c r="H360" s="149">
        <v>1</v>
      </c>
      <c r="I360" s="150">
        <v>800</v>
      </c>
      <c r="J360" s="151">
        <f>H360*I360</f>
        <v>800</v>
      </c>
      <c r="K360" s="152"/>
      <c r="M360" s="183">
        <f>(L362+M359)*20%</f>
        <v>170911.84900000002</v>
      </c>
      <c r="N360" s="141" t="s">
        <v>1304</v>
      </c>
    </row>
    <row r="361" spans="1:14" s="141" customFormat="1" ht="20.25" customHeight="1" thickBot="1">
      <c r="A361" s="147">
        <v>19</v>
      </c>
      <c r="B361" s="177" t="s">
        <v>1095</v>
      </c>
      <c r="C361" s="177" t="s">
        <v>1096</v>
      </c>
      <c r="D361" s="177" t="s">
        <v>1262</v>
      </c>
      <c r="E361" s="143" t="s">
        <v>1263</v>
      </c>
      <c r="F361" s="177">
        <v>1</v>
      </c>
      <c r="G361" s="177" t="s">
        <v>1116</v>
      </c>
      <c r="H361" s="178">
        <v>1</v>
      </c>
      <c r="I361" s="179">
        <v>700</v>
      </c>
      <c r="J361" s="180">
        <v>700</v>
      </c>
      <c r="K361" s="181"/>
      <c r="M361" s="183">
        <f>(L362+M359+M360)*25%</f>
        <v>256367.77350000001</v>
      </c>
      <c r="N361" s="141" t="s">
        <v>1305</v>
      </c>
    </row>
    <row r="362" spans="1:14" s="141" customFormat="1" ht="20.25" customHeight="1" thickBot="1">
      <c r="A362" s="160">
        <v>20</v>
      </c>
      <c r="B362" s="161" t="s">
        <v>1095</v>
      </c>
      <c r="C362" s="161" t="s">
        <v>1096</v>
      </c>
      <c r="D362" s="161" t="s">
        <v>1264</v>
      </c>
      <c r="E362" s="169" t="s">
        <v>1267</v>
      </c>
      <c r="F362" s="161">
        <v>1</v>
      </c>
      <c r="G362" s="161" t="s">
        <v>1266</v>
      </c>
      <c r="H362" s="162">
        <v>1</v>
      </c>
      <c r="I362" s="170">
        <v>1400</v>
      </c>
      <c r="J362" s="171">
        <f t="shared" ref="J362" si="38">H362*I362</f>
        <v>1400</v>
      </c>
      <c r="K362" s="163"/>
      <c r="L362" s="172">
        <f>SUM(J343:J362)</f>
        <v>798653.5</v>
      </c>
      <c r="M362" s="184">
        <f>L362+M358+M359+M360+M361</f>
        <v>1581838.8675000002</v>
      </c>
      <c r="N362" s="141" t="s">
        <v>1307</v>
      </c>
    </row>
    <row r="363" spans="1:14" s="141" customFormat="1" ht="7.5" customHeight="1" thickBot="1">
      <c r="D363" s="164"/>
      <c r="E363" s="164"/>
      <c r="G363" s="165"/>
      <c r="H363" s="165"/>
      <c r="I363" s="167"/>
      <c r="J363" s="168"/>
    </row>
    <row r="364" spans="1:14" s="141" customFormat="1" ht="20.25" customHeight="1">
      <c r="A364" s="142">
        <v>1</v>
      </c>
      <c r="B364" s="144" t="s">
        <v>1086</v>
      </c>
      <c r="C364" s="144" t="s">
        <v>1085</v>
      </c>
      <c r="D364" s="144" t="s">
        <v>1011</v>
      </c>
      <c r="E364" s="144" t="s">
        <v>1046</v>
      </c>
      <c r="F364" s="144">
        <v>1</v>
      </c>
      <c r="G364" s="145" t="s">
        <v>1107</v>
      </c>
      <c r="H364" s="145">
        <v>1</v>
      </c>
      <c r="I364" s="156">
        <f>409557/2</f>
        <v>204778.5</v>
      </c>
      <c r="J364" s="158">
        <f>H364*I364</f>
        <v>204778.5</v>
      </c>
      <c r="K364" s="146"/>
    </row>
    <row r="365" spans="1:14" s="141" customFormat="1" ht="20.25" customHeight="1">
      <c r="A365" s="147">
        <v>2</v>
      </c>
      <c r="B365" s="143" t="s">
        <v>1097</v>
      </c>
      <c r="C365" s="143" t="s">
        <v>1098</v>
      </c>
      <c r="D365" s="143" t="s">
        <v>1011</v>
      </c>
      <c r="E365" s="148" t="s">
        <v>1058</v>
      </c>
      <c r="F365" s="143">
        <v>1</v>
      </c>
      <c r="G365" s="149" t="s">
        <v>1107</v>
      </c>
      <c r="H365" s="149">
        <v>1</v>
      </c>
      <c r="I365" s="157">
        <f>225980</f>
        <v>225980</v>
      </c>
      <c r="J365" s="159">
        <f>H365*I365</f>
        <v>225980</v>
      </c>
      <c r="K365" s="152"/>
    </row>
    <row r="366" spans="1:14" s="141" customFormat="1" ht="20.25" customHeight="1">
      <c r="A366" s="147">
        <v>3</v>
      </c>
      <c r="B366" s="143" t="s">
        <v>1097</v>
      </c>
      <c r="C366" s="143" t="s">
        <v>1098</v>
      </c>
      <c r="D366" s="143" t="s">
        <v>1011</v>
      </c>
      <c r="E366" s="148" t="s">
        <v>1048</v>
      </c>
      <c r="F366" s="143">
        <v>1</v>
      </c>
      <c r="G366" s="149" t="s">
        <v>1107</v>
      </c>
      <c r="H366" s="149">
        <v>1</v>
      </c>
      <c r="I366" s="157">
        <f>225980/5</f>
        <v>45196</v>
      </c>
      <c r="J366" s="159">
        <f t="shared" ref="J366:J380" si="39">H366*I366</f>
        <v>45196</v>
      </c>
      <c r="K366" s="152"/>
    </row>
    <row r="367" spans="1:14" s="141" customFormat="1" ht="20.25" customHeight="1">
      <c r="A367" s="147">
        <v>4</v>
      </c>
      <c r="B367" s="143" t="s">
        <v>1097</v>
      </c>
      <c r="C367" s="143" t="s">
        <v>1098</v>
      </c>
      <c r="D367" s="143" t="s">
        <v>1013</v>
      </c>
      <c r="E367" s="148" t="s">
        <v>1034</v>
      </c>
      <c r="F367" s="143">
        <v>1</v>
      </c>
      <c r="G367" s="143" t="s">
        <v>1014</v>
      </c>
      <c r="H367" s="149">
        <v>1</v>
      </c>
      <c r="I367" s="157">
        <v>109000</v>
      </c>
      <c r="J367" s="159">
        <f t="shared" si="39"/>
        <v>109000</v>
      </c>
      <c r="K367" s="152"/>
    </row>
    <row r="368" spans="1:14" s="141" customFormat="1" ht="20.25" customHeight="1">
      <c r="A368" s="147">
        <v>5</v>
      </c>
      <c r="B368" s="143" t="s">
        <v>1097</v>
      </c>
      <c r="C368" s="143" t="s">
        <v>1098</v>
      </c>
      <c r="D368" s="143" t="s">
        <v>1015</v>
      </c>
      <c r="E368" s="148" t="s">
        <v>1044</v>
      </c>
      <c r="F368" s="143">
        <v>4</v>
      </c>
      <c r="G368" s="143" t="s">
        <v>1014</v>
      </c>
      <c r="H368" s="149">
        <v>4</v>
      </c>
      <c r="I368" s="157">
        <v>3800</v>
      </c>
      <c r="J368" s="159">
        <f t="shared" si="39"/>
        <v>15200</v>
      </c>
      <c r="K368" s="152"/>
    </row>
    <row r="369" spans="1:14" s="141" customFormat="1" ht="20.25" customHeight="1">
      <c r="A369" s="147">
        <v>6</v>
      </c>
      <c r="B369" s="143" t="s">
        <v>1097</v>
      </c>
      <c r="C369" s="143" t="s">
        <v>1098</v>
      </c>
      <c r="D369" s="143" t="s">
        <v>1020</v>
      </c>
      <c r="E369" s="143" t="s">
        <v>869</v>
      </c>
      <c r="F369" s="143">
        <v>1</v>
      </c>
      <c r="G369" s="143" t="s">
        <v>1014</v>
      </c>
      <c r="H369" s="149">
        <v>1</v>
      </c>
      <c r="I369" s="150">
        <v>22000</v>
      </c>
      <c r="J369" s="151">
        <f t="shared" si="39"/>
        <v>22000</v>
      </c>
      <c r="K369" s="152"/>
    </row>
    <row r="370" spans="1:14" s="141" customFormat="1" ht="20.25" customHeight="1">
      <c r="A370" s="147">
        <v>7</v>
      </c>
      <c r="B370" s="143" t="s">
        <v>1097</v>
      </c>
      <c r="C370" s="143" t="s">
        <v>1098</v>
      </c>
      <c r="D370" s="143" t="s">
        <v>1021</v>
      </c>
      <c r="E370" s="143" t="s">
        <v>869</v>
      </c>
      <c r="F370" s="143">
        <v>1</v>
      </c>
      <c r="G370" s="143" t="s">
        <v>1014</v>
      </c>
      <c r="H370" s="149">
        <v>1</v>
      </c>
      <c r="I370" s="150">
        <v>5500</v>
      </c>
      <c r="J370" s="151">
        <f t="shared" si="39"/>
        <v>5500</v>
      </c>
      <c r="K370" s="152"/>
    </row>
    <row r="371" spans="1:14" s="141" customFormat="1" ht="20.25" customHeight="1">
      <c r="A371" s="147">
        <v>8</v>
      </c>
      <c r="B371" s="143" t="s">
        <v>1097</v>
      </c>
      <c r="C371" s="143" t="s">
        <v>1098</v>
      </c>
      <c r="D371" s="143" t="s">
        <v>1016</v>
      </c>
      <c r="E371" s="143" t="s">
        <v>868</v>
      </c>
      <c r="F371" s="143">
        <v>1</v>
      </c>
      <c r="G371" s="143" t="s">
        <v>1017</v>
      </c>
      <c r="H371" s="149">
        <v>1</v>
      </c>
      <c r="I371" s="150">
        <v>32000</v>
      </c>
      <c r="J371" s="151">
        <f t="shared" si="39"/>
        <v>32000</v>
      </c>
      <c r="K371" s="152"/>
    </row>
    <row r="372" spans="1:14" s="141" customFormat="1" ht="20.25" customHeight="1">
      <c r="A372" s="147">
        <v>9</v>
      </c>
      <c r="B372" s="143" t="s">
        <v>1097</v>
      </c>
      <c r="C372" s="143" t="s">
        <v>1098</v>
      </c>
      <c r="D372" s="143" t="s">
        <v>1018</v>
      </c>
      <c r="E372" s="143" t="s">
        <v>869</v>
      </c>
      <c r="F372" s="143">
        <v>1</v>
      </c>
      <c r="G372" s="143" t="s">
        <v>1019</v>
      </c>
      <c r="H372" s="149">
        <v>1</v>
      </c>
      <c r="I372" s="150">
        <v>14100</v>
      </c>
      <c r="J372" s="151">
        <f t="shared" si="39"/>
        <v>14100</v>
      </c>
      <c r="K372" s="152"/>
    </row>
    <row r="373" spans="1:14" s="141" customFormat="1" ht="20.25" customHeight="1">
      <c r="A373" s="147">
        <v>10</v>
      </c>
      <c r="B373" s="143" t="s">
        <v>1097</v>
      </c>
      <c r="C373" s="143" t="s">
        <v>1098</v>
      </c>
      <c r="D373" s="143" t="s">
        <v>1023</v>
      </c>
      <c r="E373" s="143" t="s">
        <v>870</v>
      </c>
      <c r="F373" s="143">
        <v>1</v>
      </c>
      <c r="G373" s="143" t="s">
        <v>1024</v>
      </c>
      <c r="H373" s="149">
        <v>1</v>
      </c>
      <c r="I373" s="150">
        <v>11000</v>
      </c>
      <c r="J373" s="151">
        <f t="shared" si="39"/>
        <v>11000</v>
      </c>
      <c r="K373" s="152"/>
    </row>
    <row r="374" spans="1:14" s="141" customFormat="1" ht="20.25" customHeight="1">
      <c r="A374" s="147">
        <v>11</v>
      </c>
      <c r="B374" s="143" t="s">
        <v>1097</v>
      </c>
      <c r="C374" s="143" t="s">
        <v>1098</v>
      </c>
      <c r="D374" s="143" t="s">
        <v>1251</v>
      </c>
      <c r="E374" s="143" t="s">
        <v>1252</v>
      </c>
      <c r="F374" s="143">
        <v>1</v>
      </c>
      <c r="G374" s="143" t="s">
        <v>643</v>
      </c>
      <c r="H374" s="149">
        <v>1</v>
      </c>
      <c r="I374" s="150">
        <v>10000</v>
      </c>
      <c r="J374" s="151">
        <f t="shared" si="39"/>
        <v>10000</v>
      </c>
      <c r="K374" s="152"/>
    </row>
    <row r="375" spans="1:14" s="141" customFormat="1" ht="20.25" customHeight="1">
      <c r="A375" s="147">
        <v>12</v>
      </c>
      <c r="B375" s="143" t="s">
        <v>1097</v>
      </c>
      <c r="C375" s="143" t="s">
        <v>1098</v>
      </c>
      <c r="D375" s="143" t="s">
        <v>1253</v>
      </c>
      <c r="E375" s="143"/>
      <c r="F375" s="143">
        <v>1</v>
      </c>
      <c r="G375" s="143" t="s">
        <v>1254</v>
      </c>
      <c r="H375" s="149">
        <v>1</v>
      </c>
      <c r="I375" s="150">
        <v>5000</v>
      </c>
      <c r="J375" s="151">
        <f t="shared" si="39"/>
        <v>5000</v>
      </c>
      <c r="K375" s="152"/>
    </row>
    <row r="376" spans="1:14" s="141" customFormat="1" ht="20.25" customHeight="1">
      <c r="A376" s="147">
        <v>13</v>
      </c>
      <c r="B376" s="143" t="s">
        <v>1097</v>
      </c>
      <c r="C376" s="143" t="s">
        <v>1098</v>
      </c>
      <c r="D376" s="143" t="s">
        <v>1011</v>
      </c>
      <c r="E376" s="148" t="s">
        <v>1092</v>
      </c>
      <c r="F376" s="143">
        <v>2</v>
      </c>
      <c r="G376" s="149" t="s">
        <v>1029</v>
      </c>
      <c r="H376" s="149">
        <v>2</v>
      </c>
      <c r="I376" s="157">
        <f>66590/2</f>
        <v>33295</v>
      </c>
      <c r="J376" s="159">
        <f t="shared" si="39"/>
        <v>66590</v>
      </c>
      <c r="K376" s="152"/>
    </row>
    <row r="377" spans="1:14" s="141" customFormat="1" ht="20.25" customHeight="1">
      <c r="A377" s="147">
        <v>14</v>
      </c>
      <c r="B377" s="143" t="s">
        <v>1097</v>
      </c>
      <c r="C377" s="143" t="s">
        <v>1098</v>
      </c>
      <c r="D377" s="143" t="s">
        <v>1011</v>
      </c>
      <c r="E377" s="148" t="s">
        <v>1093</v>
      </c>
      <c r="F377" s="143">
        <v>2</v>
      </c>
      <c r="G377" s="149" t="s">
        <v>1029</v>
      </c>
      <c r="H377" s="149">
        <v>2</v>
      </c>
      <c r="I377" s="157">
        <f>48660/2</f>
        <v>24330</v>
      </c>
      <c r="J377" s="159">
        <f t="shared" si="39"/>
        <v>48660</v>
      </c>
      <c r="K377" s="152"/>
    </row>
    <row r="378" spans="1:14" s="141" customFormat="1" ht="20.25" customHeight="1">
      <c r="A378" s="147">
        <v>15</v>
      </c>
      <c r="B378" s="143" t="s">
        <v>1097</v>
      </c>
      <c r="C378" s="143" t="s">
        <v>1098</v>
      </c>
      <c r="D378" s="143" t="s">
        <v>1011</v>
      </c>
      <c r="E378" s="148" t="s">
        <v>1094</v>
      </c>
      <c r="F378" s="143">
        <v>2</v>
      </c>
      <c r="G378" s="149" t="s">
        <v>1029</v>
      </c>
      <c r="H378" s="149">
        <v>2</v>
      </c>
      <c r="I378" s="157">
        <f>18222/3</f>
        <v>6074</v>
      </c>
      <c r="J378" s="159">
        <f t="shared" si="39"/>
        <v>12148</v>
      </c>
      <c r="K378" s="152"/>
      <c r="M378" s="185">
        <v>1809091</v>
      </c>
      <c r="N378" s="186" t="s">
        <v>1302</v>
      </c>
    </row>
    <row r="379" spans="1:14" s="141" customFormat="1" ht="20.25" customHeight="1">
      <c r="A379" s="147">
        <v>16</v>
      </c>
      <c r="B379" s="143" t="s">
        <v>1097</v>
      </c>
      <c r="C379" s="143" t="s">
        <v>1098</v>
      </c>
      <c r="D379" s="143" t="s">
        <v>1050</v>
      </c>
      <c r="E379" s="148" t="s">
        <v>1051</v>
      </c>
      <c r="F379" s="143">
        <v>2</v>
      </c>
      <c r="G379" s="149" t="s">
        <v>1052</v>
      </c>
      <c r="H379" s="149">
        <v>2</v>
      </c>
      <c r="I379" s="157">
        <v>30000</v>
      </c>
      <c r="J379" s="159">
        <f t="shared" si="39"/>
        <v>60000</v>
      </c>
      <c r="K379" s="152"/>
      <c r="M379" s="154">
        <f>200000+100000</f>
        <v>300000</v>
      </c>
      <c r="N379" s="210" t="s">
        <v>1561</v>
      </c>
    </row>
    <row r="380" spans="1:14" s="141" customFormat="1" ht="20.25" customHeight="1">
      <c r="A380" s="147">
        <v>17</v>
      </c>
      <c r="B380" s="143" t="s">
        <v>1097</v>
      </c>
      <c r="C380" s="143" t="s">
        <v>1098</v>
      </c>
      <c r="D380" s="143" t="s">
        <v>1027</v>
      </c>
      <c r="E380" s="143" t="s">
        <v>1103</v>
      </c>
      <c r="F380" s="143">
        <v>2</v>
      </c>
      <c r="G380" s="143" t="s">
        <v>1024</v>
      </c>
      <c r="H380" s="149">
        <v>2</v>
      </c>
      <c r="I380" s="157">
        <v>2300</v>
      </c>
      <c r="J380" s="159">
        <f t="shared" si="39"/>
        <v>4600</v>
      </c>
      <c r="K380" s="152"/>
      <c r="M380" s="183">
        <f>L383*7%</f>
        <v>62730.675000000003</v>
      </c>
      <c r="N380" s="141" t="s">
        <v>1303</v>
      </c>
    </row>
    <row r="381" spans="1:14" s="141" customFormat="1" ht="20.25" customHeight="1">
      <c r="A381" s="147">
        <v>18</v>
      </c>
      <c r="B381" s="143" t="s">
        <v>1097</v>
      </c>
      <c r="C381" s="143" t="s">
        <v>1098</v>
      </c>
      <c r="D381" s="143" t="s">
        <v>1041</v>
      </c>
      <c r="E381" s="148" t="s">
        <v>1035</v>
      </c>
      <c r="F381" s="143">
        <v>2</v>
      </c>
      <c r="G381" s="143" t="s">
        <v>1024</v>
      </c>
      <c r="H381" s="149">
        <v>2</v>
      </c>
      <c r="I381" s="150">
        <v>800</v>
      </c>
      <c r="J381" s="151">
        <f>H381*I381</f>
        <v>1600</v>
      </c>
      <c r="K381" s="152"/>
      <c r="M381" s="183">
        <f>(L383+M380)*20%</f>
        <v>191776.63500000001</v>
      </c>
      <c r="N381" s="141" t="s">
        <v>1304</v>
      </c>
    </row>
    <row r="382" spans="1:14" s="141" customFormat="1" ht="20.25" customHeight="1" thickBot="1">
      <c r="A382" s="147">
        <v>19</v>
      </c>
      <c r="B382" s="177" t="s">
        <v>1097</v>
      </c>
      <c r="C382" s="177" t="s">
        <v>1098</v>
      </c>
      <c r="D382" s="177" t="s">
        <v>1262</v>
      </c>
      <c r="E382" s="143" t="s">
        <v>1263</v>
      </c>
      <c r="F382" s="177">
        <v>2</v>
      </c>
      <c r="G382" s="177" t="s">
        <v>1116</v>
      </c>
      <c r="H382" s="178">
        <v>2</v>
      </c>
      <c r="I382" s="179">
        <v>700</v>
      </c>
      <c r="J382" s="180">
        <v>1400</v>
      </c>
      <c r="K382" s="181"/>
      <c r="M382" s="183">
        <f>(L383+M380+M381)*25%</f>
        <v>287664.95250000001</v>
      </c>
      <c r="N382" s="141" t="s">
        <v>1305</v>
      </c>
    </row>
    <row r="383" spans="1:14" s="141" customFormat="1" ht="20.25" customHeight="1" thickBot="1">
      <c r="A383" s="160">
        <v>20</v>
      </c>
      <c r="B383" s="161" t="s">
        <v>1097</v>
      </c>
      <c r="C383" s="161" t="s">
        <v>1098</v>
      </c>
      <c r="D383" s="161" t="s">
        <v>1264</v>
      </c>
      <c r="E383" s="169" t="s">
        <v>1267</v>
      </c>
      <c r="F383" s="161">
        <v>1</v>
      </c>
      <c r="G383" s="161" t="s">
        <v>1266</v>
      </c>
      <c r="H383" s="162">
        <v>1</v>
      </c>
      <c r="I383" s="170">
        <v>1400</v>
      </c>
      <c r="J383" s="171">
        <f t="shared" ref="J383" si="40">H383*I383</f>
        <v>1400</v>
      </c>
      <c r="K383" s="163"/>
      <c r="L383" s="172">
        <f>SUM(J364:J383)</f>
        <v>896152.5</v>
      </c>
      <c r="M383" s="184">
        <f>L383+M379+M380+M381+M382</f>
        <v>1738324.7625000002</v>
      </c>
      <c r="N383" s="141" t="s">
        <v>1307</v>
      </c>
    </row>
    <row r="384" spans="1:14" s="141" customFormat="1" ht="7.5" customHeight="1" thickBot="1">
      <c r="D384" s="164"/>
      <c r="E384" s="164"/>
      <c r="G384" s="165"/>
      <c r="H384" s="165"/>
      <c r="I384" s="167"/>
      <c r="J384" s="168"/>
    </row>
    <row r="385" spans="1:14" s="141" customFormat="1" ht="20.25" customHeight="1">
      <c r="A385" s="142">
        <v>1</v>
      </c>
      <c r="B385" s="144" t="s">
        <v>1087</v>
      </c>
      <c r="C385" s="144" t="s">
        <v>1082</v>
      </c>
      <c r="D385" s="144" t="s">
        <v>1011</v>
      </c>
      <c r="E385" s="144" t="s">
        <v>1046</v>
      </c>
      <c r="F385" s="144">
        <v>1</v>
      </c>
      <c r="G385" s="145" t="s">
        <v>1107</v>
      </c>
      <c r="H385" s="145">
        <v>1</v>
      </c>
      <c r="I385" s="156">
        <f>409557/2</f>
        <v>204778.5</v>
      </c>
      <c r="J385" s="158">
        <f>H385*I385</f>
        <v>204778.5</v>
      </c>
      <c r="K385" s="146"/>
    </row>
    <row r="386" spans="1:14" s="141" customFormat="1" ht="20.25" customHeight="1">
      <c r="A386" s="147">
        <v>2</v>
      </c>
      <c r="B386" s="143" t="s">
        <v>1099</v>
      </c>
      <c r="C386" s="143" t="s">
        <v>1100</v>
      </c>
      <c r="D386" s="143" t="s">
        <v>1011</v>
      </c>
      <c r="E386" s="148" t="s">
        <v>1049</v>
      </c>
      <c r="F386" s="143">
        <v>1</v>
      </c>
      <c r="G386" s="149" t="s">
        <v>1107</v>
      </c>
      <c r="H386" s="149">
        <v>1</v>
      </c>
      <c r="I386" s="157">
        <f>225980</f>
        <v>225980</v>
      </c>
      <c r="J386" s="159">
        <f>H386*I386</f>
        <v>225980</v>
      </c>
      <c r="K386" s="152"/>
    </row>
    <row r="387" spans="1:14" s="141" customFormat="1" ht="20.25" customHeight="1">
      <c r="A387" s="147">
        <v>3</v>
      </c>
      <c r="B387" s="143" t="s">
        <v>1099</v>
      </c>
      <c r="C387" s="143" t="s">
        <v>1100</v>
      </c>
      <c r="D387" s="143" t="s">
        <v>1011</v>
      </c>
      <c r="E387" s="148" t="s">
        <v>1048</v>
      </c>
      <c r="F387" s="143">
        <v>1</v>
      </c>
      <c r="G387" s="149" t="s">
        <v>1107</v>
      </c>
      <c r="H387" s="149">
        <v>1</v>
      </c>
      <c r="I387" s="157">
        <f>225980/5</f>
        <v>45196</v>
      </c>
      <c r="J387" s="159">
        <f t="shared" ref="J387:J401" si="41">H387*I387</f>
        <v>45196</v>
      </c>
      <c r="K387" s="152"/>
    </row>
    <row r="388" spans="1:14" s="141" customFormat="1" ht="20.25" customHeight="1">
      <c r="A388" s="147">
        <v>4</v>
      </c>
      <c r="B388" s="143" t="s">
        <v>1099</v>
      </c>
      <c r="C388" s="143" t="s">
        <v>1100</v>
      </c>
      <c r="D388" s="143" t="s">
        <v>1013</v>
      </c>
      <c r="E388" s="148" t="s">
        <v>1034</v>
      </c>
      <c r="F388" s="143">
        <v>1</v>
      </c>
      <c r="G388" s="143" t="s">
        <v>1014</v>
      </c>
      <c r="H388" s="149">
        <v>1</v>
      </c>
      <c r="I388" s="157">
        <v>109000</v>
      </c>
      <c r="J388" s="159">
        <f t="shared" si="41"/>
        <v>109000</v>
      </c>
      <c r="K388" s="152"/>
    </row>
    <row r="389" spans="1:14" s="141" customFormat="1" ht="20.25" customHeight="1">
      <c r="A389" s="147">
        <v>5</v>
      </c>
      <c r="B389" s="143" t="s">
        <v>1099</v>
      </c>
      <c r="C389" s="143" t="s">
        <v>1100</v>
      </c>
      <c r="D389" s="143" t="s">
        <v>1015</v>
      </c>
      <c r="E389" s="148" t="s">
        <v>1044</v>
      </c>
      <c r="F389" s="143">
        <v>4</v>
      </c>
      <c r="G389" s="143" t="s">
        <v>1014</v>
      </c>
      <c r="H389" s="149">
        <v>4</v>
      </c>
      <c r="I389" s="157">
        <v>3800</v>
      </c>
      <c r="J389" s="159">
        <f t="shared" si="41"/>
        <v>15200</v>
      </c>
      <c r="K389" s="152"/>
    </row>
    <row r="390" spans="1:14" s="141" customFormat="1" ht="20.25" customHeight="1">
      <c r="A390" s="147">
        <v>6</v>
      </c>
      <c r="B390" s="143" t="s">
        <v>1099</v>
      </c>
      <c r="C390" s="143" t="s">
        <v>1100</v>
      </c>
      <c r="D390" s="143" t="s">
        <v>1020</v>
      </c>
      <c r="E390" s="143" t="s">
        <v>869</v>
      </c>
      <c r="F390" s="143">
        <v>1</v>
      </c>
      <c r="G390" s="143" t="s">
        <v>1014</v>
      </c>
      <c r="H390" s="149">
        <v>1</v>
      </c>
      <c r="I390" s="150">
        <v>22000</v>
      </c>
      <c r="J390" s="151">
        <f t="shared" si="41"/>
        <v>22000</v>
      </c>
      <c r="K390" s="152"/>
    </row>
    <row r="391" spans="1:14" s="141" customFormat="1" ht="20.25" customHeight="1">
      <c r="A391" s="147">
        <v>7</v>
      </c>
      <c r="B391" s="143" t="s">
        <v>1099</v>
      </c>
      <c r="C391" s="143" t="s">
        <v>1100</v>
      </c>
      <c r="D391" s="143" t="s">
        <v>1021</v>
      </c>
      <c r="E391" s="143" t="s">
        <v>869</v>
      </c>
      <c r="F391" s="143">
        <v>1</v>
      </c>
      <c r="G391" s="143" t="s">
        <v>1014</v>
      </c>
      <c r="H391" s="149">
        <v>1</v>
      </c>
      <c r="I391" s="150">
        <v>5500</v>
      </c>
      <c r="J391" s="151">
        <f t="shared" si="41"/>
        <v>5500</v>
      </c>
      <c r="K391" s="152"/>
    </row>
    <row r="392" spans="1:14" s="141" customFormat="1" ht="20.25" customHeight="1">
      <c r="A392" s="147">
        <v>8</v>
      </c>
      <c r="B392" s="143" t="s">
        <v>1099</v>
      </c>
      <c r="C392" s="143" t="s">
        <v>1100</v>
      </c>
      <c r="D392" s="143" t="s">
        <v>1016</v>
      </c>
      <c r="E392" s="143" t="s">
        <v>868</v>
      </c>
      <c r="F392" s="143">
        <v>1</v>
      </c>
      <c r="G392" s="143" t="s">
        <v>1017</v>
      </c>
      <c r="H392" s="149">
        <v>1</v>
      </c>
      <c r="I392" s="150">
        <v>32000</v>
      </c>
      <c r="J392" s="151">
        <f t="shared" si="41"/>
        <v>32000</v>
      </c>
      <c r="K392" s="152"/>
    </row>
    <row r="393" spans="1:14" s="141" customFormat="1" ht="20.25" customHeight="1">
      <c r="A393" s="147">
        <v>9</v>
      </c>
      <c r="B393" s="143" t="s">
        <v>1099</v>
      </c>
      <c r="C393" s="143" t="s">
        <v>1100</v>
      </c>
      <c r="D393" s="143" t="s">
        <v>1018</v>
      </c>
      <c r="E393" s="143" t="s">
        <v>869</v>
      </c>
      <c r="F393" s="143">
        <v>1</v>
      </c>
      <c r="G393" s="143" t="s">
        <v>1019</v>
      </c>
      <c r="H393" s="149">
        <v>1</v>
      </c>
      <c r="I393" s="150">
        <v>14100</v>
      </c>
      <c r="J393" s="151">
        <f t="shared" si="41"/>
        <v>14100</v>
      </c>
      <c r="K393" s="152"/>
    </row>
    <row r="394" spans="1:14" s="141" customFormat="1" ht="20.25" customHeight="1">
      <c r="A394" s="147">
        <v>10</v>
      </c>
      <c r="B394" s="143" t="s">
        <v>1099</v>
      </c>
      <c r="C394" s="143" t="s">
        <v>1100</v>
      </c>
      <c r="D394" s="143" t="s">
        <v>1023</v>
      </c>
      <c r="E394" s="143" t="s">
        <v>870</v>
      </c>
      <c r="F394" s="143">
        <v>1</v>
      </c>
      <c r="G394" s="143" t="s">
        <v>1024</v>
      </c>
      <c r="H394" s="149">
        <v>1</v>
      </c>
      <c r="I394" s="150">
        <v>11000</v>
      </c>
      <c r="J394" s="151">
        <f t="shared" si="41"/>
        <v>11000</v>
      </c>
      <c r="K394" s="152"/>
    </row>
    <row r="395" spans="1:14" s="141" customFormat="1" ht="20.25" customHeight="1">
      <c r="A395" s="147">
        <v>11</v>
      </c>
      <c r="B395" s="143" t="s">
        <v>1099</v>
      </c>
      <c r="C395" s="143" t="s">
        <v>1100</v>
      </c>
      <c r="D395" s="143" t="s">
        <v>1251</v>
      </c>
      <c r="E395" s="143" t="s">
        <v>1252</v>
      </c>
      <c r="F395" s="143">
        <v>1</v>
      </c>
      <c r="G395" s="143" t="s">
        <v>643</v>
      </c>
      <c r="H395" s="149">
        <v>1</v>
      </c>
      <c r="I395" s="150">
        <v>10000</v>
      </c>
      <c r="J395" s="151">
        <f t="shared" si="41"/>
        <v>10000</v>
      </c>
      <c r="K395" s="152"/>
    </row>
    <row r="396" spans="1:14" s="141" customFormat="1" ht="20.25" customHeight="1">
      <c r="A396" s="147">
        <v>12</v>
      </c>
      <c r="B396" s="143" t="s">
        <v>1099</v>
      </c>
      <c r="C396" s="143" t="s">
        <v>1100</v>
      </c>
      <c r="D396" s="143" t="s">
        <v>1253</v>
      </c>
      <c r="E396" s="143"/>
      <c r="F396" s="143">
        <v>1</v>
      </c>
      <c r="G396" s="143" t="s">
        <v>1254</v>
      </c>
      <c r="H396" s="149">
        <v>1</v>
      </c>
      <c r="I396" s="150">
        <v>5000</v>
      </c>
      <c r="J396" s="151">
        <f t="shared" si="41"/>
        <v>5000</v>
      </c>
      <c r="K396" s="152"/>
    </row>
    <row r="397" spans="1:14" s="141" customFormat="1" ht="20.25" customHeight="1">
      <c r="A397" s="147">
        <v>13</v>
      </c>
      <c r="B397" s="143" t="s">
        <v>1099</v>
      </c>
      <c r="C397" s="143" t="s">
        <v>1100</v>
      </c>
      <c r="D397" s="143" t="s">
        <v>1011</v>
      </c>
      <c r="E397" s="148" t="s">
        <v>1092</v>
      </c>
      <c r="F397" s="143">
        <v>1</v>
      </c>
      <c r="G397" s="149" t="s">
        <v>1029</v>
      </c>
      <c r="H397" s="149">
        <v>1</v>
      </c>
      <c r="I397" s="157">
        <f>66590/2</f>
        <v>33295</v>
      </c>
      <c r="J397" s="159">
        <f t="shared" si="41"/>
        <v>33295</v>
      </c>
      <c r="K397" s="152"/>
    </row>
    <row r="398" spans="1:14" s="141" customFormat="1" ht="20.25" customHeight="1">
      <c r="A398" s="147">
        <v>14</v>
      </c>
      <c r="B398" s="143" t="s">
        <v>1099</v>
      </c>
      <c r="C398" s="143" t="s">
        <v>1100</v>
      </c>
      <c r="D398" s="143" t="s">
        <v>1011</v>
      </c>
      <c r="E398" s="148" t="s">
        <v>1093</v>
      </c>
      <c r="F398" s="143">
        <v>1</v>
      </c>
      <c r="G398" s="149" t="s">
        <v>1029</v>
      </c>
      <c r="H398" s="149">
        <v>1</v>
      </c>
      <c r="I398" s="157">
        <f>48660/2</f>
        <v>24330</v>
      </c>
      <c r="J398" s="159">
        <f t="shared" si="41"/>
        <v>24330</v>
      </c>
      <c r="K398" s="152"/>
    </row>
    <row r="399" spans="1:14" s="141" customFormat="1" ht="20.25" customHeight="1">
      <c r="A399" s="147">
        <v>15</v>
      </c>
      <c r="B399" s="143" t="s">
        <v>1099</v>
      </c>
      <c r="C399" s="143" t="s">
        <v>1100</v>
      </c>
      <c r="D399" s="143" t="s">
        <v>1011</v>
      </c>
      <c r="E399" s="148" t="s">
        <v>1094</v>
      </c>
      <c r="F399" s="143">
        <v>1</v>
      </c>
      <c r="G399" s="149" t="s">
        <v>1029</v>
      </c>
      <c r="H399" s="149">
        <v>1</v>
      </c>
      <c r="I399" s="157">
        <f>18222/3</f>
        <v>6074</v>
      </c>
      <c r="J399" s="159">
        <f t="shared" si="41"/>
        <v>6074</v>
      </c>
      <c r="K399" s="152"/>
      <c r="M399" s="185">
        <v>1809091</v>
      </c>
      <c r="N399" s="186" t="s">
        <v>1302</v>
      </c>
    </row>
    <row r="400" spans="1:14" s="141" customFormat="1" ht="20.25" customHeight="1">
      <c r="A400" s="147">
        <v>16</v>
      </c>
      <c r="B400" s="143" t="s">
        <v>1099</v>
      </c>
      <c r="C400" s="143" t="s">
        <v>1100</v>
      </c>
      <c r="D400" s="143" t="s">
        <v>1050</v>
      </c>
      <c r="E400" s="148" t="s">
        <v>1051</v>
      </c>
      <c r="F400" s="143">
        <v>1</v>
      </c>
      <c r="G400" s="149" t="s">
        <v>1052</v>
      </c>
      <c r="H400" s="149">
        <v>1</v>
      </c>
      <c r="I400" s="157">
        <v>30000</v>
      </c>
      <c r="J400" s="159">
        <f t="shared" si="41"/>
        <v>30000</v>
      </c>
      <c r="K400" s="152"/>
      <c r="M400" s="154">
        <f>200000+100000</f>
        <v>300000</v>
      </c>
      <c r="N400" s="210" t="s">
        <v>1561</v>
      </c>
    </row>
    <row r="401" spans="1:14" s="141" customFormat="1" ht="20.25" customHeight="1">
      <c r="A401" s="147">
        <v>17</v>
      </c>
      <c r="B401" s="143" t="s">
        <v>1099</v>
      </c>
      <c r="C401" s="143" t="s">
        <v>1100</v>
      </c>
      <c r="D401" s="143" t="s">
        <v>1027</v>
      </c>
      <c r="E401" s="143" t="s">
        <v>1103</v>
      </c>
      <c r="F401" s="143">
        <v>1</v>
      </c>
      <c r="G401" s="143" t="s">
        <v>1024</v>
      </c>
      <c r="H401" s="149">
        <v>1</v>
      </c>
      <c r="I401" s="157">
        <v>2300</v>
      </c>
      <c r="J401" s="159">
        <f t="shared" si="41"/>
        <v>2300</v>
      </c>
      <c r="K401" s="152"/>
      <c r="M401" s="183">
        <f>L404*7%</f>
        <v>55905.745000000003</v>
      </c>
      <c r="N401" s="141" t="s">
        <v>1303</v>
      </c>
    </row>
    <row r="402" spans="1:14" s="141" customFormat="1" ht="20.25" customHeight="1">
      <c r="A402" s="147">
        <v>18</v>
      </c>
      <c r="B402" s="143" t="s">
        <v>1099</v>
      </c>
      <c r="C402" s="143" t="s">
        <v>1100</v>
      </c>
      <c r="D402" s="143" t="s">
        <v>1041</v>
      </c>
      <c r="E402" s="148" t="s">
        <v>1035</v>
      </c>
      <c r="F402" s="143">
        <v>1</v>
      </c>
      <c r="G402" s="143" t="s">
        <v>1024</v>
      </c>
      <c r="H402" s="149">
        <v>1</v>
      </c>
      <c r="I402" s="150">
        <v>800</v>
      </c>
      <c r="J402" s="151">
        <f>H402*I402</f>
        <v>800</v>
      </c>
      <c r="K402" s="152"/>
      <c r="M402" s="183">
        <f>(L404+M401)*20%</f>
        <v>170911.84900000002</v>
      </c>
      <c r="N402" s="141" t="s">
        <v>1304</v>
      </c>
    </row>
    <row r="403" spans="1:14" s="141" customFormat="1" ht="20.25" customHeight="1" thickBot="1">
      <c r="A403" s="176">
        <v>19</v>
      </c>
      <c r="B403" s="177" t="s">
        <v>1099</v>
      </c>
      <c r="C403" s="177" t="s">
        <v>1100</v>
      </c>
      <c r="D403" s="177" t="s">
        <v>1262</v>
      </c>
      <c r="E403" s="143" t="s">
        <v>1263</v>
      </c>
      <c r="F403" s="177">
        <v>1</v>
      </c>
      <c r="G403" s="177" t="s">
        <v>1116</v>
      </c>
      <c r="H403" s="178">
        <v>1</v>
      </c>
      <c r="I403" s="179">
        <v>700</v>
      </c>
      <c r="J403" s="180">
        <v>700</v>
      </c>
      <c r="K403" s="181"/>
      <c r="M403" s="183">
        <f>(L404+M401+M402)*25%</f>
        <v>256367.77350000001</v>
      </c>
      <c r="N403" s="141" t="s">
        <v>1305</v>
      </c>
    </row>
    <row r="404" spans="1:14" s="141" customFormat="1" ht="20.25" customHeight="1" thickBot="1">
      <c r="A404" s="160">
        <v>20</v>
      </c>
      <c r="B404" s="161" t="s">
        <v>1099</v>
      </c>
      <c r="C404" s="161" t="s">
        <v>1100</v>
      </c>
      <c r="D404" s="161" t="s">
        <v>1264</v>
      </c>
      <c r="E404" s="169" t="s">
        <v>1267</v>
      </c>
      <c r="F404" s="161">
        <v>1</v>
      </c>
      <c r="G404" s="161" t="s">
        <v>1266</v>
      </c>
      <c r="H404" s="162">
        <v>1</v>
      </c>
      <c r="I404" s="170">
        <v>1400</v>
      </c>
      <c r="J404" s="171">
        <f t="shared" ref="J404" si="42">H404*I404</f>
        <v>1400</v>
      </c>
      <c r="K404" s="163"/>
      <c r="L404" s="172">
        <f>SUM(J385:J404)</f>
        <v>798653.5</v>
      </c>
      <c r="M404" s="184">
        <f>L404+M400+M401+M402+M403</f>
        <v>1581838.8675000002</v>
      </c>
      <c r="N404" s="141" t="s">
        <v>1307</v>
      </c>
    </row>
    <row r="405" spans="1:14" s="141" customFormat="1" ht="7.5" customHeight="1" thickBot="1">
      <c r="D405" s="164"/>
      <c r="E405" s="164"/>
      <c r="G405" s="165"/>
      <c r="H405" s="165"/>
      <c r="I405" s="167"/>
      <c r="J405" s="168"/>
    </row>
    <row r="406" spans="1:14" s="141" customFormat="1" ht="20.25" customHeight="1">
      <c r="A406" s="142">
        <v>1</v>
      </c>
      <c r="B406" s="144" t="s">
        <v>1089</v>
      </c>
      <c r="C406" s="144" t="s">
        <v>1088</v>
      </c>
      <c r="D406" s="144" t="s">
        <v>1011</v>
      </c>
      <c r="E406" s="144" t="s">
        <v>1046</v>
      </c>
      <c r="F406" s="144">
        <v>1</v>
      </c>
      <c r="G406" s="145" t="s">
        <v>1107</v>
      </c>
      <c r="H406" s="145">
        <v>1</v>
      </c>
      <c r="I406" s="156">
        <f>409557/2</f>
        <v>204778.5</v>
      </c>
      <c r="J406" s="158">
        <f>H406*I406</f>
        <v>204778.5</v>
      </c>
      <c r="K406" s="146"/>
    </row>
    <row r="407" spans="1:14" s="141" customFormat="1" ht="20.25" customHeight="1">
      <c r="A407" s="147">
        <v>2</v>
      </c>
      <c r="B407" s="143" t="s">
        <v>1101</v>
      </c>
      <c r="C407" s="143" t="s">
        <v>1102</v>
      </c>
      <c r="D407" s="143" t="s">
        <v>1011</v>
      </c>
      <c r="E407" s="148" t="s">
        <v>1049</v>
      </c>
      <c r="F407" s="143">
        <v>1</v>
      </c>
      <c r="G407" s="149" t="s">
        <v>1107</v>
      </c>
      <c r="H407" s="149">
        <v>1</v>
      </c>
      <c r="I407" s="157">
        <f>225980</f>
        <v>225980</v>
      </c>
      <c r="J407" s="159">
        <f>H407*I407</f>
        <v>225980</v>
      </c>
      <c r="K407" s="152"/>
    </row>
    <row r="408" spans="1:14" s="141" customFormat="1" ht="20.25" customHeight="1">
      <c r="A408" s="147">
        <v>3</v>
      </c>
      <c r="B408" s="143" t="s">
        <v>1101</v>
      </c>
      <c r="C408" s="143" t="s">
        <v>1102</v>
      </c>
      <c r="D408" s="143" t="s">
        <v>1011</v>
      </c>
      <c r="E408" s="148" t="s">
        <v>1048</v>
      </c>
      <c r="F408" s="143">
        <v>1</v>
      </c>
      <c r="G408" s="149" t="s">
        <v>1107</v>
      </c>
      <c r="H408" s="149">
        <v>1</v>
      </c>
      <c r="I408" s="157">
        <f>225980/5</f>
        <v>45196</v>
      </c>
      <c r="J408" s="159">
        <f t="shared" ref="J408:J422" si="43">H408*I408</f>
        <v>45196</v>
      </c>
      <c r="K408" s="152"/>
    </row>
    <row r="409" spans="1:14" s="141" customFormat="1" ht="20.25" customHeight="1">
      <c r="A409" s="147">
        <v>4</v>
      </c>
      <c r="B409" s="143" t="s">
        <v>1101</v>
      </c>
      <c r="C409" s="143" t="s">
        <v>1102</v>
      </c>
      <c r="D409" s="143" t="s">
        <v>1013</v>
      </c>
      <c r="E409" s="148" t="s">
        <v>1034</v>
      </c>
      <c r="F409" s="143">
        <v>1</v>
      </c>
      <c r="G409" s="143" t="s">
        <v>1014</v>
      </c>
      <c r="H409" s="149">
        <v>1</v>
      </c>
      <c r="I409" s="157">
        <v>109000</v>
      </c>
      <c r="J409" s="159">
        <f t="shared" si="43"/>
        <v>109000</v>
      </c>
      <c r="K409" s="152"/>
    </row>
    <row r="410" spans="1:14" s="141" customFormat="1" ht="20.25" customHeight="1">
      <c r="A410" s="147">
        <v>5</v>
      </c>
      <c r="B410" s="143" t="s">
        <v>1101</v>
      </c>
      <c r="C410" s="143" t="s">
        <v>1102</v>
      </c>
      <c r="D410" s="143" t="s">
        <v>1015</v>
      </c>
      <c r="E410" s="148" t="s">
        <v>1044</v>
      </c>
      <c r="F410" s="143">
        <v>4</v>
      </c>
      <c r="G410" s="143" t="s">
        <v>1014</v>
      </c>
      <c r="H410" s="149">
        <v>4</v>
      </c>
      <c r="I410" s="157">
        <v>3800</v>
      </c>
      <c r="J410" s="159">
        <f t="shared" si="43"/>
        <v>15200</v>
      </c>
      <c r="K410" s="152"/>
    </row>
    <row r="411" spans="1:14" s="141" customFormat="1" ht="20.25" customHeight="1">
      <c r="A411" s="147">
        <v>6</v>
      </c>
      <c r="B411" s="143" t="s">
        <v>1101</v>
      </c>
      <c r="C411" s="143" t="s">
        <v>1102</v>
      </c>
      <c r="D411" s="143" t="s">
        <v>1020</v>
      </c>
      <c r="E411" s="143" t="s">
        <v>869</v>
      </c>
      <c r="F411" s="143">
        <v>1</v>
      </c>
      <c r="G411" s="143" t="s">
        <v>1014</v>
      </c>
      <c r="H411" s="149">
        <v>1</v>
      </c>
      <c r="I411" s="150">
        <v>22000</v>
      </c>
      <c r="J411" s="151">
        <f t="shared" si="43"/>
        <v>22000</v>
      </c>
      <c r="K411" s="152"/>
    </row>
    <row r="412" spans="1:14" s="141" customFormat="1" ht="20.25" customHeight="1">
      <c r="A412" s="147">
        <v>7</v>
      </c>
      <c r="B412" s="143" t="s">
        <v>1101</v>
      </c>
      <c r="C412" s="143" t="s">
        <v>1102</v>
      </c>
      <c r="D412" s="143" t="s">
        <v>1021</v>
      </c>
      <c r="E412" s="143" t="s">
        <v>869</v>
      </c>
      <c r="F412" s="143">
        <v>1</v>
      </c>
      <c r="G412" s="143" t="s">
        <v>1014</v>
      </c>
      <c r="H412" s="149">
        <v>1</v>
      </c>
      <c r="I412" s="150">
        <v>5500</v>
      </c>
      <c r="J412" s="151">
        <f t="shared" si="43"/>
        <v>5500</v>
      </c>
      <c r="K412" s="152"/>
    </row>
    <row r="413" spans="1:14" s="141" customFormat="1" ht="20.25" customHeight="1">
      <c r="A413" s="147">
        <v>8</v>
      </c>
      <c r="B413" s="143" t="s">
        <v>1101</v>
      </c>
      <c r="C413" s="143" t="s">
        <v>1102</v>
      </c>
      <c r="D413" s="143" t="s">
        <v>1016</v>
      </c>
      <c r="E413" s="143" t="s">
        <v>868</v>
      </c>
      <c r="F413" s="143">
        <v>1</v>
      </c>
      <c r="G413" s="143" t="s">
        <v>1017</v>
      </c>
      <c r="H413" s="149">
        <v>1</v>
      </c>
      <c r="I413" s="150">
        <v>32000</v>
      </c>
      <c r="J413" s="151">
        <f t="shared" si="43"/>
        <v>32000</v>
      </c>
      <c r="K413" s="152"/>
    </row>
    <row r="414" spans="1:14" s="141" customFormat="1" ht="20.25" customHeight="1">
      <c r="A414" s="147">
        <v>9</v>
      </c>
      <c r="B414" s="143" t="s">
        <v>1101</v>
      </c>
      <c r="C414" s="143" t="s">
        <v>1102</v>
      </c>
      <c r="D414" s="143" t="s">
        <v>1018</v>
      </c>
      <c r="E414" s="143" t="s">
        <v>869</v>
      </c>
      <c r="F414" s="143">
        <v>1</v>
      </c>
      <c r="G414" s="143" t="s">
        <v>1019</v>
      </c>
      <c r="H414" s="149">
        <v>1</v>
      </c>
      <c r="I414" s="150">
        <v>14100</v>
      </c>
      <c r="J414" s="151">
        <f t="shared" si="43"/>
        <v>14100</v>
      </c>
      <c r="K414" s="152"/>
    </row>
    <row r="415" spans="1:14" s="141" customFormat="1" ht="20.25" customHeight="1">
      <c r="A415" s="147">
        <v>10</v>
      </c>
      <c r="B415" s="143" t="s">
        <v>1101</v>
      </c>
      <c r="C415" s="143" t="s">
        <v>1102</v>
      </c>
      <c r="D415" s="143" t="s">
        <v>1023</v>
      </c>
      <c r="E415" s="143" t="s">
        <v>870</v>
      </c>
      <c r="F415" s="143">
        <v>1</v>
      </c>
      <c r="G415" s="143" t="s">
        <v>1024</v>
      </c>
      <c r="H415" s="149">
        <v>1</v>
      </c>
      <c r="I415" s="150">
        <v>11000</v>
      </c>
      <c r="J415" s="151">
        <f t="shared" si="43"/>
        <v>11000</v>
      </c>
      <c r="K415" s="152"/>
    </row>
    <row r="416" spans="1:14" s="141" customFormat="1" ht="20.25" customHeight="1">
      <c r="A416" s="147">
        <v>11</v>
      </c>
      <c r="B416" s="143" t="s">
        <v>1101</v>
      </c>
      <c r="C416" s="143" t="s">
        <v>1102</v>
      </c>
      <c r="D416" s="143" t="s">
        <v>1251</v>
      </c>
      <c r="E416" s="143" t="s">
        <v>1252</v>
      </c>
      <c r="F416" s="143">
        <v>1</v>
      </c>
      <c r="G416" s="143" t="s">
        <v>643</v>
      </c>
      <c r="H416" s="149">
        <v>1</v>
      </c>
      <c r="I416" s="150">
        <v>10000</v>
      </c>
      <c r="J416" s="151">
        <f t="shared" si="43"/>
        <v>10000</v>
      </c>
      <c r="K416" s="152"/>
    </row>
    <row r="417" spans="1:14" s="141" customFormat="1" ht="20.25" customHeight="1">
      <c r="A417" s="147">
        <v>12</v>
      </c>
      <c r="B417" s="143" t="s">
        <v>1101</v>
      </c>
      <c r="C417" s="143" t="s">
        <v>1102</v>
      </c>
      <c r="D417" s="143" t="s">
        <v>1253</v>
      </c>
      <c r="E417" s="143"/>
      <c r="F417" s="143">
        <v>1</v>
      </c>
      <c r="G417" s="143" t="s">
        <v>1254</v>
      </c>
      <c r="H417" s="149">
        <v>1</v>
      </c>
      <c r="I417" s="150">
        <v>5000</v>
      </c>
      <c r="J417" s="151">
        <f t="shared" si="43"/>
        <v>5000</v>
      </c>
      <c r="K417" s="152"/>
    </row>
    <row r="418" spans="1:14" s="141" customFormat="1" ht="20.25" customHeight="1">
      <c r="A418" s="147">
        <v>13</v>
      </c>
      <c r="B418" s="143" t="s">
        <v>1101</v>
      </c>
      <c r="C418" s="143" t="s">
        <v>1102</v>
      </c>
      <c r="D418" s="143" t="s">
        <v>1011</v>
      </c>
      <c r="E418" s="148" t="s">
        <v>1092</v>
      </c>
      <c r="F418" s="143">
        <v>2</v>
      </c>
      <c r="G418" s="149" t="s">
        <v>1029</v>
      </c>
      <c r="H418" s="149">
        <v>2</v>
      </c>
      <c r="I418" s="157">
        <f>66590/2</f>
        <v>33295</v>
      </c>
      <c r="J418" s="159">
        <f t="shared" si="43"/>
        <v>66590</v>
      </c>
      <c r="K418" s="152"/>
    </row>
    <row r="419" spans="1:14" s="141" customFormat="1" ht="20.25" customHeight="1">
      <c r="A419" s="147">
        <v>14</v>
      </c>
      <c r="B419" s="143" t="s">
        <v>1101</v>
      </c>
      <c r="C419" s="143" t="s">
        <v>1102</v>
      </c>
      <c r="D419" s="143" t="s">
        <v>1011</v>
      </c>
      <c r="E419" s="148" t="s">
        <v>1093</v>
      </c>
      <c r="F419" s="143">
        <v>2</v>
      </c>
      <c r="G419" s="149" t="s">
        <v>1029</v>
      </c>
      <c r="H419" s="149">
        <v>2</v>
      </c>
      <c r="I419" s="157">
        <f>48660/2</f>
        <v>24330</v>
      </c>
      <c r="J419" s="159">
        <f t="shared" si="43"/>
        <v>48660</v>
      </c>
      <c r="K419" s="152"/>
    </row>
    <row r="420" spans="1:14" s="141" customFormat="1" ht="20.25" customHeight="1">
      <c r="A420" s="147">
        <v>15</v>
      </c>
      <c r="B420" s="143" t="s">
        <v>1101</v>
      </c>
      <c r="C420" s="143" t="s">
        <v>1102</v>
      </c>
      <c r="D420" s="143" t="s">
        <v>1011</v>
      </c>
      <c r="E420" s="148" t="s">
        <v>1094</v>
      </c>
      <c r="F420" s="143">
        <v>2</v>
      </c>
      <c r="G420" s="149" t="s">
        <v>1029</v>
      </c>
      <c r="H420" s="149">
        <v>2</v>
      </c>
      <c r="I420" s="157">
        <f>18222/3</f>
        <v>6074</v>
      </c>
      <c r="J420" s="159">
        <f t="shared" si="43"/>
        <v>12148</v>
      </c>
      <c r="K420" s="152"/>
      <c r="M420" s="185">
        <v>1909091</v>
      </c>
      <c r="N420" s="186" t="s">
        <v>1302</v>
      </c>
    </row>
    <row r="421" spans="1:14" s="141" customFormat="1" ht="20.25" customHeight="1">
      <c r="A421" s="147">
        <v>16</v>
      </c>
      <c r="B421" s="143" t="s">
        <v>1101</v>
      </c>
      <c r="C421" s="143" t="s">
        <v>1102</v>
      </c>
      <c r="D421" s="143" t="s">
        <v>1050</v>
      </c>
      <c r="E421" s="148" t="s">
        <v>1051</v>
      </c>
      <c r="F421" s="143">
        <v>2</v>
      </c>
      <c r="G421" s="149" t="s">
        <v>1052</v>
      </c>
      <c r="H421" s="149">
        <v>2</v>
      </c>
      <c r="I421" s="157">
        <v>30000</v>
      </c>
      <c r="J421" s="159">
        <f t="shared" si="43"/>
        <v>60000</v>
      </c>
      <c r="K421" s="152"/>
      <c r="M421" s="154">
        <f>200000+100000</f>
        <v>300000</v>
      </c>
      <c r="N421" s="210" t="s">
        <v>1561</v>
      </c>
    </row>
    <row r="422" spans="1:14" s="141" customFormat="1" ht="20.25" customHeight="1">
      <c r="A422" s="147">
        <v>17</v>
      </c>
      <c r="B422" s="143" t="s">
        <v>1101</v>
      </c>
      <c r="C422" s="143" t="s">
        <v>1102</v>
      </c>
      <c r="D422" s="143" t="s">
        <v>1027</v>
      </c>
      <c r="E422" s="143" t="s">
        <v>1103</v>
      </c>
      <c r="F422" s="143">
        <v>2</v>
      </c>
      <c r="G422" s="143" t="s">
        <v>1024</v>
      </c>
      <c r="H422" s="149">
        <v>2</v>
      </c>
      <c r="I422" s="157">
        <v>2300</v>
      </c>
      <c r="J422" s="159">
        <f t="shared" si="43"/>
        <v>4600</v>
      </c>
      <c r="K422" s="152"/>
      <c r="M422" s="183">
        <f>L425*7%</f>
        <v>62730.675000000003</v>
      </c>
      <c r="N422" s="141" t="s">
        <v>1303</v>
      </c>
    </row>
    <row r="423" spans="1:14" s="141" customFormat="1" ht="20.25" customHeight="1">
      <c r="A423" s="147">
        <v>18</v>
      </c>
      <c r="B423" s="143" t="s">
        <v>1101</v>
      </c>
      <c r="C423" s="143" t="s">
        <v>1102</v>
      </c>
      <c r="D423" s="143" t="s">
        <v>1041</v>
      </c>
      <c r="E423" s="148" t="s">
        <v>1035</v>
      </c>
      <c r="F423" s="143">
        <v>2</v>
      </c>
      <c r="G423" s="143" t="s">
        <v>1024</v>
      </c>
      <c r="H423" s="149">
        <v>2</v>
      </c>
      <c r="I423" s="150">
        <v>800</v>
      </c>
      <c r="J423" s="151">
        <f>H423*I423</f>
        <v>1600</v>
      </c>
      <c r="K423" s="152"/>
      <c r="M423" s="183">
        <f>(L425+M422)*20%</f>
        <v>191776.63500000001</v>
      </c>
      <c r="N423" s="141" t="s">
        <v>1304</v>
      </c>
    </row>
    <row r="424" spans="1:14" s="141" customFormat="1" ht="20.25" customHeight="1" thickBot="1">
      <c r="A424" s="147">
        <v>19</v>
      </c>
      <c r="B424" s="177" t="s">
        <v>1101</v>
      </c>
      <c r="C424" s="177" t="s">
        <v>1102</v>
      </c>
      <c r="D424" s="177" t="s">
        <v>1262</v>
      </c>
      <c r="E424" s="143" t="s">
        <v>1263</v>
      </c>
      <c r="F424" s="177">
        <v>2</v>
      </c>
      <c r="G424" s="177" t="s">
        <v>1116</v>
      </c>
      <c r="H424" s="178">
        <v>2</v>
      </c>
      <c r="I424" s="179">
        <v>700</v>
      </c>
      <c r="J424" s="180">
        <v>1400</v>
      </c>
      <c r="K424" s="181"/>
      <c r="M424" s="183">
        <f>(L425+M422+M423)*25%</f>
        <v>287664.95250000001</v>
      </c>
      <c r="N424" s="141" t="s">
        <v>1305</v>
      </c>
    </row>
    <row r="425" spans="1:14" s="141" customFormat="1" ht="20.25" customHeight="1" thickBot="1">
      <c r="A425" s="160">
        <v>20</v>
      </c>
      <c r="B425" s="161" t="s">
        <v>1101</v>
      </c>
      <c r="C425" s="161" t="s">
        <v>1102</v>
      </c>
      <c r="D425" s="161" t="s">
        <v>1264</v>
      </c>
      <c r="E425" s="169" t="s">
        <v>1267</v>
      </c>
      <c r="F425" s="161">
        <v>1</v>
      </c>
      <c r="G425" s="161" t="s">
        <v>1266</v>
      </c>
      <c r="H425" s="162">
        <v>1</v>
      </c>
      <c r="I425" s="170">
        <v>1400</v>
      </c>
      <c r="J425" s="171">
        <f t="shared" ref="J425" si="44">H425*I425</f>
        <v>1400</v>
      </c>
      <c r="K425" s="163"/>
      <c r="L425" s="172">
        <f>SUM(J406:J425)</f>
        <v>896152.5</v>
      </c>
      <c r="M425" s="184">
        <f>L425+M421+M422+M423+M424</f>
        <v>1738324.7625000002</v>
      </c>
      <c r="N425" s="141" t="s">
        <v>1307</v>
      </c>
    </row>
    <row r="426" spans="1:14" s="141" customFormat="1" ht="7.5" customHeight="1" thickBot="1">
      <c r="D426" s="164"/>
      <c r="E426" s="164"/>
      <c r="G426" s="165"/>
      <c r="H426" s="165"/>
      <c r="I426" s="167"/>
      <c r="J426" s="168"/>
    </row>
    <row r="427" spans="1:14" s="141" customFormat="1" ht="20.25" customHeight="1">
      <c r="A427" s="142">
        <v>1</v>
      </c>
      <c r="B427" s="144" t="s">
        <v>1140</v>
      </c>
      <c r="C427" s="144" t="s">
        <v>848</v>
      </c>
      <c r="D427" s="144" t="s">
        <v>1011</v>
      </c>
      <c r="E427" s="144" t="s">
        <v>1122</v>
      </c>
      <c r="F427" s="144">
        <v>1</v>
      </c>
      <c r="G427" s="145" t="s">
        <v>1012</v>
      </c>
      <c r="H427" s="145">
        <v>1</v>
      </c>
      <c r="I427" s="156">
        <f>200780/4</f>
        <v>50195</v>
      </c>
      <c r="J427" s="158">
        <f>H427*I427</f>
        <v>50195</v>
      </c>
      <c r="K427" s="146"/>
    </row>
    <row r="428" spans="1:14" s="141" customFormat="1" ht="20.25" customHeight="1">
      <c r="A428" s="147">
        <v>2</v>
      </c>
      <c r="B428" s="143" t="s">
        <v>1109</v>
      </c>
      <c r="C428" s="143" t="s">
        <v>1110</v>
      </c>
      <c r="D428" s="143" t="s">
        <v>1011</v>
      </c>
      <c r="E428" s="148" t="s">
        <v>1141</v>
      </c>
      <c r="F428" s="143">
        <v>1</v>
      </c>
      <c r="G428" s="149" t="s">
        <v>1012</v>
      </c>
      <c r="H428" s="149">
        <v>1</v>
      </c>
      <c r="I428" s="157">
        <f>88314/6</f>
        <v>14719</v>
      </c>
      <c r="J428" s="159">
        <f>H428*I428</f>
        <v>14719</v>
      </c>
      <c r="K428" s="152"/>
    </row>
    <row r="429" spans="1:14" s="141" customFormat="1" ht="20.25" customHeight="1">
      <c r="A429" s="147">
        <v>3</v>
      </c>
      <c r="B429" s="143" t="s">
        <v>1109</v>
      </c>
      <c r="C429" s="143" t="s">
        <v>1110</v>
      </c>
      <c r="D429" s="143" t="s">
        <v>1011</v>
      </c>
      <c r="E429" s="148" t="s">
        <v>1142</v>
      </c>
      <c r="F429" s="143">
        <v>1</v>
      </c>
      <c r="G429" s="149" t="s">
        <v>1012</v>
      </c>
      <c r="H429" s="149">
        <v>1</v>
      </c>
      <c r="I429" s="157">
        <f>88314/3</f>
        <v>29438</v>
      </c>
      <c r="J429" s="159">
        <f t="shared" ref="J429:J443" si="45">H429*I429</f>
        <v>29438</v>
      </c>
      <c r="K429" s="152"/>
    </row>
    <row r="430" spans="1:14" s="141" customFormat="1" ht="20.25" customHeight="1">
      <c r="A430" s="147">
        <v>4</v>
      </c>
      <c r="B430" s="143" t="s">
        <v>1109</v>
      </c>
      <c r="C430" s="143" t="s">
        <v>1110</v>
      </c>
      <c r="D430" s="143" t="s">
        <v>1013</v>
      </c>
      <c r="E430" s="148" t="s">
        <v>1143</v>
      </c>
      <c r="F430" s="143">
        <v>1</v>
      </c>
      <c r="G430" s="143" t="s">
        <v>1014</v>
      </c>
      <c r="H430" s="149">
        <v>1</v>
      </c>
      <c r="I430" s="157">
        <v>34000</v>
      </c>
      <c r="J430" s="159">
        <f t="shared" si="45"/>
        <v>34000</v>
      </c>
      <c r="K430" s="152"/>
    </row>
    <row r="431" spans="1:14" s="141" customFormat="1" ht="20.25" customHeight="1">
      <c r="A431" s="147">
        <v>5</v>
      </c>
      <c r="B431" s="143" t="s">
        <v>1109</v>
      </c>
      <c r="C431" s="143" t="s">
        <v>1110</v>
      </c>
      <c r="D431" s="143" t="s">
        <v>1015</v>
      </c>
      <c r="E431" s="148" t="s">
        <v>1144</v>
      </c>
      <c r="F431" s="143">
        <v>4</v>
      </c>
      <c r="G431" s="143" t="s">
        <v>1014</v>
      </c>
      <c r="H431" s="149">
        <v>4</v>
      </c>
      <c r="I431" s="157">
        <v>1700</v>
      </c>
      <c r="J431" s="159">
        <f t="shared" si="45"/>
        <v>6800</v>
      </c>
      <c r="K431" s="152"/>
    </row>
    <row r="432" spans="1:14" s="141" customFormat="1" ht="20.25" customHeight="1">
      <c r="A432" s="147">
        <v>6</v>
      </c>
      <c r="B432" s="143" t="s">
        <v>1109</v>
      </c>
      <c r="C432" s="143" t="s">
        <v>1110</v>
      </c>
      <c r="D432" s="143" t="s">
        <v>1020</v>
      </c>
      <c r="E432" s="143" t="s">
        <v>1138</v>
      </c>
      <c r="F432" s="143">
        <v>1</v>
      </c>
      <c r="G432" s="143" t="s">
        <v>1014</v>
      </c>
      <c r="H432" s="149">
        <v>1</v>
      </c>
      <c r="I432" s="150">
        <v>18000</v>
      </c>
      <c r="J432" s="151">
        <f t="shared" si="45"/>
        <v>18000</v>
      </c>
      <c r="K432" s="152"/>
    </row>
    <row r="433" spans="1:14" s="141" customFormat="1" ht="20.25" customHeight="1">
      <c r="A433" s="147">
        <v>7</v>
      </c>
      <c r="B433" s="143" t="s">
        <v>1109</v>
      </c>
      <c r="C433" s="143" t="s">
        <v>1110</v>
      </c>
      <c r="D433" s="143" t="s">
        <v>1021</v>
      </c>
      <c r="E433" s="143" t="s">
        <v>1138</v>
      </c>
      <c r="F433" s="143">
        <v>1</v>
      </c>
      <c r="G433" s="143" t="s">
        <v>1014</v>
      </c>
      <c r="H433" s="149">
        <v>1</v>
      </c>
      <c r="I433" s="150">
        <v>5000</v>
      </c>
      <c r="J433" s="151">
        <f t="shared" si="45"/>
        <v>5000</v>
      </c>
      <c r="K433" s="152"/>
    </row>
    <row r="434" spans="1:14" s="141" customFormat="1" ht="20.25" customHeight="1">
      <c r="A434" s="147">
        <v>8</v>
      </c>
      <c r="B434" s="143" t="s">
        <v>1109</v>
      </c>
      <c r="C434" s="143" t="s">
        <v>1110</v>
      </c>
      <c r="D434" s="143" t="s">
        <v>1145</v>
      </c>
      <c r="E434" s="143" t="s">
        <v>1146</v>
      </c>
      <c r="F434" s="143">
        <v>1</v>
      </c>
      <c r="G434" s="143" t="s">
        <v>1147</v>
      </c>
      <c r="H434" s="149">
        <v>1</v>
      </c>
      <c r="I434" s="150">
        <v>16000</v>
      </c>
      <c r="J434" s="151">
        <f t="shared" si="45"/>
        <v>16000</v>
      </c>
      <c r="K434" s="152"/>
    </row>
    <row r="435" spans="1:14" s="141" customFormat="1" ht="20.25" customHeight="1">
      <c r="A435" s="147">
        <v>9</v>
      </c>
      <c r="B435" s="143" t="s">
        <v>1109</v>
      </c>
      <c r="C435" s="143" t="s">
        <v>1110</v>
      </c>
      <c r="D435" s="143" t="s">
        <v>1115</v>
      </c>
      <c r="E435" s="143" t="s">
        <v>1148</v>
      </c>
      <c r="F435" s="143">
        <v>1</v>
      </c>
      <c r="G435" s="143" t="s">
        <v>1116</v>
      </c>
      <c r="H435" s="149">
        <v>1</v>
      </c>
      <c r="I435" s="150">
        <v>4000</v>
      </c>
      <c r="J435" s="151">
        <v>5400</v>
      </c>
      <c r="K435" s="152"/>
    </row>
    <row r="436" spans="1:14" s="141" customFormat="1" ht="20.25" customHeight="1">
      <c r="A436" s="147">
        <v>10</v>
      </c>
      <c r="B436" s="143" t="s">
        <v>1109</v>
      </c>
      <c r="C436" s="143" t="s">
        <v>1110</v>
      </c>
      <c r="D436" s="143" t="s">
        <v>1117</v>
      </c>
      <c r="E436" s="143" t="s">
        <v>1149</v>
      </c>
      <c r="F436" s="143">
        <v>1</v>
      </c>
      <c r="G436" s="143" t="s">
        <v>1116</v>
      </c>
      <c r="H436" s="149">
        <v>1</v>
      </c>
      <c r="I436" s="150">
        <v>2000</v>
      </c>
      <c r="J436" s="151">
        <v>2300</v>
      </c>
      <c r="K436" s="152"/>
    </row>
    <row r="437" spans="1:14" s="141" customFormat="1" ht="20.25" customHeight="1">
      <c r="A437" s="147">
        <v>11</v>
      </c>
      <c r="B437" s="143" t="s">
        <v>1109</v>
      </c>
      <c r="C437" s="143" t="s">
        <v>1110</v>
      </c>
      <c r="D437" s="143" t="s">
        <v>1023</v>
      </c>
      <c r="E437" s="143" t="s">
        <v>1150</v>
      </c>
      <c r="F437" s="143">
        <v>1</v>
      </c>
      <c r="G437" s="143" t="s">
        <v>1024</v>
      </c>
      <c r="H437" s="149">
        <v>1</v>
      </c>
      <c r="I437" s="150">
        <v>5000</v>
      </c>
      <c r="J437" s="151">
        <f t="shared" si="45"/>
        <v>5000</v>
      </c>
      <c r="K437" s="152"/>
    </row>
    <row r="438" spans="1:14" s="141" customFormat="1" ht="20.25" customHeight="1">
      <c r="A438" s="147">
        <v>12</v>
      </c>
      <c r="B438" s="143" t="s">
        <v>1109</v>
      </c>
      <c r="C438" s="143" t="s">
        <v>1110</v>
      </c>
      <c r="D438" s="143" t="s">
        <v>1251</v>
      </c>
      <c r="E438" s="143" t="s">
        <v>1255</v>
      </c>
      <c r="F438" s="143">
        <v>1</v>
      </c>
      <c r="G438" s="143" t="s">
        <v>643</v>
      </c>
      <c r="H438" s="149">
        <v>1</v>
      </c>
      <c r="I438" s="150">
        <v>10000</v>
      </c>
      <c r="J438" s="151">
        <f t="shared" si="45"/>
        <v>10000</v>
      </c>
      <c r="K438" s="152"/>
    </row>
    <row r="439" spans="1:14" s="141" customFormat="1" ht="20.25" customHeight="1">
      <c r="A439" s="147">
        <v>13</v>
      </c>
      <c r="B439" s="143" t="s">
        <v>1109</v>
      </c>
      <c r="C439" s="143" t="s">
        <v>1110</v>
      </c>
      <c r="D439" s="143" t="s">
        <v>1253</v>
      </c>
      <c r="E439" s="143"/>
      <c r="F439" s="143">
        <v>1</v>
      </c>
      <c r="G439" s="143" t="s">
        <v>1254</v>
      </c>
      <c r="H439" s="149">
        <v>1</v>
      </c>
      <c r="I439" s="150">
        <v>5000</v>
      </c>
      <c r="J439" s="151">
        <f t="shared" si="45"/>
        <v>5000</v>
      </c>
      <c r="K439" s="152"/>
    </row>
    <row r="440" spans="1:14" s="141" customFormat="1" ht="20.25" customHeight="1">
      <c r="A440" s="147">
        <v>14</v>
      </c>
      <c r="B440" s="143" t="s">
        <v>1109</v>
      </c>
      <c r="C440" s="143" t="s">
        <v>1110</v>
      </c>
      <c r="D440" s="143" t="s">
        <v>1011</v>
      </c>
      <c r="E440" s="148" t="s">
        <v>1118</v>
      </c>
      <c r="F440" s="143">
        <v>1</v>
      </c>
      <c r="G440" s="149" t="s">
        <v>1029</v>
      </c>
      <c r="H440" s="149">
        <v>1</v>
      </c>
      <c r="I440" s="157">
        <f>49425/3</f>
        <v>16475</v>
      </c>
      <c r="J440" s="159">
        <f t="shared" si="45"/>
        <v>16475</v>
      </c>
      <c r="K440" s="152"/>
    </row>
    <row r="441" spans="1:14" s="141" customFormat="1" ht="20.25" customHeight="1">
      <c r="A441" s="147">
        <v>15</v>
      </c>
      <c r="B441" s="143" t="s">
        <v>1109</v>
      </c>
      <c r="C441" s="143" t="s">
        <v>1110</v>
      </c>
      <c r="D441" s="143" t="s">
        <v>1011</v>
      </c>
      <c r="E441" s="148" t="s">
        <v>1151</v>
      </c>
      <c r="F441" s="143">
        <v>1</v>
      </c>
      <c r="G441" s="149" t="s">
        <v>1029</v>
      </c>
      <c r="H441" s="149">
        <v>1</v>
      </c>
      <c r="I441" s="157">
        <f>48660/3</f>
        <v>16220</v>
      </c>
      <c r="J441" s="159">
        <f t="shared" si="45"/>
        <v>16220</v>
      </c>
      <c r="K441" s="152"/>
      <c r="M441" s="185">
        <v>664545</v>
      </c>
      <c r="N441" s="186" t="s">
        <v>1302</v>
      </c>
    </row>
    <row r="442" spans="1:14" s="141" customFormat="1" ht="20.25" customHeight="1">
      <c r="A442" s="147">
        <v>16</v>
      </c>
      <c r="B442" s="143" t="s">
        <v>1109</v>
      </c>
      <c r="C442" s="143" t="s">
        <v>1110</v>
      </c>
      <c r="D442" s="143" t="s">
        <v>1011</v>
      </c>
      <c r="E442" s="148" t="s">
        <v>1108</v>
      </c>
      <c r="F442" s="143">
        <v>1</v>
      </c>
      <c r="G442" s="149" t="s">
        <v>1029</v>
      </c>
      <c r="H442" s="149">
        <v>1</v>
      </c>
      <c r="I442" s="157">
        <f>18222/3</f>
        <v>6074</v>
      </c>
      <c r="J442" s="159">
        <f t="shared" si="45"/>
        <v>6074</v>
      </c>
      <c r="K442" s="152"/>
      <c r="M442" s="154">
        <f>150000+100000</f>
        <v>250000</v>
      </c>
      <c r="N442" s="210" t="s">
        <v>1561</v>
      </c>
    </row>
    <row r="443" spans="1:14" s="141" customFormat="1" ht="20.25" customHeight="1">
      <c r="A443" s="147">
        <v>17</v>
      </c>
      <c r="B443" s="143" t="s">
        <v>1109</v>
      </c>
      <c r="C443" s="143" t="s">
        <v>1110</v>
      </c>
      <c r="D443" s="143" t="s">
        <v>1050</v>
      </c>
      <c r="E443" s="148" t="s">
        <v>1051</v>
      </c>
      <c r="F443" s="143">
        <v>1</v>
      </c>
      <c r="G443" s="149" t="s">
        <v>1079</v>
      </c>
      <c r="H443" s="149">
        <v>1</v>
      </c>
      <c r="I443" s="157">
        <v>30000</v>
      </c>
      <c r="J443" s="159">
        <f t="shared" si="45"/>
        <v>30000</v>
      </c>
      <c r="K443" s="152"/>
      <c r="M443" s="183">
        <f>L446*7%</f>
        <v>19146.47</v>
      </c>
      <c r="N443" s="141" t="s">
        <v>1303</v>
      </c>
    </row>
    <row r="444" spans="1:14" s="141" customFormat="1" ht="20.25" customHeight="1">
      <c r="A444" s="147">
        <v>18</v>
      </c>
      <c r="B444" s="143" t="s">
        <v>1109</v>
      </c>
      <c r="C444" s="143" t="s">
        <v>1110</v>
      </c>
      <c r="D444" s="143" t="s">
        <v>1041</v>
      </c>
      <c r="E444" s="148" t="s">
        <v>1119</v>
      </c>
      <c r="F444" s="143">
        <v>1</v>
      </c>
      <c r="G444" s="143" t="s">
        <v>1024</v>
      </c>
      <c r="H444" s="149">
        <v>1</v>
      </c>
      <c r="I444" s="150">
        <v>800</v>
      </c>
      <c r="J444" s="151">
        <f>H444*I444</f>
        <v>800</v>
      </c>
      <c r="K444" s="152"/>
      <c r="M444" s="183">
        <f>(L446+M443)*20%</f>
        <v>58533.493999999999</v>
      </c>
      <c r="N444" s="141" t="s">
        <v>1304</v>
      </c>
    </row>
    <row r="445" spans="1:14" s="141" customFormat="1" ht="20.25" customHeight="1" thickBot="1">
      <c r="A445" s="147">
        <v>19</v>
      </c>
      <c r="B445" s="177" t="s">
        <v>1109</v>
      </c>
      <c r="C445" s="177" t="s">
        <v>1110</v>
      </c>
      <c r="D445" s="177" t="s">
        <v>1262</v>
      </c>
      <c r="E445" s="143" t="s">
        <v>1263</v>
      </c>
      <c r="F445" s="177">
        <v>1</v>
      </c>
      <c r="G445" s="177" t="s">
        <v>1116</v>
      </c>
      <c r="H445" s="178">
        <v>1</v>
      </c>
      <c r="I445" s="179">
        <v>700</v>
      </c>
      <c r="J445" s="180">
        <v>700</v>
      </c>
      <c r="K445" s="181"/>
      <c r="M445" s="183">
        <f>(L446+M443+M444)*25%</f>
        <v>87800.240999999995</v>
      </c>
      <c r="N445" s="141" t="s">
        <v>1305</v>
      </c>
    </row>
    <row r="446" spans="1:14" s="141" customFormat="1" ht="20.25" customHeight="1" thickBot="1">
      <c r="A446" s="160">
        <v>20</v>
      </c>
      <c r="B446" s="161" t="s">
        <v>1109</v>
      </c>
      <c r="C446" s="161" t="s">
        <v>1110</v>
      </c>
      <c r="D446" s="161" t="s">
        <v>1264</v>
      </c>
      <c r="E446" s="169" t="s">
        <v>1267</v>
      </c>
      <c r="F446" s="161">
        <v>1</v>
      </c>
      <c r="G446" s="161" t="s">
        <v>1266</v>
      </c>
      <c r="H446" s="162">
        <v>1</v>
      </c>
      <c r="I446" s="170">
        <v>1400</v>
      </c>
      <c r="J446" s="171">
        <f t="shared" ref="J446" si="46">H446*I446</f>
        <v>1400</v>
      </c>
      <c r="K446" s="163"/>
      <c r="L446" s="172">
        <f>SUM(J427:J446)</f>
        <v>273521</v>
      </c>
      <c r="M446" s="184">
        <f>L446+M442+M443+M444+M445</f>
        <v>689001.20499999996</v>
      </c>
      <c r="N446" s="141" t="s">
        <v>1307</v>
      </c>
    </row>
    <row r="447" spans="1:14" s="141" customFormat="1" ht="7.5" customHeight="1" thickBot="1">
      <c r="D447" s="164"/>
      <c r="E447" s="164"/>
      <c r="G447" s="165"/>
      <c r="H447" s="165"/>
      <c r="I447" s="167"/>
      <c r="J447" s="168"/>
    </row>
    <row r="448" spans="1:14" s="141" customFormat="1" ht="20.25" customHeight="1">
      <c r="A448" s="142">
        <v>1</v>
      </c>
      <c r="B448" s="144" t="s">
        <v>1152</v>
      </c>
      <c r="C448" s="144" t="s">
        <v>849</v>
      </c>
      <c r="D448" s="144" t="s">
        <v>1011</v>
      </c>
      <c r="E448" s="144" t="s">
        <v>1122</v>
      </c>
      <c r="F448" s="144">
        <v>1</v>
      </c>
      <c r="G448" s="145" t="s">
        <v>1012</v>
      </c>
      <c r="H448" s="145">
        <v>1</v>
      </c>
      <c r="I448" s="156">
        <f>200780/4</f>
        <v>50195</v>
      </c>
      <c r="J448" s="158">
        <f>H448*I448</f>
        <v>50195</v>
      </c>
      <c r="K448" s="146"/>
    </row>
    <row r="449" spans="1:14" s="141" customFormat="1" ht="20.25" customHeight="1">
      <c r="A449" s="147">
        <v>2</v>
      </c>
      <c r="B449" s="143" t="s">
        <v>1111</v>
      </c>
      <c r="C449" s="143" t="s">
        <v>1112</v>
      </c>
      <c r="D449" s="143" t="s">
        <v>1011</v>
      </c>
      <c r="E449" s="148" t="s">
        <v>1121</v>
      </c>
      <c r="F449" s="143">
        <v>1</v>
      </c>
      <c r="G449" s="149" t="s">
        <v>1012</v>
      </c>
      <c r="H449" s="149">
        <v>1</v>
      </c>
      <c r="I449" s="157">
        <f>88314/6</f>
        <v>14719</v>
      </c>
      <c r="J449" s="159">
        <f>H449*I449</f>
        <v>14719</v>
      </c>
      <c r="K449" s="152"/>
    </row>
    <row r="450" spans="1:14" s="141" customFormat="1" ht="20.25" customHeight="1">
      <c r="A450" s="147">
        <v>3</v>
      </c>
      <c r="B450" s="143" t="s">
        <v>1111</v>
      </c>
      <c r="C450" s="143" t="s">
        <v>1112</v>
      </c>
      <c r="D450" s="143" t="s">
        <v>1011</v>
      </c>
      <c r="E450" s="148" t="s">
        <v>1153</v>
      </c>
      <c r="F450" s="143">
        <v>1</v>
      </c>
      <c r="G450" s="149" t="s">
        <v>1012</v>
      </c>
      <c r="H450" s="149">
        <v>1</v>
      </c>
      <c r="I450" s="157">
        <f>88314/2</f>
        <v>44157</v>
      </c>
      <c r="J450" s="159">
        <f t="shared" ref="J450:J464" si="47">H450*I450</f>
        <v>44157</v>
      </c>
      <c r="K450" s="152"/>
    </row>
    <row r="451" spans="1:14" s="141" customFormat="1" ht="20.25" customHeight="1">
      <c r="A451" s="147">
        <v>4</v>
      </c>
      <c r="B451" s="143" t="s">
        <v>1111</v>
      </c>
      <c r="C451" s="143" t="s">
        <v>1112</v>
      </c>
      <c r="D451" s="143" t="s">
        <v>1013</v>
      </c>
      <c r="E451" s="148" t="s">
        <v>1143</v>
      </c>
      <c r="F451" s="143">
        <v>1</v>
      </c>
      <c r="G451" s="143" t="s">
        <v>1014</v>
      </c>
      <c r="H451" s="149">
        <v>1</v>
      </c>
      <c r="I451" s="157">
        <v>34000</v>
      </c>
      <c r="J451" s="159">
        <f t="shared" si="47"/>
        <v>34000</v>
      </c>
      <c r="K451" s="152"/>
    </row>
    <row r="452" spans="1:14" s="141" customFormat="1" ht="20.25" customHeight="1">
      <c r="A452" s="147">
        <v>5</v>
      </c>
      <c r="B452" s="143" t="s">
        <v>1111</v>
      </c>
      <c r="C452" s="143" t="s">
        <v>1112</v>
      </c>
      <c r="D452" s="143" t="s">
        <v>1015</v>
      </c>
      <c r="E452" s="148" t="s">
        <v>1144</v>
      </c>
      <c r="F452" s="143">
        <v>4</v>
      </c>
      <c r="G452" s="143" t="s">
        <v>1014</v>
      </c>
      <c r="H452" s="149">
        <v>4</v>
      </c>
      <c r="I452" s="157">
        <v>1700</v>
      </c>
      <c r="J452" s="159">
        <f t="shared" si="47"/>
        <v>6800</v>
      </c>
      <c r="K452" s="152"/>
    </row>
    <row r="453" spans="1:14" s="141" customFormat="1" ht="20.25" customHeight="1">
      <c r="A453" s="147">
        <v>6</v>
      </c>
      <c r="B453" s="143" t="s">
        <v>1111</v>
      </c>
      <c r="C453" s="143" t="s">
        <v>1112</v>
      </c>
      <c r="D453" s="143" t="s">
        <v>1020</v>
      </c>
      <c r="E453" s="143" t="s">
        <v>1138</v>
      </c>
      <c r="F453" s="143">
        <v>1</v>
      </c>
      <c r="G453" s="143" t="s">
        <v>1014</v>
      </c>
      <c r="H453" s="149">
        <v>1</v>
      </c>
      <c r="I453" s="150">
        <v>18000</v>
      </c>
      <c r="J453" s="151">
        <f t="shared" si="47"/>
        <v>18000</v>
      </c>
      <c r="K453" s="152"/>
    </row>
    <row r="454" spans="1:14" s="141" customFormat="1" ht="20.25" customHeight="1">
      <c r="A454" s="147">
        <v>7</v>
      </c>
      <c r="B454" s="143" t="s">
        <v>1111</v>
      </c>
      <c r="C454" s="143" t="s">
        <v>1112</v>
      </c>
      <c r="D454" s="143" t="s">
        <v>1021</v>
      </c>
      <c r="E454" s="143" t="s">
        <v>1138</v>
      </c>
      <c r="F454" s="143">
        <v>1</v>
      </c>
      <c r="G454" s="143" t="s">
        <v>1014</v>
      </c>
      <c r="H454" s="149">
        <v>1</v>
      </c>
      <c r="I454" s="150">
        <v>5000</v>
      </c>
      <c r="J454" s="151">
        <f t="shared" si="47"/>
        <v>5000</v>
      </c>
      <c r="K454" s="152"/>
    </row>
    <row r="455" spans="1:14" s="141" customFormat="1" ht="20.25" customHeight="1">
      <c r="A455" s="147">
        <v>8</v>
      </c>
      <c r="B455" s="143" t="s">
        <v>1111</v>
      </c>
      <c r="C455" s="143" t="s">
        <v>1112</v>
      </c>
      <c r="D455" s="143" t="s">
        <v>1145</v>
      </c>
      <c r="E455" s="143" t="s">
        <v>1146</v>
      </c>
      <c r="F455" s="143">
        <v>1</v>
      </c>
      <c r="G455" s="143" t="s">
        <v>1147</v>
      </c>
      <c r="H455" s="149">
        <v>1</v>
      </c>
      <c r="I455" s="150">
        <v>16000</v>
      </c>
      <c r="J455" s="151">
        <f t="shared" si="47"/>
        <v>16000</v>
      </c>
      <c r="K455" s="152"/>
    </row>
    <row r="456" spans="1:14" s="141" customFormat="1" ht="20.25" customHeight="1">
      <c r="A456" s="147">
        <v>9</v>
      </c>
      <c r="B456" s="143" t="s">
        <v>1111</v>
      </c>
      <c r="C456" s="143" t="s">
        <v>1112</v>
      </c>
      <c r="D456" s="143" t="s">
        <v>1115</v>
      </c>
      <c r="E456" s="143" t="s">
        <v>1148</v>
      </c>
      <c r="F456" s="143">
        <v>1</v>
      </c>
      <c r="G456" s="143" t="s">
        <v>1116</v>
      </c>
      <c r="H456" s="149">
        <v>1</v>
      </c>
      <c r="I456" s="150">
        <v>4000</v>
      </c>
      <c r="J456" s="151">
        <f t="shared" si="47"/>
        <v>4000</v>
      </c>
      <c r="K456" s="152"/>
    </row>
    <row r="457" spans="1:14" s="141" customFormat="1" ht="20.25" customHeight="1">
      <c r="A457" s="147">
        <v>10</v>
      </c>
      <c r="B457" s="143" t="s">
        <v>1111</v>
      </c>
      <c r="C457" s="143" t="s">
        <v>1112</v>
      </c>
      <c r="D457" s="143" t="s">
        <v>1117</v>
      </c>
      <c r="E457" s="143" t="s">
        <v>1148</v>
      </c>
      <c r="F457" s="143">
        <v>1</v>
      </c>
      <c r="G457" s="143" t="s">
        <v>1116</v>
      </c>
      <c r="H457" s="149">
        <v>1</v>
      </c>
      <c r="I457" s="150">
        <v>2000</v>
      </c>
      <c r="J457" s="151"/>
      <c r="K457" s="152"/>
    </row>
    <row r="458" spans="1:14" s="141" customFormat="1" ht="20.25" customHeight="1">
      <c r="A458" s="147">
        <v>11</v>
      </c>
      <c r="B458" s="143" t="s">
        <v>1111</v>
      </c>
      <c r="C458" s="143" t="s">
        <v>1112</v>
      </c>
      <c r="D458" s="143" t="s">
        <v>1023</v>
      </c>
      <c r="E458" s="143" t="s">
        <v>1150</v>
      </c>
      <c r="F458" s="143">
        <v>1</v>
      </c>
      <c r="G458" s="143" t="s">
        <v>1024</v>
      </c>
      <c r="H458" s="149">
        <v>1</v>
      </c>
      <c r="I458" s="150">
        <v>5000</v>
      </c>
      <c r="J458" s="151">
        <f t="shared" si="47"/>
        <v>5000</v>
      </c>
      <c r="K458" s="152"/>
    </row>
    <row r="459" spans="1:14" s="141" customFormat="1" ht="20.25" customHeight="1">
      <c r="A459" s="147">
        <v>12</v>
      </c>
      <c r="B459" s="143" t="s">
        <v>1111</v>
      </c>
      <c r="C459" s="143" t="s">
        <v>1112</v>
      </c>
      <c r="D459" s="143" t="s">
        <v>1251</v>
      </c>
      <c r="E459" s="143" t="s">
        <v>1256</v>
      </c>
      <c r="F459" s="143">
        <v>1</v>
      </c>
      <c r="G459" s="143" t="s">
        <v>643</v>
      </c>
      <c r="H459" s="149">
        <v>1</v>
      </c>
      <c r="I459" s="150">
        <v>10000</v>
      </c>
      <c r="J459" s="151">
        <f t="shared" si="47"/>
        <v>10000</v>
      </c>
      <c r="K459" s="152"/>
    </row>
    <row r="460" spans="1:14" s="141" customFormat="1" ht="20.25" customHeight="1">
      <c r="A460" s="147">
        <v>13</v>
      </c>
      <c r="B460" s="143" t="s">
        <v>1111</v>
      </c>
      <c r="C460" s="143" t="s">
        <v>1112</v>
      </c>
      <c r="D460" s="143" t="s">
        <v>1253</v>
      </c>
      <c r="E460" s="143"/>
      <c r="F460" s="143">
        <v>1</v>
      </c>
      <c r="G460" s="143" t="s">
        <v>1254</v>
      </c>
      <c r="H460" s="149">
        <v>1</v>
      </c>
      <c r="I460" s="150">
        <v>5000</v>
      </c>
      <c r="J460" s="151">
        <f t="shared" si="47"/>
        <v>5000</v>
      </c>
      <c r="K460" s="152"/>
    </row>
    <row r="461" spans="1:14" s="141" customFormat="1" ht="20.25" customHeight="1">
      <c r="A461" s="147">
        <v>14</v>
      </c>
      <c r="B461" s="143" t="s">
        <v>1111</v>
      </c>
      <c r="C461" s="143" t="s">
        <v>1112</v>
      </c>
      <c r="D461" s="143" t="s">
        <v>1011</v>
      </c>
      <c r="E461" s="148" t="s">
        <v>1118</v>
      </c>
      <c r="F461" s="143">
        <v>1</v>
      </c>
      <c r="G461" s="149" t="s">
        <v>1029</v>
      </c>
      <c r="H461" s="149">
        <v>1</v>
      </c>
      <c r="I461" s="157">
        <f>49425/3</f>
        <v>16475</v>
      </c>
      <c r="J461" s="159">
        <f t="shared" si="47"/>
        <v>16475</v>
      </c>
      <c r="K461" s="152"/>
    </row>
    <row r="462" spans="1:14" s="141" customFormat="1" ht="20.25" customHeight="1">
      <c r="A462" s="147">
        <v>15</v>
      </c>
      <c r="B462" s="143" t="s">
        <v>1111</v>
      </c>
      <c r="C462" s="143" t="s">
        <v>1112</v>
      </c>
      <c r="D462" s="143" t="s">
        <v>1011</v>
      </c>
      <c r="E462" s="148" t="s">
        <v>1151</v>
      </c>
      <c r="F462" s="143">
        <v>1</v>
      </c>
      <c r="G462" s="149" t="s">
        <v>1029</v>
      </c>
      <c r="H462" s="149">
        <v>1</v>
      </c>
      <c r="I462" s="157">
        <f>48660/3</f>
        <v>16220</v>
      </c>
      <c r="J462" s="159">
        <f t="shared" si="47"/>
        <v>16220</v>
      </c>
      <c r="K462" s="152"/>
      <c r="M462" s="185">
        <v>711818</v>
      </c>
      <c r="N462" s="186" t="s">
        <v>1302</v>
      </c>
    </row>
    <row r="463" spans="1:14" s="141" customFormat="1" ht="20.25" customHeight="1">
      <c r="A463" s="147">
        <v>16</v>
      </c>
      <c r="B463" s="143" t="s">
        <v>1111</v>
      </c>
      <c r="C463" s="143" t="s">
        <v>1112</v>
      </c>
      <c r="D463" s="143" t="s">
        <v>1011</v>
      </c>
      <c r="E463" s="148" t="s">
        <v>1108</v>
      </c>
      <c r="F463" s="143">
        <v>1</v>
      </c>
      <c r="G463" s="149" t="s">
        <v>1029</v>
      </c>
      <c r="H463" s="149">
        <v>1</v>
      </c>
      <c r="I463" s="157">
        <f>18222/3</f>
        <v>6074</v>
      </c>
      <c r="J463" s="159">
        <f t="shared" si="47"/>
        <v>6074</v>
      </c>
      <c r="K463" s="152"/>
      <c r="M463" s="154">
        <f>150000+100000</f>
        <v>250000</v>
      </c>
      <c r="N463" s="210" t="s">
        <v>1561</v>
      </c>
    </row>
    <row r="464" spans="1:14" s="141" customFormat="1" ht="20.25" customHeight="1">
      <c r="A464" s="147">
        <v>17</v>
      </c>
      <c r="B464" s="143" t="s">
        <v>1111</v>
      </c>
      <c r="C464" s="143" t="s">
        <v>1112</v>
      </c>
      <c r="D464" s="143" t="s">
        <v>1050</v>
      </c>
      <c r="E464" s="148" t="s">
        <v>1051</v>
      </c>
      <c r="F464" s="143">
        <v>1</v>
      </c>
      <c r="G464" s="149" t="s">
        <v>1105</v>
      </c>
      <c r="H464" s="149">
        <v>1</v>
      </c>
      <c r="I464" s="157">
        <v>30000</v>
      </c>
      <c r="J464" s="159">
        <f t="shared" si="47"/>
        <v>30000</v>
      </c>
      <c r="K464" s="152"/>
      <c r="M464" s="183">
        <f>L467*7%</f>
        <v>19917.800000000003</v>
      </c>
      <c r="N464" s="141" t="s">
        <v>1303</v>
      </c>
    </row>
    <row r="465" spans="1:14" s="141" customFormat="1" ht="20.25" customHeight="1">
      <c r="A465" s="147">
        <v>18</v>
      </c>
      <c r="B465" s="143" t="s">
        <v>1111</v>
      </c>
      <c r="C465" s="143" t="s">
        <v>1112</v>
      </c>
      <c r="D465" s="143" t="s">
        <v>1041</v>
      </c>
      <c r="E465" s="148" t="s">
        <v>1119</v>
      </c>
      <c r="F465" s="143">
        <v>1</v>
      </c>
      <c r="G465" s="143" t="s">
        <v>1106</v>
      </c>
      <c r="H465" s="149">
        <v>1</v>
      </c>
      <c r="I465" s="150">
        <v>800</v>
      </c>
      <c r="J465" s="151">
        <f>H465*I465</f>
        <v>800</v>
      </c>
      <c r="K465" s="152"/>
      <c r="M465" s="183">
        <f>(L467+M464)*20%</f>
        <v>60891.56</v>
      </c>
      <c r="N465" s="141" t="s">
        <v>1304</v>
      </c>
    </row>
    <row r="466" spans="1:14" s="141" customFormat="1" ht="20.25" customHeight="1" thickBot="1">
      <c r="A466" s="147">
        <v>19</v>
      </c>
      <c r="B466" s="177" t="s">
        <v>1111</v>
      </c>
      <c r="C466" s="177" t="s">
        <v>1112</v>
      </c>
      <c r="D466" s="177" t="s">
        <v>1262</v>
      </c>
      <c r="E466" s="143" t="s">
        <v>1263</v>
      </c>
      <c r="F466" s="177">
        <v>1</v>
      </c>
      <c r="G466" s="177" t="s">
        <v>1116</v>
      </c>
      <c r="H466" s="178">
        <v>1</v>
      </c>
      <c r="I466" s="179">
        <v>700</v>
      </c>
      <c r="J466" s="180">
        <v>700</v>
      </c>
      <c r="K466" s="181"/>
      <c r="M466" s="183">
        <f>(L467+M464+M465)*25%</f>
        <v>91337.34</v>
      </c>
      <c r="N466" s="141" t="s">
        <v>1305</v>
      </c>
    </row>
    <row r="467" spans="1:14" s="141" customFormat="1" ht="20.25" customHeight="1" thickBot="1">
      <c r="A467" s="160">
        <v>20</v>
      </c>
      <c r="B467" s="161" t="s">
        <v>1111</v>
      </c>
      <c r="C467" s="161" t="s">
        <v>1112</v>
      </c>
      <c r="D467" s="161" t="s">
        <v>1264</v>
      </c>
      <c r="E467" s="169" t="s">
        <v>1267</v>
      </c>
      <c r="F467" s="161">
        <v>1</v>
      </c>
      <c r="G467" s="161" t="s">
        <v>1266</v>
      </c>
      <c r="H467" s="162">
        <v>1</v>
      </c>
      <c r="I467" s="170">
        <v>1400</v>
      </c>
      <c r="J467" s="171">
        <f t="shared" ref="J467" si="48">H467*I467</f>
        <v>1400</v>
      </c>
      <c r="K467" s="163"/>
      <c r="L467" s="172">
        <f>SUM(J448:J467)</f>
        <v>284540</v>
      </c>
      <c r="M467" s="184">
        <f>L467+M463+M464+M465+M466</f>
        <v>706686.70000000007</v>
      </c>
      <c r="N467" s="141" t="s">
        <v>1307</v>
      </c>
    </row>
    <row r="468" spans="1:14" s="141" customFormat="1" ht="7.5" customHeight="1" thickBot="1">
      <c r="D468" s="164"/>
      <c r="E468" s="164"/>
      <c r="G468" s="165"/>
      <c r="H468" s="165"/>
      <c r="I468" s="167"/>
      <c r="J468" s="168"/>
    </row>
    <row r="469" spans="1:14" s="141" customFormat="1" ht="20.25" customHeight="1">
      <c r="A469" s="142">
        <v>1</v>
      </c>
      <c r="B469" s="144" t="s">
        <v>1154</v>
      </c>
      <c r="C469" s="144" t="s">
        <v>853</v>
      </c>
      <c r="D469" s="144" t="s">
        <v>1011</v>
      </c>
      <c r="E469" s="144" t="s">
        <v>1120</v>
      </c>
      <c r="F469" s="144">
        <v>1</v>
      </c>
      <c r="G469" s="145" t="s">
        <v>1107</v>
      </c>
      <c r="H469" s="145">
        <v>1</v>
      </c>
      <c r="I469" s="156">
        <f>200780/4</f>
        <v>50195</v>
      </c>
      <c r="J469" s="158">
        <f>H469*I469</f>
        <v>50195</v>
      </c>
      <c r="K469" s="146"/>
    </row>
    <row r="470" spans="1:14" s="141" customFormat="1" ht="20.25" customHeight="1">
      <c r="A470" s="147">
        <v>2</v>
      </c>
      <c r="B470" s="143" t="s">
        <v>1113</v>
      </c>
      <c r="C470" s="143" t="s">
        <v>1114</v>
      </c>
      <c r="D470" s="143" t="s">
        <v>1011</v>
      </c>
      <c r="E470" s="148" t="s">
        <v>1121</v>
      </c>
      <c r="F470" s="143">
        <v>1</v>
      </c>
      <c r="G470" s="149" t="s">
        <v>1107</v>
      </c>
      <c r="H470" s="149">
        <v>1</v>
      </c>
      <c r="I470" s="157">
        <f>88314/6</f>
        <v>14719</v>
      </c>
      <c r="J470" s="159">
        <f>H470*I470</f>
        <v>14719</v>
      </c>
      <c r="K470" s="152"/>
    </row>
    <row r="471" spans="1:14" s="141" customFormat="1" ht="20.25" customHeight="1">
      <c r="A471" s="147">
        <v>3</v>
      </c>
      <c r="B471" s="143" t="s">
        <v>1113</v>
      </c>
      <c r="C471" s="143" t="s">
        <v>1114</v>
      </c>
      <c r="D471" s="143" t="s">
        <v>1011</v>
      </c>
      <c r="E471" s="148" t="s">
        <v>1155</v>
      </c>
      <c r="F471" s="143">
        <v>1</v>
      </c>
      <c r="G471" s="149" t="s">
        <v>1107</v>
      </c>
      <c r="H471" s="149">
        <v>1</v>
      </c>
      <c r="I471" s="157">
        <f>88314/1.5</f>
        <v>58876</v>
      </c>
      <c r="J471" s="159">
        <f t="shared" ref="J471:J485" si="49">H471*I471</f>
        <v>58876</v>
      </c>
      <c r="K471" s="152"/>
    </row>
    <row r="472" spans="1:14" s="141" customFormat="1" ht="20.25" customHeight="1">
      <c r="A472" s="147">
        <v>4</v>
      </c>
      <c r="B472" s="143" t="s">
        <v>1113</v>
      </c>
      <c r="C472" s="143" t="s">
        <v>1114</v>
      </c>
      <c r="D472" s="143" t="s">
        <v>1013</v>
      </c>
      <c r="E472" s="148" t="s">
        <v>1143</v>
      </c>
      <c r="F472" s="143">
        <v>1</v>
      </c>
      <c r="G472" s="143" t="s">
        <v>1014</v>
      </c>
      <c r="H472" s="149">
        <v>1</v>
      </c>
      <c r="I472" s="157">
        <v>34000</v>
      </c>
      <c r="J472" s="159">
        <f t="shared" si="49"/>
        <v>34000</v>
      </c>
      <c r="K472" s="152"/>
    </row>
    <row r="473" spans="1:14" s="141" customFormat="1" ht="20.25" customHeight="1">
      <c r="A473" s="147">
        <v>5</v>
      </c>
      <c r="B473" s="143" t="s">
        <v>1113</v>
      </c>
      <c r="C473" s="143" t="s">
        <v>1114</v>
      </c>
      <c r="D473" s="143" t="s">
        <v>1015</v>
      </c>
      <c r="E473" s="148" t="s">
        <v>1144</v>
      </c>
      <c r="F473" s="143">
        <v>4</v>
      </c>
      <c r="G473" s="143" t="s">
        <v>1014</v>
      </c>
      <c r="H473" s="149">
        <v>4</v>
      </c>
      <c r="I473" s="157">
        <v>1700</v>
      </c>
      <c r="J473" s="159">
        <f t="shared" si="49"/>
        <v>6800</v>
      </c>
      <c r="K473" s="152"/>
    </row>
    <row r="474" spans="1:14" s="141" customFormat="1" ht="20.25" customHeight="1">
      <c r="A474" s="147">
        <v>6</v>
      </c>
      <c r="B474" s="143" t="s">
        <v>1113</v>
      </c>
      <c r="C474" s="143" t="s">
        <v>1114</v>
      </c>
      <c r="D474" s="143" t="s">
        <v>1020</v>
      </c>
      <c r="E474" s="143" t="s">
        <v>1138</v>
      </c>
      <c r="F474" s="143">
        <v>1</v>
      </c>
      <c r="G474" s="143" t="s">
        <v>1014</v>
      </c>
      <c r="H474" s="149">
        <v>1</v>
      </c>
      <c r="I474" s="150">
        <v>18000</v>
      </c>
      <c r="J474" s="151">
        <f t="shared" si="49"/>
        <v>18000</v>
      </c>
      <c r="K474" s="152"/>
    </row>
    <row r="475" spans="1:14" s="141" customFormat="1" ht="20.25" customHeight="1">
      <c r="A475" s="147">
        <v>7</v>
      </c>
      <c r="B475" s="143" t="s">
        <v>1113</v>
      </c>
      <c r="C475" s="143" t="s">
        <v>1114</v>
      </c>
      <c r="D475" s="143" t="s">
        <v>1021</v>
      </c>
      <c r="E475" s="143" t="s">
        <v>1138</v>
      </c>
      <c r="F475" s="143">
        <v>1</v>
      </c>
      <c r="G475" s="143" t="s">
        <v>1014</v>
      </c>
      <c r="H475" s="149">
        <v>1</v>
      </c>
      <c r="I475" s="150">
        <v>5000</v>
      </c>
      <c r="J475" s="151">
        <f t="shared" si="49"/>
        <v>5000</v>
      </c>
      <c r="K475" s="152"/>
    </row>
    <row r="476" spans="1:14" s="141" customFormat="1" ht="20.25" customHeight="1">
      <c r="A476" s="147">
        <v>8</v>
      </c>
      <c r="B476" s="143" t="s">
        <v>1113</v>
      </c>
      <c r="C476" s="143" t="s">
        <v>1114</v>
      </c>
      <c r="D476" s="143" t="s">
        <v>1145</v>
      </c>
      <c r="E476" s="143" t="s">
        <v>1146</v>
      </c>
      <c r="F476" s="143">
        <v>1</v>
      </c>
      <c r="G476" s="143" t="s">
        <v>1147</v>
      </c>
      <c r="H476" s="149">
        <v>1</v>
      </c>
      <c r="I476" s="150">
        <v>16000</v>
      </c>
      <c r="J476" s="151">
        <f t="shared" si="49"/>
        <v>16000</v>
      </c>
      <c r="K476" s="152"/>
    </row>
    <row r="477" spans="1:14" s="141" customFormat="1" ht="20.25" customHeight="1">
      <c r="A477" s="147">
        <v>9</v>
      </c>
      <c r="B477" s="143" t="s">
        <v>1113</v>
      </c>
      <c r="C477" s="143" t="s">
        <v>1114</v>
      </c>
      <c r="D477" s="143" t="s">
        <v>1115</v>
      </c>
      <c r="E477" s="143" t="s">
        <v>1148</v>
      </c>
      <c r="F477" s="143">
        <v>1</v>
      </c>
      <c r="G477" s="143" t="s">
        <v>1116</v>
      </c>
      <c r="H477" s="149">
        <v>1</v>
      </c>
      <c r="I477" s="150">
        <v>4000</v>
      </c>
      <c r="J477" s="151">
        <f t="shared" si="49"/>
        <v>4000</v>
      </c>
      <c r="K477" s="152"/>
    </row>
    <row r="478" spans="1:14" s="141" customFormat="1" ht="20.25" customHeight="1">
      <c r="A478" s="147">
        <v>10</v>
      </c>
      <c r="B478" s="143" t="s">
        <v>1113</v>
      </c>
      <c r="C478" s="143" t="s">
        <v>1114</v>
      </c>
      <c r="D478" s="143" t="s">
        <v>1117</v>
      </c>
      <c r="E478" s="143" t="s">
        <v>1148</v>
      </c>
      <c r="F478" s="143">
        <v>1</v>
      </c>
      <c r="G478" s="143" t="s">
        <v>1116</v>
      </c>
      <c r="H478" s="149">
        <v>1</v>
      </c>
      <c r="I478" s="150">
        <v>2000</v>
      </c>
      <c r="J478" s="151">
        <f t="shared" si="49"/>
        <v>2000</v>
      </c>
      <c r="K478" s="152"/>
    </row>
    <row r="479" spans="1:14" s="141" customFormat="1" ht="20.25" customHeight="1">
      <c r="A479" s="147">
        <v>11</v>
      </c>
      <c r="B479" s="143" t="s">
        <v>1113</v>
      </c>
      <c r="C479" s="143" t="s">
        <v>1114</v>
      </c>
      <c r="D479" s="143" t="s">
        <v>1023</v>
      </c>
      <c r="E479" s="143" t="s">
        <v>1150</v>
      </c>
      <c r="F479" s="143">
        <v>1</v>
      </c>
      <c r="G479" s="143" t="s">
        <v>1024</v>
      </c>
      <c r="H479" s="149">
        <v>1</v>
      </c>
      <c r="I479" s="150">
        <v>5000</v>
      </c>
      <c r="J479" s="151">
        <f t="shared" si="49"/>
        <v>5000</v>
      </c>
      <c r="K479" s="152"/>
    </row>
    <row r="480" spans="1:14" s="141" customFormat="1" ht="20.25" customHeight="1">
      <c r="A480" s="147">
        <v>12</v>
      </c>
      <c r="B480" s="143" t="s">
        <v>1113</v>
      </c>
      <c r="C480" s="143" t="s">
        <v>1114</v>
      </c>
      <c r="D480" s="143" t="s">
        <v>1251</v>
      </c>
      <c r="E480" s="143" t="s">
        <v>1256</v>
      </c>
      <c r="F480" s="143">
        <v>1</v>
      </c>
      <c r="G480" s="143" t="s">
        <v>643</v>
      </c>
      <c r="H480" s="149">
        <v>1</v>
      </c>
      <c r="I480" s="150">
        <v>10000</v>
      </c>
      <c r="J480" s="151">
        <f t="shared" si="49"/>
        <v>10000</v>
      </c>
      <c r="K480" s="152"/>
    </row>
    <row r="481" spans="1:14" s="141" customFormat="1" ht="20.25" customHeight="1">
      <c r="A481" s="147">
        <v>13</v>
      </c>
      <c r="B481" s="143" t="s">
        <v>1113</v>
      </c>
      <c r="C481" s="143" t="s">
        <v>1114</v>
      </c>
      <c r="D481" s="143" t="s">
        <v>1253</v>
      </c>
      <c r="E481" s="143"/>
      <c r="F481" s="143">
        <v>1</v>
      </c>
      <c r="G481" s="143" t="s">
        <v>1254</v>
      </c>
      <c r="H481" s="149">
        <v>1</v>
      </c>
      <c r="I481" s="150">
        <v>5000</v>
      </c>
      <c r="J481" s="151">
        <f t="shared" si="49"/>
        <v>5000</v>
      </c>
      <c r="K481" s="152"/>
    </row>
    <row r="482" spans="1:14" s="141" customFormat="1" ht="20.25" customHeight="1">
      <c r="A482" s="147">
        <v>14</v>
      </c>
      <c r="B482" s="143" t="s">
        <v>1113</v>
      </c>
      <c r="C482" s="143" t="s">
        <v>1114</v>
      </c>
      <c r="D482" s="143" t="s">
        <v>1011</v>
      </c>
      <c r="E482" s="148" t="s">
        <v>1118</v>
      </c>
      <c r="F482" s="143">
        <v>1</v>
      </c>
      <c r="G482" s="149" t="s">
        <v>1029</v>
      </c>
      <c r="H482" s="149">
        <v>1</v>
      </c>
      <c r="I482" s="157">
        <f>49425/3</f>
        <v>16475</v>
      </c>
      <c r="J482" s="159">
        <f t="shared" si="49"/>
        <v>16475</v>
      </c>
      <c r="K482" s="152"/>
    </row>
    <row r="483" spans="1:14" s="141" customFormat="1" ht="20.25" customHeight="1">
      <c r="A483" s="147">
        <v>15</v>
      </c>
      <c r="B483" s="143" t="s">
        <v>1113</v>
      </c>
      <c r="C483" s="143" t="s">
        <v>1114</v>
      </c>
      <c r="D483" s="143" t="s">
        <v>1011</v>
      </c>
      <c r="E483" s="148" t="s">
        <v>1151</v>
      </c>
      <c r="F483" s="143">
        <v>1</v>
      </c>
      <c r="G483" s="149" t="s">
        <v>1029</v>
      </c>
      <c r="H483" s="149">
        <v>1</v>
      </c>
      <c r="I483" s="157">
        <f>48660/3</f>
        <v>16220</v>
      </c>
      <c r="J483" s="159">
        <f t="shared" si="49"/>
        <v>16220</v>
      </c>
      <c r="K483" s="152"/>
      <c r="M483" s="185">
        <v>797273</v>
      </c>
      <c r="N483" s="186" t="s">
        <v>1302</v>
      </c>
    </row>
    <row r="484" spans="1:14" s="141" customFormat="1" ht="20.25" customHeight="1">
      <c r="A484" s="147">
        <v>16</v>
      </c>
      <c r="B484" s="143" t="s">
        <v>1113</v>
      </c>
      <c r="C484" s="143" t="s">
        <v>1114</v>
      </c>
      <c r="D484" s="143" t="s">
        <v>1011</v>
      </c>
      <c r="E484" s="148" t="s">
        <v>1108</v>
      </c>
      <c r="F484" s="143">
        <v>1</v>
      </c>
      <c r="G484" s="149" t="s">
        <v>1029</v>
      </c>
      <c r="H484" s="149">
        <v>1</v>
      </c>
      <c r="I484" s="157">
        <f>18222/3</f>
        <v>6074</v>
      </c>
      <c r="J484" s="159">
        <f t="shared" si="49"/>
        <v>6074</v>
      </c>
      <c r="K484" s="152"/>
      <c r="M484" s="154">
        <f>150000+100000</f>
        <v>250000</v>
      </c>
      <c r="N484" s="210" t="s">
        <v>1561</v>
      </c>
    </row>
    <row r="485" spans="1:14" s="141" customFormat="1" ht="20.25" customHeight="1">
      <c r="A485" s="147">
        <v>17</v>
      </c>
      <c r="B485" s="143" t="s">
        <v>1113</v>
      </c>
      <c r="C485" s="143" t="s">
        <v>1114</v>
      </c>
      <c r="D485" s="143" t="s">
        <v>1050</v>
      </c>
      <c r="E485" s="148" t="s">
        <v>1051</v>
      </c>
      <c r="F485" s="143">
        <v>1</v>
      </c>
      <c r="G485" s="149" t="s">
        <v>1052</v>
      </c>
      <c r="H485" s="149">
        <v>1</v>
      </c>
      <c r="I485" s="157">
        <v>30000</v>
      </c>
      <c r="J485" s="159">
        <f t="shared" si="49"/>
        <v>30000</v>
      </c>
      <c r="K485" s="152"/>
      <c r="M485" s="183">
        <f>L488*7%</f>
        <v>21088.13</v>
      </c>
      <c r="N485" s="141" t="s">
        <v>1303</v>
      </c>
    </row>
    <row r="486" spans="1:14" s="141" customFormat="1" ht="20.25" customHeight="1">
      <c r="A486" s="147">
        <v>18</v>
      </c>
      <c r="B486" s="143" t="s">
        <v>1113</v>
      </c>
      <c r="C486" s="143" t="s">
        <v>1114</v>
      </c>
      <c r="D486" s="143" t="s">
        <v>1041</v>
      </c>
      <c r="E486" s="148" t="s">
        <v>1035</v>
      </c>
      <c r="F486" s="143">
        <v>1</v>
      </c>
      <c r="G486" s="143" t="s">
        <v>1024</v>
      </c>
      <c r="H486" s="149">
        <v>1</v>
      </c>
      <c r="I486" s="150">
        <v>800</v>
      </c>
      <c r="J486" s="151">
        <f>H486*I486</f>
        <v>800</v>
      </c>
      <c r="K486" s="152"/>
      <c r="M486" s="183">
        <f>(L488+M485)*20%</f>
        <v>64469.426000000007</v>
      </c>
      <c r="N486" s="141" t="s">
        <v>1304</v>
      </c>
    </row>
    <row r="487" spans="1:14" s="141" customFormat="1" ht="20.25" customHeight="1" thickBot="1">
      <c r="A487" s="147">
        <v>19</v>
      </c>
      <c r="B487" s="177" t="s">
        <v>1113</v>
      </c>
      <c r="C487" s="177" t="s">
        <v>1114</v>
      </c>
      <c r="D487" s="177" t="s">
        <v>1262</v>
      </c>
      <c r="E487" s="143" t="s">
        <v>1263</v>
      </c>
      <c r="F487" s="177">
        <v>1</v>
      </c>
      <c r="G487" s="177" t="s">
        <v>1116</v>
      </c>
      <c r="H487" s="178">
        <v>1</v>
      </c>
      <c r="I487" s="179">
        <v>700</v>
      </c>
      <c r="J487" s="180">
        <v>700</v>
      </c>
      <c r="K487" s="181"/>
      <c r="M487" s="183">
        <f>(L488+M485+M486)*25%</f>
        <v>96704.138999999996</v>
      </c>
      <c r="N487" s="141" t="s">
        <v>1305</v>
      </c>
    </row>
    <row r="488" spans="1:14" s="141" customFormat="1" ht="20.25" customHeight="1" thickBot="1">
      <c r="A488" s="160">
        <v>20</v>
      </c>
      <c r="B488" s="161" t="s">
        <v>1113</v>
      </c>
      <c r="C488" s="161" t="s">
        <v>1114</v>
      </c>
      <c r="D488" s="161" t="s">
        <v>1264</v>
      </c>
      <c r="E488" s="169" t="s">
        <v>1267</v>
      </c>
      <c r="F488" s="161">
        <v>1</v>
      </c>
      <c r="G488" s="161" t="s">
        <v>1266</v>
      </c>
      <c r="H488" s="162">
        <v>1</v>
      </c>
      <c r="I488" s="170">
        <v>1400</v>
      </c>
      <c r="J488" s="171">
        <f t="shared" ref="J488" si="50">H488*I488</f>
        <v>1400</v>
      </c>
      <c r="K488" s="163"/>
      <c r="L488" s="172">
        <f>SUM(J469:J488)</f>
        <v>301259</v>
      </c>
      <c r="M488" s="184">
        <f>L488+M484+M485+M486+M487</f>
        <v>733520.69499999995</v>
      </c>
      <c r="N488" s="141" t="s">
        <v>1307</v>
      </c>
    </row>
    <row r="489" spans="1:14" s="141" customFormat="1" ht="7.5" customHeight="1" thickBot="1">
      <c r="D489" s="164"/>
      <c r="E489" s="164"/>
      <c r="G489" s="165"/>
      <c r="H489" s="165"/>
      <c r="I489" s="167"/>
      <c r="J489" s="168"/>
    </row>
    <row r="490" spans="1:14" s="141" customFormat="1" ht="20.25" customHeight="1">
      <c r="A490" s="142">
        <v>1</v>
      </c>
      <c r="B490" s="144" t="s">
        <v>1156</v>
      </c>
      <c r="C490" s="144" t="s">
        <v>850</v>
      </c>
      <c r="D490" s="144" t="s">
        <v>1011</v>
      </c>
      <c r="E490" s="144" t="s">
        <v>1157</v>
      </c>
      <c r="F490" s="144">
        <v>1</v>
      </c>
      <c r="G490" s="145" t="s">
        <v>1012</v>
      </c>
      <c r="H490" s="145">
        <v>1</v>
      </c>
      <c r="I490" s="156">
        <f>200780/1.5</f>
        <v>133853.33333333334</v>
      </c>
      <c r="J490" s="158">
        <f>H490*I490</f>
        <v>133853.33333333334</v>
      </c>
      <c r="K490" s="146"/>
    </row>
    <row r="491" spans="1:14" s="141" customFormat="1" ht="20.25" customHeight="1">
      <c r="A491" s="147">
        <v>2</v>
      </c>
      <c r="B491" s="143" t="s">
        <v>1123</v>
      </c>
      <c r="C491" s="143" t="s">
        <v>1124</v>
      </c>
      <c r="D491" s="143" t="s">
        <v>1011</v>
      </c>
      <c r="E491" s="148" t="s">
        <v>1158</v>
      </c>
      <c r="F491" s="143">
        <v>1</v>
      </c>
      <c r="G491" s="149" t="s">
        <v>1012</v>
      </c>
      <c r="H491" s="149">
        <v>1</v>
      </c>
      <c r="I491" s="157">
        <f>225980/30</f>
        <v>7532.666666666667</v>
      </c>
      <c r="J491" s="159">
        <f>H491*I491</f>
        <v>7532.666666666667</v>
      </c>
      <c r="K491" s="152"/>
    </row>
    <row r="492" spans="1:14" s="141" customFormat="1" ht="20.25" customHeight="1">
      <c r="A492" s="147">
        <v>3</v>
      </c>
      <c r="B492" s="143" t="s">
        <v>1123</v>
      </c>
      <c r="C492" s="143" t="s">
        <v>1124</v>
      </c>
      <c r="D492" s="143" t="s">
        <v>1011</v>
      </c>
      <c r="E492" s="148" t="s">
        <v>1159</v>
      </c>
      <c r="F492" s="143">
        <v>1</v>
      </c>
      <c r="G492" s="149" t="s">
        <v>1012</v>
      </c>
      <c r="H492" s="149">
        <v>1</v>
      </c>
      <c r="I492" s="157">
        <f>88314/8.5</f>
        <v>10389.882352941177</v>
      </c>
      <c r="J492" s="159">
        <f t="shared" ref="J492:J498" si="51">H492*I492</f>
        <v>10389.882352941177</v>
      </c>
      <c r="K492" s="152"/>
    </row>
    <row r="493" spans="1:14" s="141" customFormat="1" ht="20.25" customHeight="1">
      <c r="A493" s="147">
        <v>4</v>
      </c>
      <c r="B493" s="143" t="s">
        <v>1123</v>
      </c>
      <c r="C493" s="143" t="s">
        <v>1124</v>
      </c>
      <c r="D493" s="143" t="s">
        <v>1013</v>
      </c>
      <c r="E493" s="148" t="s">
        <v>1143</v>
      </c>
      <c r="F493" s="143">
        <v>1</v>
      </c>
      <c r="G493" s="143" t="s">
        <v>1014</v>
      </c>
      <c r="H493" s="149">
        <v>1</v>
      </c>
      <c r="I493" s="157">
        <v>34000</v>
      </c>
      <c r="J493" s="159">
        <f t="shared" si="51"/>
        <v>34000</v>
      </c>
      <c r="K493" s="152"/>
    </row>
    <row r="494" spans="1:14" s="141" customFormat="1" ht="20.25" customHeight="1">
      <c r="A494" s="147">
        <v>5</v>
      </c>
      <c r="B494" s="143" t="s">
        <v>1123</v>
      </c>
      <c r="C494" s="143" t="s">
        <v>1124</v>
      </c>
      <c r="D494" s="143" t="s">
        <v>1015</v>
      </c>
      <c r="E494" s="148" t="s">
        <v>1144</v>
      </c>
      <c r="F494" s="143">
        <v>4</v>
      </c>
      <c r="G494" s="143" t="s">
        <v>1014</v>
      </c>
      <c r="H494" s="149">
        <v>4</v>
      </c>
      <c r="I494" s="157">
        <v>1700</v>
      </c>
      <c r="J494" s="159">
        <f t="shared" si="51"/>
        <v>6800</v>
      </c>
      <c r="K494" s="152"/>
    </row>
    <row r="495" spans="1:14" s="141" customFormat="1" ht="20.25" customHeight="1">
      <c r="A495" s="147">
        <v>6</v>
      </c>
      <c r="B495" s="143" t="s">
        <v>1123</v>
      </c>
      <c r="C495" s="143" t="s">
        <v>1124</v>
      </c>
      <c r="D495" s="143" t="s">
        <v>1020</v>
      </c>
      <c r="E495" s="143" t="s">
        <v>1138</v>
      </c>
      <c r="F495" s="143">
        <v>1</v>
      </c>
      <c r="G495" s="143" t="s">
        <v>1014</v>
      </c>
      <c r="H495" s="149">
        <v>1</v>
      </c>
      <c r="I495" s="150">
        <v>18000</v>
      </c>
      <c r="J495" s="151">
        <f t="shared" si="51"/>
        <v>18000</v>
      </c>
      <c r="K495" s="152"/>
    </row>
    <row r="496" spans="1:14" s="141" customFormat="1" ht="20.25" customHeight="1">
      <c r="A496" s="147">
        <v>7</v>
      </c>
      <c r="B496" s="143" t="s">
        <v>1123</v>
      </c>
      <c r="C496" s="143" t="s">
        <v>1124</v>
      </c>
      <c r="D496" s="143" t="s">
        <v>1021</v>
      </c>
      <c r="E496" s="143" t="s">
        <v>1138</v>
      </c>
      <c r="F496" s="143">
        <v>1</v>
      </c>
      <c r="G496" s="143" t="s">
        <v>1014</v>
      </c>
      <c r="H496" s="149">
        <v>1</v>
      </c>
      <c r="I496" s="150">
        <v>5000</v>
      </c>
      <c r="J496" s="151">
        <f t="shared" si="51"/>
        <v>5000</v>
      </c>
      <c r="K496" s="152"/>
    </row>
    <row r="497" spans="1:14" s="141" customFormat="1" ht="20.25" customHeight="1">
      <c r="A497" s="147">
        <v>8</v>
      </c>
      <c r="B497" s="143" t="s">
        <v>1123</v>
      </c>
      <c r="C497" s="143" t="s">
        <v>1124</v>
      </c>
      <c r="D497" s="143" t="s">
        <v>1145</v>
      </c>
      <c r="E497" s="143" t="s">
        <v>1146</v>
      </c>
      <c r="F497" s="143">
        <v>1</v>
      </c>
      <c r="G497" s="143" t="s">
        <v>1147</v>
      </c>
      <c r="H497" s="149">
        <v>1</v>
      </c>
      <c r="I497" s="150">
        <v>16000</v>
      </c>
      <c r="J497" s="151">
        <f t="shared" si="51"/>
        <v>16000</v>
      </c>
      <c r="K497" s="152"/>
    </row>
    <row r="498" spans="1:14" s="141" customFormat="1" ht="20.25" customHeight="1">
      <c r="A498" s="147">
        <v>9</v>
      </c>
      <c r="B498" s="143" t="s">
        <v>1123</v>
      </c>
      <c r="C498" s="143" t="s">
        <v>1124</v>
      </c>
      <c r="D498" s="143" t="s">
        <v>1129</v>
      </c>
      <c r="E498" s="143" t="s">
        <v>1148</v>
      </c>
      <c r="F498" s="143">
        <v>1</v>
      </c>
      <c r="G498" s="143" t="s">
        <v>1116</v>
      </c>
      <c r="H498" s="149">
        <v>1</v>
      </c>
      <c r="I498" s="150">
        <v>2000</v>
      </c>
      <c r="J498" s="151">
        <f t="shared" si="51"/>
        <v>2000</v>
      </c>
      <c r="K498" s="152"/>
    </row>
    <row r="499" spans="1:14" s="141" customFormat="1" ht="20.25" customHeight="1">
      <c r="A499" s="147">
        <v>10</v>
      </c>
      <c r="B499" s="143" t="s">
        <v>1123</v>
      </c>
      <c r="C499" s="143" t="s">
        <v>1124</v>
      </c>
      <c r="D499" s="143" t="s">
        <v>1025</v>
      </c>
      <c r="E499" s="143" t="s">
        <v>1249</v>
      </c>
      <c r="F499" s="143">
        <v>4</v>
      </c>
      <c r="G499" s="143" t="s">
        <v>1026</v>
      </c>
      <c r="H499" s="149">
        <v>4</v>
      </c>
      <c r="I499" s="150">
        <v>5000</v>
      </c>
      <c r="J499" s="151">
        <f t="shared" ref="J499:J503" si="52">H499*I499</f>
        <v>20000</v>
      </c>
      <c r="K499" s="152"/>
    </row>
    <row r="500" spans="1:14" s="141" customFormat="1" ht="20.25" customHeight="1">
      <c r="A500" s="147">
        <v>11</v>
      </c>
      <c r="B500" s="143" t="s">
        <v>1123</v>
      </c>
      <c r="C500" s="143" t="s">
        <v>1124</v>
      </c>
      <c r="D500" s="143" t="s">
        <v>1011</v>
      </c>
      <c r="E500" s="148" t="s">
        <v>1118</v>
      </c>
      <c r="F500" s="143">
        <v>1</v>
      </c>
      <c r="G500" s="149" t="s">
        <v>1029</v>
      </c>
      <c r="H500" s="149">
        <v>1</v>
      </c>
      <c r="I500" s="157">
        <f>49425/3</f>
        <v>16475</v>
      </c>
      <c r="J500" s="159">
        <f t="shared" si="52"/>
        <v>16475</v>
      </c>
      <c r="K500" s="152"/>
    </row>
    <row r="501" spans="1:14" s="141" customFormat="1" ht="20.25" customHeight="1">
      <c r="A501" s="147">
        <v>12</v>
      </c>
      <c r="B501" s="143" t="s">
        <v>1123</v>
      </c>
      <c r="C501" s="143" t="s">
        <v>1124</v>
      </c>
      <c r="D501" s="143" t="s">
        <v>1011</v>
      </c>
      <c r="E501" s="148" t="s">
        <v>1108</v>
      </c>
      <c r="F501" s="143">
        <v>1</v>
      </c>
      <c r="G501" s="149" t="s">
        <v>1029</v>
      </c>
      <c r="H501" s="149">
        <v>1</v>
      </c>
      <c r="I501" s="157">
        <f>48660/3</f>
        <v>16220</v>
      </c>
      <c r="J501" s="159">
        <f t="shared" si="52"/>
        <v>16220</v>
      </c>
      <c r="K501" s="152"/>
      <c r="M501" s="185">
        <v>759091</v>
      </c>
      <c r="N501" s="186" t="s">
        <v>1302</v>
      </c>
    </row>
    <row r="502" spans="1:14" s="141" customFormat="1" ht="20.25" customHeight="1">
      <c r="A502" s="147">
        <v>13</v>
      </c>
      <c r="B502" s="143" t="s">
        <v>1123</v>
      </c>
      <c r="C502" s="143" t="s">
        <v>1124</v>
      </c>
      <c r="D502" s="143" t="s">
        <v>1011</v>
      </c>
      <c r="E502" s="148" t="s">
        <v>1160</v>
      </c>
      <c r="F502" s="143">
        <v>1</v>
      </c>
      <c r="G502" s="149" t="s">
        <v>1026</v>
      </c>
      <c r="H502" s="149">
        <v>1</v>
      </c>
      <c r="I502" s="157">
        <v>5000</v>
      </c>
      <c r="J502" s="159">
        <f t="shared" si="52"/>
        <v>5000</v>
      </c>
      <c r="K502" s="152"/>
      <c r="M502" s="154">
        <f>150000+100000</f>
        <v>250000</v>
      </c>
      <c r="N502" s="210" t="s">
        <v>1561</v>
      </c>
    </row>
    <row r="503" spans="1:14" s="141" customFormat="1" ht="20.25" customHeight="1">
      <c r="A503" s="147">
        <v>14</v>
      </c>
      <c r="B503" s="143" t="s">
        <v>1123</v>
      </c>
      <c r="C503" s="143" t="s">
        <v>1124</v>
      </c>
      <c r="D503" s="143" t="s">
        <v>1050</v>
      </c>
      <c r="E503" s="148" t="s">
        <v>1051</v>
      </c>
      <c r="F503" s="143">
        <v>1</v>
      </c>
      <c r="G503" s="149" t="s">
        <v>1079</v>
      </c>
      <c r="H503" s="149">
        <v>1</v>
      </c>
      <c r="I503" s="157">
        <v>30000</v>
      </c>
      <c r="J503" s="159">
        <f t="shared" si="52"/>
        <v>30000</v>
      </c>
      <c r="K503" s="152"/>
      <c r="M503" s="183">
        <f>L506*7%</f>
        <v>22691.961764705888</v>
      </c>
      <c r="N503" s="141" t="s">
        <v>1303</v>
      </c>
    </row>
    <row r="504" spans="1:14" s="141" customFormat="1" ht="20.25" customHeight="1">
      <c r="A504" s="147">
        <v>15</v>
      </c>
      <c r="B504" s="143" t="s">
        <v>1123</v>
      </c>
      <c r="C504" s="143" t="s">
        <v>1124</v>
      </c>
      <c r="D504" s="143" t="s">
        <v>1041</v>
      </c>
      <c r="E504" s="148" t="s">
        <v>1119</v>
      </c>
      <c r="F504" s="143">
        <v>1</v>
      </c>
      <c r="G504" s="143" t="s">
        <v>1024</v>
      </c>
      <c r="H504" s="149">
        <v>1</v>
      </c>
      <c r="I504" s="150">
        <v>800</v>
      </c>
      <c r="J504" s="151">
        <f>H504*I504</f>
        <v>800</v>
      </c>
      <c r="K504" s="152"/>
      <c r="M504" s="183">
        <f>(L506+M503)*20%</f>
        <v>69372.568823529422</v>
      </c>
      <c r="N504" s="141" t="s">
        <v>1304</v>
      </c>
    </row>
    <row r="505" spans="1:14" s="141" customFormat="1" ht="20.25" customHeight="1" thickBot="1">
      <c r="A505" s="176">
        <v>16</v>
      </c>
      <c r="B505" s="177" t="s">
        <v>1123</v>
      </c>
      <c r="C505" s="177" t="s">
        <v>1124</v>
      </c>
      <c r="D505" s="177" t="s">
        <v>1262</v>
      </c>
      <c r="E505" s="143" t="s">
        <v>1263</v>
      </c>
      <c r="F505" s="177">
        <v>1</v>
      </c>
      <c r="G505" s="177" t="s">
        <v>1116</v>
      </c>
      <c r="H505" s="178">
        <v>1</v>
      </c>
      <c r="I505" s="179">
        <v>700</v>
      </c>
      <c r="J505" s="180">
        <v>700</v>
      </c>
      <c r="K505" s="181"/>
      <c r="M505" s="183">
        <f>(L506+M503+M504)*25%</f>
        <v>104058.85323529413</v>
      </c>
      <c r="N505" s="141" t="s">
        <v>1305</v>
      </c>
    </row>
    <row r="506" spans="1:14" s="141" customFormat="1" ht="20.25" customHeight="1" thickBot="1">
      <c r="A506" s="160">
        <v>17</v>
      </c>
      <c r="B506" s="161" t="s">
        <v>1123</v>
      </c>
      <c r="C506" s="161" t="s">
        <v>1124</v>
      </c>
      <c r="D506" s="161" t="s">
        <v>1264</v>
      </c>
      <c r="E506" s="169" t="s">
        <v>1267</v>
      </c>
      <c r="F506" s="161">
        <v>1</v>
      </c>
      <c r="G506" s="161" t="s">
        <v>1266</v>
      </c>
      <c r="H506" s="162">
        <v>1</v>
      </c>
      <c r="I506" s="170">
        <v>1400</v>
      </c>
      <c r="J506" s="171">
        <f t="shared" ref="J506" si="53">H506*I506</f>
        <v>1400</v>
      </c>
      <c r="K506" s="163"/>
      <c r="L506" s="172">
        <f>SUM(J490:J506)</f>
        <v>324170.8823529412</v>
      </c>
      <c r="M506" s="184">
        <f>L506+M502+M503+M504+M505</f>
        <v>770294.26617647056</v>
      </c>
      <c r="N506" s="141" t="s">
        <v>1307</v>
      </c>
    </row>
    <row r="507" spans="1:14" s="141" customFormat="1" ht="7.5" customHeight="1" thickBot="1">
      <c r="D507" s="164"/>
      <c r="E507" s="164"/>
      <c r="G507" s="165"/>
      <c r="H507" s="165"/>
      <c r="I507" s="167"/>
      <c r="J507" s="168"/>
    </row>
    <row r="508" spans="1:14" s="141" customFormat="1" ht="20.25" customHeight="1">
      <c r="A508" s="142">
        <v>1</v>
      </c>
      <c r="B508" s="144" t="s">
        <v>1161</v>
      </c>
      <c r="C508" s="144" t="s">
        <v>851</v>
      </c>
      <c r="D508" s="144" t="s">
        <v>1011</v>
      </c>
      <c r="E508" s="144" t="s">
        <v>1162</v>
      </c>
      <c r="F508" s="144">
        <v>1</v>
      </c>
      <c r="G508" s="145" t="s">
        <v>1012</v>
      </c>
      <c r="H508" s="145">
        <v>1</v>
      </c>
      <c r="I508" s="156">
        <f>200780/1.333</f>
        <v>150622.655663916</v>
      </c>
      <c r="J508" s="158">
        <f>H508*I508</f>
        <v>150622.655663916</v>
      </c>
      <c r="K508" s="146"/>
    </row>
    <row r="509" spans="1:14" s="141" customFormat="1" ht="20.25" customHeight="1">
      <c r="A509" s="147">
        <v>2</v>
      </c>
      <c r="B509" s="143" t="s">
        <v>1125</v>
      </c>
      <c r="C509" s="143" t="s">
        <v>1126</v>
      </c>
      <c r="D509" s="143" t="s">
        <v>1011</v>
      </c>
      <c r="E509" s="148" t="s">
        <v>1158</v>
      </c>
      <c r="F509" s="143">
        <v>1</v>
      </c>
      <c r="G509" s="149" t="s">
        <v>1012</v>
      </c>
      <c r="H509" s="149">
        <v>1</v>
      </c>
      <c r="I509" s="157">
        <f>225980/30</f>
        <v>7532.666666666667</v>
      </c>
      <c r="J509" s="159">
        <f>H509*I509</f>
        <v>7532.666666666667</v>
      </c>
      <c r="K509" s="152"/>
    </row>
    <row r="510" spans="1:14" s="141" customFormat="1" ht="20.25" customHeight="1">
      <c r="A510" s="147">
        <v>3</v>
      </c>
      <c r="B510" s="143" t="s">
        <v>1125</v>
      </c>
      <c r="C510" s="143" t="s">
        <v>1126</v>
      </c>
      <c r="D510" s="143" t="s">
        <v>1011</v>
      </c>
      <c r="E510" s="148" t="s">
        <v>1159</v>
      </c>
      <c r="F510" s="143">
        <v>1</v>
      </c>
      <c r="G510" s="149" t="s">
        <v>1012</v>
      </c>
      <c r="H510" s="149">
        <v>1</v>
      </c>
      <c r="I510" s="157">
        <f>88314/8.5</f>
        <v>10389.882352941177</v>
      </c>
      <c r="J510" s="159">
        <f t="shared" ref="J510:J516" si="54">H510*I510</f>
        <v>10389.882352941177</v>
      </c>
      <c r="K510" s="152"/>
    </row>
    <row r="511" spans="1:14" s="141" customFormat="1" ht="20.25" customHeight="1">
      <c r="A511" s="147">
        <v>4</v>
      </c>
      <c r="B511" s="143" t="s">
        <v>1125</v>
      </c>
      <c r="C511" s="143" t="s">
        <v>1126</v>
      </c>
      <c r="D511" s="143" t="s">
        <v>1013</v>
      </c>
      <c r="E511" s="148" t="s">
        <v>1143</v>
      </c>
      <c r="F511" s="143">
        <v>1</v>
      </c>
      <c r="G511" s="143" t="s">
        <v>1014</v>
      </c>
      <c r="H511" s="149">
        <v>1</v>
      </c>
      <c r="I511" s="157">
        <v>34000</v>
      </c>
      <c r="J511" s="159">
        <f t="shared" si="54"/>
        <v>34000</v>
      </c>
      <c r="K511" s="152"/>
    </row>
    <row r="512" spans="1:14" s="141" customFormat="1" ht="20.25" customHeight="1">
      <c r="A512" s="147">
        <v>5</v>
      </c>
      <c r="B512" s="143" t="s">
        <v>1125</v>
      </c>
      <c r="C512" s="143" t="s">
        <v>1126</v>
      </c>
      <c r="D512" s="143" t="s">
        <v>1015</v>
      </c>
      <c r="E512" s="148" t="s">
        <v>1144</v>
      </c>
      <c r="F512" s="143">
        <v>4</v>
      </c>
      <c r="G512" s="143" t="s">
        <v>1014</v>
      </c>
      <c r="H512" s="149">
        <v>4</v>
      </c>
      <c r="I512" s="157">
        <v>1700</v>
      </c>
      <c r="J512" s="159">
        <f t="shared" si="54"/>
        <v>6800</v>
      </c>
      <c r="K512" s="152"/>
    </row>
    <row r="513" spans="1:14" s="141" customFormat="1" ht="20.25" customHeight="1">
      <c r="A513" s="147">
        <v>6</v>
      </c>
      <c r="B513" s="143" t="s">
        <v>1125</v>
      </c>
      <c r="C513" s="143" t="s">
        <v>1126</v>
      </c>
      <c r="D513" s="143" t="s">
        <v>1020</v>
      </c>
      <c r="E513" s="143" t="s">
        <v>1138</v>
      </c>
      <c r="F513" s="143">
        <v>1</v>
      </c>
      <c r="G513" s="143" t="s">
        <v>1014</v>
      </c>
      <c r="H513" s="149">
        <v>1</v>
      </c>
      <c r="I513" s="150">
        <v>18000</v>
      </c>
      <c r="J513" s="151">
        <f t="shared" si="54"/>
        <v>18000</v>
      </c>
      <c r="K513" s="152"/>
    </row>
    <row r="514" spans="1:14" s="141" customFormat="1" ht="20.25" customHeight="1">
      <c r="A514" s="147">
        <v>7</v>
      </c>
      <c r="B514" s="143" t="s">
        <v>1125</v>
      </c>
      <c r="C514" s="143" t="s">
        <v>1126</v>
      </c>
      <c r="D514" s="143" t="s">
        <v>1021</v>
      </c>
      <c r="E514" s="143" t="s">
        <v>1138</v>
      </c>
      <c r="F514" s="143">
        <v>1</v>
      </c>
      <c r="G514" s="143" t="s">
        <v>1014</v>
      </c>
      <c r="H514" s="149">
        <v>1</v>
      </c>
      <c r="I514" s="150">
        <v>5000</v>
      </c>
      <c r="J514" s="151">
        <f t="shared" si="54"/>
        <v>5000</v>
      </c>
      <c r="K514" s="152"/>
    </row>
    <row r="515" spans="1:14" s="141" customFormat="1" ht="20.25" customHeight="1">
      <c r="A515" s="147">
        <v>8</v>
      </c>
      <c r="B515" s="143" t="s">
        <v>1125</v>
      </c>
      <c r="C515" s="143" t="s">
        <v>1126</v>
      </c>
      <c r="D515" s="143" t="s">
        <v>1145</v>
      </c>
      <c r="E515" s="143" t="s">
        <v>1146</v>
      </c>
      <c r="F515" s="143">
        <v>1</v>
      </c>
      <c r="G515" s="143" t="s">
        <v>1147</v>
      </c>
      <c r="H515" s="149">
        <v>1</v>
      </c>
      <c r="I515" s="150">
        <v>16000</v>
      </c>
      <c r="J515" s="151">
        <f t="shared" si="54"/>
        <v>16000</v>
      </c>
      <c r="K515" s="152"/>
    </row>
    <row r="516" spans="1:14" s="141" customFormat="1" ht="20.25" customHeight="1">
      <c r="A516" s="147">
        <v>9</v>
      </c>
      <c r="B516" s="143" t="s">
        <v>1125</v>
      </c>
      <c r="C516" s="143" t="s">
        <v>1126</v>
      </c>
      <c r="D516" s="143" t="s">
        <v>1129</v>
      </c>
      <c r="E516" s="143" t="s">
        <v>1148</v>
      </c>
      <c r="F516" s="143">
        <v>1</v>
      </c>
      <c r="G516" s="143" t="s">
        <v>1116</v>
      </c>
      <c r="H516" s="149">
        <v>1</v>
      </c>
      <c r="I516" s="150">
        <v>2000</v>
      </c>
      <c r="J516" s="151">
        <f t="shared" si="54"/>
        <v>2000</v>
      </c>
      <c r="K516" s="152"/>
    </row>
    <row r="517" spans="1:14" s="141" customFormat="1" ht="20.25" customHeight="1">
      <c r="A517" s="147">
        <v>10</v>
      </c>
      <c r="B517" s="143" t="s">
        <v>1125</v>
      </c>
      <c r="C517" s="143" t="s">
        <v>1126</v>
      </c>
      <c r="D517" s="143" t="s">
        <v>1025</v>
      </c>
      <c r="E517" s="143" t="s">
        <v>1249</v>
      </c>
      <c r="F517" s="143">
        <v>4</v>
      </c>
      <c r="G517" s="143" t="s">
        <v>1026</v>
      </c>
      <c r="H517" s="149">
        <v>4</v>
      </c>
      <c r="I517" s="150">
        <v>5000</v>
      </c>
      <c r="J517" s="151">
        <f t="shared" ref="J517:J521" si="55">H517*I517</f>
        <v>20000</v>
      </c>
      <c r="K517" s="152"/>
    </row>
    <row r="518" spans="1:14" s="141" customFormat="1" ht="20.25" customHeight="1">
      <c r="A518" s="147">
        <v>11</v>
      </c>
      <c r="B518" s="143" t="s">
        <v>1125</v>
      </c>
      <c r="C518" s="143" t="s">
        <v>1126</v>
      </c>
      <c r="D518" s="143" t="s">
        <v>1011</v>
      </c>
      <c r="E518" s="148" t="s">
        <v>1118</v>
      </c>
      <c r="F518" s="143">
        <v>1</v>
      </c>
      <c r="G518" s="149" t="s">
        <v>1029</v>
      </c>
      <c r="H518" s="149">
        <v>1</v>
      </c>
      <c r="I518" s="157">
        <f>49425/3</f>
        <v>16475</v>
      </c>
      <c r="J518" s="159">
        <f t="shared" si="55"/>
        <v>16475</v>
      </c>
      <c r="K518" s="152"/>
    </row>
    <row r="519" spans="1:14" s="141" customFormat="1" ht="20.25" customHeight="1">
      <c r="A519" s="147">
        <v>12</v>
      </c>
      <c r="B519" s="143" t="s">
        <v>1125</v>
      </c>
      <c r="C519" s="143" t="s">
        <v>1126</v>
      </c>
      <c r="D519" s="143" t="s">
        <v>1011</v>
      </c>
      <c r="E519" s="148" t="s">
        <v>1108</v>
      </c>
      <c r="F519" s="143">
        <v>1</v>
      </c>
      <c r="G519" s="149" t="s">
        <v>1029</v>
      </c>
      <c r="H519" s="149">
        <v>1</v>
      </c>
      <c r="I519" s="157">
        <f>48660/3</f>
        <v>16220</v>
      </c>
      <c r="J519" s="159">
        <f t="shared" si="55"/>
        <v>16220</v>
      </c>
      <c r="K519" s="152"/>
      <c r="M519" s="185">
        <v>830000</v>
      </c>
      <c r="N519" s="186" t="s">
        <v>1302</v>
      </c>
    </row>
    <row r="520" spans="1:14" s="141" customFormat="1" ht="20.25" customHeight="1">
      <c r="A520" s="147">
        <v>13</v>
      </c>
      <c r="B520" s="143" t="s">
        <v>1125</v>
      </c>
      <c r="C520" s="143" t="s">
        <v>1126</v>
      </c>
      <c r="D520" s="143" t="s">
        <v>1011</v>
      </c>
      <c r="E520" s="148" t="s">
        <v>1160</v>
      </c>
      <c r="F520" s="143">
        <v>1</v>
      </c>
      <c r="G520" s="149" t="s">
        <v>1026</v>
      </c>
      <c r="H520" s="149">
        <v>1</v>
      </c>
      <c r="I520" s="157">
        <v>5000</v>
      </c>
      <c r="J520" s="159">
        <f t="shared" si="55"/>
        <v>5000</v>
      </c>
      <c r="K520" s="152"/>
      <c r="M520" s="154">
        <f>150000+100000</f>
        <v>250000</v>
      </c>
      <c r="N520" s="210" t="s">
        <v>1561</v>
      </c>
    </row>
    <row r="521" spans="1:14" s="141" customFormat="1" ht="20.25" customHeight="1">
      <c r="A521" s="147">
        <v>14</v>
      </c>
      <c r="B521" s="143" t="s">
        <v>1125</v>
      </c>
      <c r="C521" s="143" t="s">
        <v>1126</v>
      </c>
      <c r="D521" s="143" t="s">
        <v>1050</v>
      </c>
      <c r="E521" s="148" t="s">
        <v>1051</v>
      </c>
      <c r="F521" s="143">
        <v>1</v>
      </c>
      <c r="G521" s="149" t="s">
        <v>1105</v>
      </c>
      <c r="H521" s="149">
        <v>1</v>
      </c>
      <c r="I521" s="157">
        <v>30000</v>
      </c>
      <c r="J521" s="159">
        <f t="shared" si="55"/>
        <v>30000</v>
      </c>
      <c r="K521" s="152"/>
      <c r="M521" s="183">
        <f>L524*7%</f>
        <v>23865.814327846674</v>
      </c>
      <c r="N521" s="141" t="s">
        <v>1303</v>
      </c>
    </row>
    <row r="522" spans="1:14" s="141" customFormat="1" ht="20.25" customHeight="1">
      <c r="A522" s="147">
        <v>15</v>
      </c>
      <c r="B522" s="143" t="s">
        <v>1125</v>
      </c>
      <c r="C522" s="143" t="s">
        <v>1126</v>
      </c>
      <c r="D522" s="143" t="s">
        <v>1041</v>
      </c>
      <c r="E522" s="148" t="s">
        <v>1119</v>
      </c>
      <c r="F522" s="143">
        <v>1</v>
      </c>
      <c r="G522" s="143" t="s">
        <v>1106</v>
      </c>
      <c r="H522" s="149">
        <v>1</v>
      </c>
      <c r="I522" s="150">
        <v>800</v>
      </c>
      <c r="J522" s="151">
        <f>H522*I522</f>
        <v>800</v>
      </c>
      <c r="K522" s="152"/>
      <c r="M522" s="183">
        <f>(L524+M521)*20%</f>
        <v>72961.203802274118</v>
      </c>
      <c r="N522" s="141" t="s">
        <v>1304</v>
      </c>
    </row>
    <row r="523" spans="1:14" s="141" customFormat="1" ht="20.25" customHeight="1" thickBot="1">
      <c r="A523" s="147">
        <v>16</v>
      </c>
      <c r="B523" s="177" t="s">
        <v>1125</v>
      </c>
      <c r="C523" s="177" t="s">
        <v>1126</v>
      </c>
      <c r="D523" s="177" t="s">
        <v>1262</v>
      </c>
      <c r="E523" s="143" t="s">
        <v>1263</v>
      </c>
      <c r="F523" s="177">
        <v>1</v>
      </c>
      <c r="G523" s="177" t="s">
        <v>1116</v>
      </c>
      <c r="H523" s="178">
        <v>1</v>
      </c>
      <c r="I523" s="179">
        <v>700</v>
      </c>
      <c r="J523" s="180">
        <v>700</v>
      </c>
      <c r="K523" s="181"/>
      <c r="M523" s="183">
        <f>(L524+M521+M522)*25%</f>
        <v>109441.80570341117</v>
      </c>
      <c r="N523" s="141" t="s">
        <v>1305</v>
      </c>
    </row>
    <row r="524" spans="1:14" s="141" customFormat="1" ht="20.25" customHeight="1" thickBot="1">
      <c r="A524" s="160">
        <v>17</v>
      </c>
      <c r="B524" s="161" t="s">
        <v>1125</v>
      </c>
      <c r="C524" s="161" t="s">
        <v>1126</v>
      </c>
      <c r="D524" s="161" t="s">
        <v>1264</v>
      </c>
      <c r="E524" s="169" t="s">
        <v>1267</v>
      </c>
      <c r="F524" s="161">
        <v>1</v>
      </c>
      <c r="G524" s="161" t="s">
        <v>1266</v>
      </c>
      <c r="H524" s="162">
        <v>1</v>
      </c>
      <c r="I524" s="170">
        <v>1400</v>
      </c>
      <c r="J524" s="171">
        <f t="shared" ref="J524" si="56">H524*I524</f>
        <v>1400</v>
      </c>
      <c r="K524" s="163"/>
      <c r="L524" s="172">
        <f>SUM(J508:J524)</f>
        <v>340940.20468352386</v>
      </c>
      <c r="M524" s="184">
        <f>L524+M520+M521+M522+M523</f>
        <v>797209.02851705579</v>
      </c>
      <c r="N524" s="141" t="s">
        <v>1307</v>
      </c>
    </row>
    <row r="525" spans="1:14" s="141" customFormat="1" ht="7.5" customHeight="1" thickBot="1">
      <c r="D525" s="164"/>
      <c r="E525" s="164"/>
      <c r="G525" s="165"/>
      <c r="H525" s="165"/>
      <c r="I525" s="167"/>
      <c r="J525" s="168"/>
    </row>
    <row r="526" spans="1:14" s="141" customFormat="1" ht="20.25" customHeight="1">
      <c r="A526" s="142">
        <v>1</v>
      </c>
      <c r="B526" s="144" t="s">
        <v>1163</v>
      </c>
      <c r="C526" s="144" t="s">
        <v>856</v>
      </c>
      <c r="D526" s="144" t="s">
        <v>1011</v>
      </c>
      <c r="E526" s="144" t="s">
        <v>1164</v>
      </c>
      <c r="F526" s="144">
        <v>1</v>
      </c>
      <c r="G526" s="145" t="s">
        <v>1107</v>
      </c>
      <c r="H526" s="145">
        <v>1</v>
      </c>
      <c r="I526" s="156">
        <f>200780</f>
        <v>200780</v>
      </c>
      <c r="J526" s="158">
        <f>H526*I526</f>
        <v>200780</v>
      </c>
      <c r="K526" s="146"/>
    </row>
    <row r="527" spans="1:14" s="141" customFormat="1" ht="20.25" customHeight="1">
      <c r="A527" s="147">
        <v>2</v>
      </c>
      <c r="B527" s="143" t="s">
        <v>1127</v>
      </c>
      <c r="C527" s="143" t="s">
        <v>1128</v>
      </c>
      <c r="D527" s="143" t="s">
        <v>1011</v>
      </c>
      <c r="E527" s="148" t="s">
        <v>1158</v>
      </c>
      <c r="F527" s="143">
        <v>1</v>
      </c>
      <c r="G527" s="149" t="s">
        <v>1107</v>
      </c>
      <c r="H527" s="149">
        <v>1</v>
      </c>
      <c r="I527" s="157">
        <f>225980/30</f>
        <v>7532.666666666667</v>
      </c>
      <c r="J527" s="159">
        <f>H527*I527</f>
        <v>7532.666666666667</v>
      </c>
      <c r="K527" s="152"/>
    </row>
    <row r="528" spans="1:14" s="141" customFormat="1" ht="20.25" customHeight="1">
      <c r="A528" s="147">
        <v>3</v>
      </c>
      <c r="B528" s="143" t="s">
        <v>1127</v>
      </c>
      <c r="C528" s="143" t="s">
        <v>1128</v>
      </c>
      <c r="D528" s="143" t="s">
        <v>1011</v>
      </c>
      <c r="E528" s="148" t="s">
        <v>1159</v>
      </c>
      <c r="F528" s="143">
        <v>1</v>
      </c>
      <c r="G528" s="149" t="s">
        <v>1107</v>
      </c>
      <c r="H528" s="149">
        <v>1</v>
      </c>
      <c r="I528" s="157">
        <f>88314/8.5</f>
        <v>10389.882352941177</v>
      </c>
      <c r="J528" s="159">
        <f t="shared" ref="J528:J539" si="57">H528*I528</f>
        <v>10389.882352941177</v>
      </c>
      <c r="K528" s="152"/>
    </row>
    <row r="529" spans="1:14" s="141" customFormat="1" ht="20.25" customHeight="1">
      <c r="A529" s="147">
        <v>4</v>
      </c>
      <c r="B529" s="143" t="s">
        <v>1127</v>
      </c>
      <c r="C529" s="143" t="s">
        <v>1128</v>
      </c>
      <c r="D529" s="143" t="s">
        <v>1013</v>
      </c>
      <c r="E529" s="148" t="s">
        <v>1143</v>
      </c>
      <c r="F529" s="143">
        <v>1</v>
      </c>
      <c r="G529" s="143" t="s">
        <v>1014</v>
      </c>
      <c r="H529" s="149">
        <v>1</v>
      </c>
      <c r="I529" s="157">
        <v>34000</v>
      </c>
      <c r="J529" s="159">
        <f t="shared" si="57"/>
        <v>34000</v>
      </c>
      <c r="K529" s="152"/>
    </row>
    <row r="530" spans="1:14" s="141" customFormat="1" ht="20.25" customHeight="1">
      <c r="A530" s="147">
        <v>5</v>
      </c>
      <c r="B530" s="143" t="s">
        <v>1127</v>
      </c>
      <c r="C530" s="143" t="s">
        <v>1128</v>
      </c>
      <c r="D530" s="143" t="s">
        <v>1015</v>
      </c>
      <c r="E530" s="148" t="s">
        <v>1144</v>
      </c>
      <c r="F530" s="143">
        <v>4</v>
      </c>
      <c r="G530" s="143" t="s">
        <v>1014</v>
      </c>
      <c r="H530" s="149">
        <v>4</v>
      </c>
      <c r="I530" s="157">
        <v>1700</v>
      </c>
      <c r="J530" s="159">
        <f t="shared" si="57"/>
        <v>6800</v>
      </c>
      <c r="K530" s="152"/>
    </row>
    <row r="531" spans="1:14" s="141" customFormat="1" ht="20.25" customHeight="1">
      <c r="A531" s="147">
        <v>6</v>
      </c>
      <c r="B531" s="143" t="s">
        <v>1127</v>
      </c>
      <c r="C531" s="143" t="s">
        <v>1128</v>
      </c>
      <c r="D531" s="143" t="s">
        <v>1020</v>
      </c>
      <c r="E531" s="143" t="s">
        <v>1138</v>
      </c>
      <c r="F531" s="143">
        <v>1</v>
      </c>
      <c r="G531" s="143" t="s">
        <v>1014</v>
      </c>
      <c r="H531" s="149">
        <v>1</v>
      </c>
      <c r="I531" s="150">
        <v>18000</v>
      </c>
      <c r="J531" s="151">
        <f t="shared" si="57"/>
        <v>18000</v>
      </c>
      <c r="K531" s="152"/>
    </row>
    <row r="532" spans="1:14" s="141" customFormat="1" ht="20.25" customHeight="1">
      <c r="A532" s="147">
        <v>7</v>
      </c>
      <c r="B532" s="143" t="s">
        <v>1127</v>
      </c>
      <c r="C532" s="143" t="s">
        <v>1128</v>
      </c>
      <c r="D532" s="143" t="s">
        <v>1021</v>
      </c>
      <c r="E532" s="143" t="s">
        <v>1138</v>
      </c>
      <c r="F532" s="143">
        <v>1</v>
      </c>
      <c r="G532" s="143" t="s">
        <v>1014</v>
      </c>
      <c r="H532" s="149">
        <v>1</v>
      </c>
      <c r="I532" s="150">
        <v>5000</v>
      </c>
      <c r="J532" s="151">
        <f t="shared" si="57"/>
        <v>5000</v>
      </c>
      <c r="K532" s="152"/>
    </row>
    <row r="533" spans="1:14" s="141" customFormat="1" ht="20.25" customHeight="1">
      <c r="A533" s="147">
        <v>8</v>
      </c>
      <c r="B533" s="143" t="s">
        <v>1127</v>
      </c>
      <c r="C533" s="143" t="s">
        <v>1128</v>
      </c>
      <c r="D533" s="143" t="s">
        <v>1145</v>
      </c>
      <c r="E533" s="143" t="s">
        <v>1146</v>
      </c>
      <c r="F533" s="143">
        <v>1</v>
      </c>
      <c r="G533" s="143" t="s">
        <v>1147</v>
      </c>
      <c r="H533" s="149">
        <v>1</v>
      </c>
      <c r="I533" s="150">
        <v>16000</v>
      </c>
      <c r="J533" s="151">
        <f t="shared" si="57"/>
        <v>16000</v>
      </c>
      <c r="K533" s="152"/>
    </row>
    <row r="534" spans="1:14" s="141" customFormat="1" ht="20.25" customHeight="1">
      <c r="A534" s="147">
        <v>9</v>
      </c>
      <c r="B534" s="143" t="s">
        <v>1127</v>
      </c>
      <c r="C534" s="143" t="s">
        <v>1128</v>
      </c>
      <c r="D534" s="143" t="s">
        <v>1129</v>
      </c>
      <c r="E534" s="143" t="s">
        <v>1148</v>
      </c>
      <c r="F534" s="143">
        <v>1</v>
      </c>
      <c r="G534" s="143" t="s">
        <v>1116</v>
      </c>
      <c r="H534" s="149">
        <v>1</v>
      </c>
      <c r="I534" s="150">
        <v>2000</v>
      </c>
      <c r="J534" s="151">
        <f t="shared" si="57"/>
        <v>2000</v>
      </c>
      <c r="K534" s="152"/>
    </row>
    <row r="535" spans="1:14" s="141" customFormat="1" ht="20.25" customHeight="1">
      <c r="A535" s="147">
        <v>10</v>
      </c>
      <c r="B535" s="143" t="s">
        <v>1127</v>
      </c>
      <c r="C535" s="143" t="s">
        <v>1128</v>
      </c>
      <c r="D535" s="143" t="s">
        <v>1025</v>
      </c>
      <c r="E535" s="143" t="s">
        <v>1249</v>
      </c>
      <c r="F535" s="143">
        <v>4</v>
      </c>
      <c r="G535" s="143" t="s">
        <v>1026</v>
      </c>
      <c r="H535" s="149">
        <v>4</v>
      </c>
      <c r="I535" s="150">
        <v>5000</v>
      </c>
      <c r="J535" s="151">
        <f t="shared" si="57"/>
        <v>20000</v>
      </c>
      <c r="K535" s="152"/>
    </row>
    <row r="536" spans="1:14" s="141" customFormat="1" ht="20.25" customHeight="1">
      <c r="A536" s="147">
        <v>11</v>
      </c>
      <c r="B536" s="143" t="s">
        <v>1127</v>
      </c>
      <c r="C536" s="143" t="s">
        <v>1128</v>
      </c>
      <c r="D536" s="143" t="s">
        <v>1011</v>
      </c>
      <c r="E536" s="148" t="s">
        <v>1118</v>
      </c>
      <c r="F536" s="143">
        <v>1</v>
      </c>
      <c r="G536" s="149" t="s">
        <v>1029</v>
      </c>
      <c r="H536" s="149">
        <v>1</v>
      </c>
      <c r="I536" s="157">
        <f>49425/3</f>
        <v>16475</v>
      </c>
      <c r="J536" s="159">
        <f t="shared" si="57"/>
        <v>16475</v>
      </c>
      <c r="K536" s="152"/>
    </row>
    <row r="537" spans="1:14" s="141" customFormat="1" ht="20.25" customHeight="1">
      <c r="A537" s="147">
        <v>12</v>
      </c>
      <c r="B537" s="143" t="s">
        <v>1127</v>
      </c>
      <c r="C537" s="143" t="s">
        <v>1128</v>
      </c>
      <c r="D537" s="143" t="s">
        <v>1011</v>
      </c>
      <c r="E537" s="148" t="s">
        <v>1108</v>
      </c>
      <c r="F537" s="143">
        <v>1</v>
      </c>
      <c r="G537" s="149" t="s">
        <v>1029</v>
      </c>
      <c r="H537" s="149">
        <v>1</v>
      </c>
      <c r="I537" s="157">
        <f>48660/3</f>
        <v>16220</v>
      </c>
      <c r="J537" s="159">
        <f t="shared" si="57"/>
        <v>16220</v>
      </c>
      <c r="K537" s="152"/>
      <c r="M537" s="185">
        <v>890000</v>
      </c>
      <c r="N537" s="186" t="s">
        <v>1302</v>
      </c>
    </row>
    <row r="538" spans="1:14" s="141" customFormat="1" ht="20.25" customHeight="1">
      <c r="A538" s="147">
        <v>13</v>
      </c>
      <c r="B538" s="143" t="s">
        <v>1127</v>
      </c>
      <c r="C538" s="143" t="s">
        <v>1128</v>
      </c>
      <c r="D538" s="143" t="s">
        <v>1011</v>
      </c>
      <c r="E538" s="148" t="s">
        <v>1160</v>
      </c>
      <c r="F538" s="143">
        <v>1</v>
      </c>
      <c r="G538" s="149" t="s">
        <v>1026</v>
      </c>
      <c r="H538" s="149">
        <v>1</v>
      </c>
      <c r="I538" s="157">
        <v>5000</v>
      </c>
      <c r="J538" s="159">
        <f t="shared" si="57"/>
        <v>5000</v>
      </c>
      <c r="K538" s="152"/>
      <c r="M538" s="154">
        <f>150000+100000</f>
        <v>250000</v>
      </c>
      <c r="N538" s="210" t="s">
        <v>1561</v>
      </c>
    </row>
    <row r="539" spans="1:14" s="141" customFormat="1" ht="20.25" customHeight="1">
      <c r="A539" s="147">
        <v>14</v>
      </c>
      <c r="B539" s="143" t="s">
        <v>1127</v>
      </c>
      <c r="C539" s="143" t="s">
        <v>1128</v>
      </c>
      <c r="D539" s="143" t="s">
        <v>1050</v>
      </c>
      <c r="E539" s="148" t="s">
        <v>1051</v>
      </c>
      <c r="F539" s="143">
        <v>1</v>
      </c>
      <c r="G539" s="149" t="s">
        <v>1052</v>
      </c>
      <c r="H539" s="149">
        <v>1</v>
      </c>
      <c r="I539" s="157">
        <v>30000</v>
      </c>
      <c r="J539" s="159">
        <f t="shared" si="57"/>
        <v>30000</v>
      </c>
      <c r="K539" s="152"/>
      <c r="M539" s="183">
        <f>L542*7%</f>
        <v>27376.828431372553</v>
      </c>
      <c r="N539" s="141" t="s">
        <v>1303</v>
      </c>
    </row>
    <row r="540" spans="1:14" s="141" customFormat="1" ht="20.25" customHeight="1">
      <c r="A540" s="147">
        <v>15</v>
      </c>
      <c r="B540" s="143" t="s">
        <v>1127</v>
      </c>
      <c r="C540" s="143" t="s">
        <v>1128</v>
      </c>
      <c r="D540" s="143" t="s">
        <v>1041</v>
      </c>
      <c r="E540" s="148" t="s">
        <v>1035</v>
      </c>
      <c r="F540" s="143">
        <v>1</v>
      </c>
      <c r="G540" s="143" t="s">
        <v>1024</v>
      </c>
      <c r="H540" s="149">
        <v>1</v>
      </c>
      <c r="I540" s="150">
        <v>800</v>
      </c>
      <c r="J540" s="151">
        <f>H540*I540</f>
        <v>800</v>
      </c>
      <c r="K540" s="152"/>
      <c r="M540" s="183">
        <f>(L542+M539)*20%</f>
        <v>83694.875490196078</v>
      </c>
      <c r="N540" s="141" t="s">
        <v>1304</v>
      </c>
    </row>
    <row r="541" spans="1:14" s="141" customFormat="1" ht="20.25" customHeight="1" thickBot="1">
      <c r="A541" s="147">
        <v>16</v>
      </c>
      <c r="B541" s="177" t="s">
        <v>1127</v>
      </c>
      <c r="C541" s="177" t="s">
        <v>1128</v>
      </c>
      <c r="D541" s="177" t="s">
        <v>1262</v>
      </c>
      <c r="E541" s="143" t="s">
        <v>1263</v>
      </c>
      <c r="F541" s="177">
        <v>1</v>
      </c>
      <c r="G541" s="177" t="s">
        <v>1116</v>
      </c>
      <c r="H541" s="178">
        <v>1</v>
      </c>
      <c r="I541" s="179">
        <v>700</v>
      </c>
      <c r="J541" s="180">
        <v>700</v>
      </c>
      <c r="K541" s="181"/>
      <c r="M541" s="183">
        <f>(L542+M539+M540)*25%</f>
        <v>125542.3132352941</v>
      </c>
      <c r="N541" s="141" t="s">
        <v>1305</v>
      </c>
    </row>
    <row r="542" spans="1:14" s="141" customFormat="1" ht="20.25" customHeight="1" thickBot="1">
      <c r="A542" s="160">
        <v>17</v>
      </c>
      <c r="B542" s="161" t="s">
        <v>1127</v>
      </c>
      <c r="C542" s="161" t="s">
        <v>1128</v>
      </c>
      <c r="D542" s="161" t="s">
        <v>1264</v>
      </c>
      <c r="E542" s="169" t="s">
        <v>1267</v>
      </c>
      <c r="F542" s="161">
        <v>1</v>
      </c>
      <c r="G542" s="161" t="s">
        <v>1266</v>
      </c>
      <c r="H542" s="162">
        <v>1</v>
      </c>
      <c r="I542" s="170">
        <v>1400</v>
      </c>
      <c r="J542" s="171">
        <f t="shared" ref="J542" si="58">H542*I542</f>
        <v>1400</v>
      </c>
      <c r="K542" s="163"/>
      <c r="L542" s="172">
        <f>SUM(J526:J542)</f>
        <v>391097.54901960783</v>
      </c>
      <c r="M542" s="184">
        <f>L542+M538+M539+M540+M541</f>
        <v>877711.56617647049</v>
      </c>
      <c r="N542" s="141" t="s">
        <v>1307</v>
      </c>
    </row>
    <row r="543" spans="1:14" s="141" customFormat="1" ht="7.5" customHeight="1" thickBot="1">
      <c r="D543" s="164"/>
      <c r="E543" s="164"/>
      <c r="G543" s="165"/>
      <c r="H543" s="165"/>
      <c r="I543" s="167"/>
      <c r="J543" s="168"/>
    </row>
    <row r="544" spans="1:14" s="141" customFormat="1" ht="20.25" customHeight="1">
      <c r="A544" s="142">
        <v>1</v>
      </c>
      <c r="B544" s="144" t="s">
        <v>1165</v>
      </c>
      <c r="C544" s="144" t="s">
        <v>857</v>
      </c>
      <c r="D544" s="144" t="s">
        <v>1011</v>
      </c>
      <c r="E544" s="144" t="s">
        <v>1166</v>
      </c>
      <c r="F544" s="144">
        <v>1</v>
      </c>
      <c r="G544" s="145" t="s">
        <v>1012</v>
      </c>
      <c r="H544" s="145">
        <v>1</v>
      </c>
      <c r="I544" s="156">
        <f>200780/1.5</f>
        <v>133853.33333333334</v>
      </c>
      <c r="J544" s="158">
        <f>H544*I544</f>
        <v>133853.33333333334</v>
      </c>
      <c r="K544" s="146"/>
    </row>
    <row r="545" spans="1:14" s="141" customFormat="1" ht="20.25" customHeight="1">
      <c r="A545" s="147">
        <v>2</v>
      </c>
      <c r="B545" s="143" t="s">
        <v>1130</v>
      </c>
      <c r="C545" s="143" t="s">
        <v>1131</v>
      </c>
      <c r="D545" s="143" t="s">
        <v>1011</v>
      </c>
      <c r="E545" s="148" t="s">
        <v>1159</v>
      </c>
      <c r="F545" s="143">
        <v>1</v>
      </c>
      <c r="G545" s="149" t="s">
        <v>1012</v>
      </c>
      <c r="H545" s="149">
        <v>1</v>
      </c>
      <c r="I545" s="157">
        <f>88314/8.5</f>
        <v>10389.882352941177</v>
      </c>
      <c r="J545" s="159">
        <f t="shared" ref="J545:J556" si="59">H545*I545</f>
        <v>10389.882352941177</v>
      </c>
      <c r="K545" s="152"/>
    </row>
    <row r="546" spans="1:14" s="141" customFormat="1" ht="20.25" customHeight="1">
      <c r="A546" s="147">
        <v>3</v>
      </c>
      <c r="B546" s="143" t="s">
        <v>1130</v>
      </c>
      <c r="C546" s="143" t="s">
        <v>1131</v>
      </c>
      <c r="D546" s="143" t="s">
        <v>1013</v>
      </c>
      <c r="E546" s="148" t="s">
        <v>1143</v>
      </c>
      <c r="F546" s="143">
        <v>1</v>
      </c>
      <c r="G546" s="143" t="s">
        <v>1014</v>
      </c>
      <c r="H546" s="149">
        <v>1</v>
      </c>
      <c r="I546" s="157">
        <v>34000</v>
      </c>
      <c r="J546" s="159">
        <f t="shared" si="59"/>
        <v>34000</v>
      </c>
      <c r="K546" s="152"/>
    </row>
    <row r="547" spans="1:14" s="141" customFormat="1" ht="20.25" customHeight="1">
      <c r="A547" s="147">
        <v>4</v>
      </c>
      <c r="B547" s="143" t="s">
        <v>1130</v>
      </c>
      <c r="C547" s="143" t="s">
        <v>1131</v>
      </c>
      <c r="D547" s="143" t="s">
        <v>1015</v>
      </c>
      <c r="E547" s="148" t="s">
        <v>1144</v>
      </c>
      <c r="F547" s="143">
        <v>4</v>
      </c>
      <c r="G547" s="143" t="s">
        <v>1014</v>
      </c>
      <c r="H547" s="149">
        <v>4</v>
      </c>
      <c r="I547" s="157">
        <v>1700</v>
      </c>
      <c r="J547" s="159">
        <f t="shared" si="59"/>
        <v>6800</v>
      </c>
      <c r="K547" s="152"/>
    </row>
    <row r="548" spans="1:14" s="141" customFormat="1" ht="20.25" customHeight="1">
      <c r="A548" s="147">
        <v>5</v>
      </c>
      <c r="B548" s="143" t="s">
        <v>1130</v>
      </c>
      <c r="C548" s="143" t="s">
        <v>1131</v>
      </c>
      <c r="D548" s="143" t="s">
        <v>1020</v>
      </c>
      <c r="E548" s="143" t="s">
        <v>1138</v>
      </c>
      <c r="F548" s="143">
        <v>1</v>
      </c>
      <c r="G548" s="143" t="s">
        <v>1014</v>
      </c>
      <c r="H548" s="149">
        <v>1</v>
      </c>
      <c r="I548" s="150">
        <v>18000</v>
      </c>
      <c r="J548" s="151">
        <f t="shared" si="59"/>
        <v>18000</v>
      </c>
      <c r="K548" s="152"/>
    </row>
    <row r="549" spans="1:14" s="141" customFormat="1" ht="20.25" customHeight="1">
      <c r="A549" s="147">
        <v>6</v>
      </c>
      <c r="B549" s="143" t="s">
        <v>1130</v>
      </c>
      <c r="C549" s="143" t="s">
        <v>1131</v>
      </c>
      <c r="D549" s="143" t="s">
        <v>1021</v>
      </c>
      <c r="E549" s="143" t="s">
        <v>1138</v>
      </c>
      <c r="F549" s="143">
        <v>1</v>
      </c>
      <c r="G549" s="143" t="s">
        <v>1014</v>
      </c>
      <c r="H549" s="149">
        <v>1</v>
      </c>
      <c r="I549" s="150">
        <v>5000</v>
      </c>
      <c r="J549" s="151">
        <f t="shared" si="59"/>
        <v>5000</v>
      </c>
      <c r="K549" s="152"/>
    </row>
    <row r="550" spans="1:14" s="141" customFormat="1" ht="20.25" customHeight="1">
      <c r="A550" s="147">
        <v>7</v>
      </c>
      <c r="B550" s="143" t="s">
        <v>1130</v>
      </c>
      <c r="C550" s="143" t="s">
        <v>1131</v>
      </c>
      <c r="D550" s="143" t="s">
        <v>1145</v>
      </c>
      <c r="E550" s="143" t="s">
        <v>1146</v>
      </c>
      <c r="F550" s="143">
        <v>1</v>
      </c>
      <c r="G550" s="143" t="s">
        <v>1147</v>
      </c>
      <c r="H550" s="149">
        <v>1</v>
      </c>
      <c r="I550" s="150">
        <v>16000</v>
      </c>
      <c r="J550" s="151">
        <f t="shared" si="59"/>
        <v>16000</v>
      </c>
      <c r="K550" s="152"/>
    </row>
    <row r="551" spans="1:14" s="141" customFormat="1" ht="20.25" customHeight="1">
      <c r="A551" s="147">
        <v>8</v>
      </c>
      <c r="B551" s="143" t="s">
        <v>1130</v>
      </c>
      <c r="C551" s="143" t="s">
        <v>1131</v>
      </c>
      <c r="D551" s="143" t="s">
        <v>1129</v>
      </c>
      <c r="E551" s="143" t="s">
        <v>1138</v>
      </c>
      <c r="F551" s="143">
        <v>2</v>
      </c>
      <c r="G551" s="143" t="s">
        <v>1116</v>
      </c>
      <c r="H551" s="149">
        <v>2</v>
      </c>
      <c r="I551" s="150">
        <v>3200</v>
      </c>
      <c r="J551" s="151">
        <f t="shared" si="59"/>
        <v>6400</v>
      </c>
      <c r="K551" s="152"/>
    </row>
    <row r="552" spans="1:14" s="141" customFormat="1" ht="20.25" customHeight="1">
      <c r="A552" s="147">
        <v>9</v>
      </c>
      <c r="B552" s="143" t="s">
        <v>1130</v>
      </c>
      <c r="C552" s="143" t="s">
        <v>1131</v>
      </c>
      <c r="D552" s="143" t="s">
        <v>1025</v>
      </c>
      <c r="E552" s="143" t="s">
        <v>1250</v>
      </c>
      <c r="F552" s="143">
        <v>2</v>
      </c>
      <c r="G552" s="143" t="s">
        <v>1026</v>
      </c>
      <c r="H552" s="149">
        <v>2</v>
      </c>
      <c r="I552" s="150">
        <v>5000</v>
      </c>
      <c r="J552" s="151">
        <f t="shared" si="59"/>
        <v>10000</v>
      </c>
      <c r="K552" s="152"/>
    </row>
    <row r="553" spans="1:14" s="141" customFormat="1" ht="20.25" customHeight="1">
      <c r="A553" s="147">
        <v>10</v>
      </c>
      <c r="B553" s="143" t="s">
        <v>1130</v>
      </c>
      <c r="C553" s="143" t="s">
        <v>1131</v>
      </c>
      <c r="D553" s="143" t="s">
        <v>1011</v>
      </c>
      <c r="E553" s="148" t="s">
        <v>1167</v>
      </c>
      <c r="F553" s="143">
        <v>1</v>
      </c>
      <c r="G553" s="149" t="s">
        <v>1029</v>
      </c>
      <c r="H553" s="149">
        <v>1</v>
      </c>
      <c r="I553" s="157">
        <f>49425/3</f>
        <v>16475</v>
      </c>
      <c r="J553" s="159">
        <f t="shared" si="59"/>
        <v>16475</v>
      </c>
      <c r="K553" s="152"/>
    </row>
    <row r="554" spans="1:14" s="141" customFormat="1" ht="20.25" customHeight="1">
      <c r="A554" s="147">
        <v>11</v>
      </c>
      <c r="B554" s="143" t="s">
        <v>1130</v>
      </c>
      <c r="C554" s="143" t="s">
        <v>1131</v>
      </c>
      <c r="D554" s="143" t="s">
        <v>1011</v>
      </c>
      <c r="E554" s="148" t="s">
        <v>1108</v>
      </c>
      <c r="F554" s="143">
        <v>1</v>
      </c>
      <c r="G554" s="149" t="s">
        <v>1029</v>
      </c>
      <c r="H554" s="149">
        <v>1</v>
      </c>
      <c r="I554" s="157">
        <f>48660/3</f>
        <v>16220</v>
      </c>
      <c r="J554" s="159">
        <f t="shared" si="59"/>
        <v>16220</v>
      </c>
      <c r="K554" s="152"/>
      <c r="M554" s="185">
        <v>923636</v>
      </c>
      <c r="N554" s="186" t="s">
        <v>1302</v>
      </c>
    </row>
    <row r="555" spans="1:14" s="141" customFormat="1" ht="20.25" customHeight="1">
      <c r="A555" s="147">
        <v>12</v>
      </c>
      <c r="B555" s="143" t="s">
        <v>1130</v>
      </c>
      <c r="C555" s="143" t="s">
        <v>1131</v>
      </c>
      <c r="D555" s="143" t="s">
        <v>1011</v>
      </c>
      <c r="E555" s="148" t="s">
        <v>1160</v>
      </c>
      <c r="F555" s="143">
        <v>1</v>
      </c>
      <c r="G555" s="149" t="s">
        <v>1026</v>
      </c>
      <c r="H555" s="149">
        <v>1</v>
      </c>
      <c r="I555" s="157">
        <v>5000</v>
      </c>
      <c r="J555" s="159">
        <f t="shared" si="59"/>
        <v>5000</v>
      </c>
      <c r="K555" s="152"/>
      <c r="M555" s="154">
        <f>150000+100000</f>
        <v>250000</v>
      </c>
      <c r="N555" s="210" t="s">
        <v>1561</v>
      </c>
    </row>
    <row r="556" spans="1:14" s="141" customFormat="1" ht="20.25" customHeight="1">
      <c r="A556" s="147">
        <v>13</v>
      </c>
      <c r="B556" s="143" t="s">
        <v>1130</v>
      </c>
      <c r="C556" s="143" t="s">
        <v>1131</v>
      </c>
      <c r="D556" s="143" t="s">
        <v>1050</v>
      </c>
      <c r="E556" s="148" t="s">
        <v>1051</v>
      </c>
      <c r="F556" s="143">
        <v>1</v>
      </c>
      <c r="G556" s="149" t="s">
        <v>1079</v>
      </c>
      <c r="H556" s="149">
        <v>1</v>
      </c>
      <c r="I556" s="157">
        <v>30000</v>
      </c>
      <c r="J556" s="159">
        <f t="shared" si="59"/>
        <v>30000</v>
      </c>
      <c r="K556" s="152"/>
      <c r="M556" s="183">
        <f>L559*7%</f>
        <v>21772.675098039217</v>
      </c>
      <c r="N556" s="141" t="s">
        <v>1303</v>
      </c>
    </row>
    <row r="557" spans="1:14" s="141" customFormat="1" ht="20.25" customHeight="1">
      <c r="A557" s="147">
        <v>14</v>
      </c>
      <c r="B557" s="143" t="s">
        <v>1130</v>
      </c>
      <c r="C557" s="143" t="s">
        <v>1131</v>
      </c>
      <c r="D557" s="143" t="s">
        <v>1041</v>
      </c>
      <c r="E557" s="148" t="s">
        <v>1119</v>
      </c>
      <c r="F557" s="143">
        <v>1</v>
      </c>
      <c r="G557" s="143" t="s">
        <v>1024</v>
      </c>
      <c r="H557" s="149">
        <v>1</v>
      </c>
      <c r="I557" s="150">
        <v>800</v>
      </c>
      <c r="J557" s="151">
        <f>H557*I557</f>
        <v>800</v>
      </c>
      <c r="K557" s="152"/>
      <c r="M557" s="183">
        <f>(L559+M556)*20%</f>
        <v>66562.178156862748</v>
      </c>
      <c r="N557" s="141" t="s">
        <v>1304</v>
      </c>
    </row>
    <row r="558" spans="1:14" s="141" customFormat="1" ht="20.25" customHeight="1" thickBot="1">
      <c r="A558" s="147">
        <v>15</v>
      </c>
      <c r="B558" s="177" t="s">
        <v>1130</v>
      </c>
      <c r="C558" s="177" t="s">
        <v>1131</v>
      </c>
      <c r="D558" s="177" t="s">
        <v>1262</v>
      </c>
      <c r="E558" s="143" t="s">
        <v>1263</v>
      </c>
      <c r="F558" s="177">
        <v>1</v>
      </c>
      <c r="G558" s="177" t="s">
        <v>1116</v>
      </c>
      <c r="H558" s="178">
        <v>1</v>
      </c>
      <c r="I558" s="179">
        <v>700</v>
      </c>
      <c r="J558" s="180">
        <v>700</v>
      </c>
      <c r="K558" s="181"/>
      <c r="M558" s="183">
        <f>(L559+M556+M557)*25%</f>
        <v>99843.267235294115</v>
      </c>
      <c r="N558" s="141" t="s">
        <v>1305</v>
      </c>
    </row>
    <row r="559" spans="1:14" s="141" customFormat="1" ht="20.25" customHeight="1" thickBot="1">
      <c r="A559" s="160">
        <v>16</v>
      </c>
      <c r="B559" s="161" t="s">
        <v>1130</v>
      </c>
      <c r="C559" s="161" t="s">
        <v>1131</v>
      </c>
      <c r="D559" s="161" t="s">
        <v>1264</v>
      </c>
      <c r="E559" s="169" t="s">
        <v>1267</v>
      </c>
      <c r="F559" s="161">
        <v>1</v>
      </c>
      <c r="G559" s="161" t="s">
        <v>1266</v>
      </c>
      <c r="H559" s="162">
        <v>1</v>
      </c>
      <c r="I559" s="170">
        <v>1400</v>
      </c>
      <c r="J559" s="171">
        <f t="shared" ref="J559" si="60">H559*I559</f>
        <v>1400</v>
      </c>
      <c r="K559" s="163"/>
      <c r="L559" s="172">
        <f>SUM(J544:J559)</f>
        <v>311038.21568627452</v>
      </c>
      <c r="M559" s="184">
        <f>L559+M555+M556+M557+M558</f>
        <v>749216.3361764705</v>
      </c>
      <c r="N559" s="141" t="s">
        <v>1307</v>
      </c>
    </row>
    <row r="560" spans="1:14" s="141" customFormat="1" ht="7.5" customHeight="1" thickBot="1">
      <c r="D560" s="164"/>
      <c r="E560" s="164"/>
      <c r="G560" s="165"/>
      <c r="H560" s="165"/>
      <c r="I560" s="167"/>
      <c r="J560" s="168"/>
    </row>
    <row r="561" spans="1:14" s="141" customFormat="1" ht="20.25" customHeight="1">
      <c r="A561" s="142">
        <v>1</v>
      </c>
      <c r="B561" s="144" t="s">
        <v>1168</v>
      </c>
      <c r="C561" s="144" t="s">
        <v>860</v>
      </c>
      <c r="D561" s="144" t="s">
        <v>1011</v>
      </c>
      <c r="E561" s="144" t="s">
        <v>1169</v>
      </c>
      <c r="F561" s="144">
        <v>1</v>
      </c>
      <c r="G561" s="145" t="s">
        <v>1012</v>
      </c>
      <c r="H561" s="145">
        <v>1</v>
      </c>
      <c r="I561" s="156">
        <f>200780/1.2</f>
        <v>167316.66666666669</v>
      </c>
      <c r="J561" s="158">
        <f>H561*I561</f>
        <v>167316.66666666669</v>
      </c>
      <c r="K561" s="146"/>
    </row>
    <row r="562" spans="1:14" s="141" customFormat="1" ht="20.25" customHeight="1">
      <c r="A562" s="147">
        <v>2</v>
      </c>
      <c r="B562" s="143" t="s">
        <v>1132</v>
      </c>
      <c r="C562" s="143" t="s">
        <v>1133</v>
      </c>
      <c r="D562" s="143" t="s">
        <v>1011</v>
      </c>
      <c r="E562" s="148" t="s">
        <v>1159</v>
      </c>
      <c r="F562" s="143">
        <v>1</v>
      </c>
      <c r="G562" s="149" t="s">
        <v>1012</v>
      </c>
      <c r="H562" s="149">
        <v>1</v>
      </c>
      <c r="I562" s="157">
        <f>88314/8.5</f>
        <v>10389.882352941177</v>
      </c>
      <c r="J562" s="159">
        <f t="shared" ref="J562:J573" si="61">H562*I562</f>
        <v>10389.882352941177</v>
      </c>
      <c r="K562" s="152"/>
    </row>
    <row r="563" spans="1:14" s="141" customFormat="1" ht="20.25" customHeight="1">
      <c r="A563" s="147">
        <v>3</v>
      </c>
      <c r="B563" s="143" t="s">
        <v>1132</v>
      </c>
      <c r="C563" s="143" t="s">
        <v>1133</v>
      </c>
      <c r="D563" s="143" t="s">
        <v>1013</v>
      </c>
      <c r="E563" s="148" t="s">
        <v>1143</v>
      </c>
      <c r="F563" s="143">
        <v>1</v>
      </c>
      <c r="G563" s="143" t="s">
        <v>1014</v>
      </c>
      <c r="H563" s="149">
        <v>1</v>
      </c>
      <c r="I563" s="157">
        <v>34000</v>
      </c>
      <c r="J563" s="159">
        <f t="shared" si="61"/>
        <v>34000</v>
      </c>
      <c r="K563" s="152"/>
    </row>
    <row r="564" spans="1:14" s="141" customFormat="1" ht="20.25" customHeight="1">
      <c r="A564" s="147">
        <v>4</v>
      </c>
      <c r="B564" s="143" t="s">
        <v>1132</v>
      </c>
      <c r="C564" s="143" t="s">
        <v>1133</v>
      </c>
      <c r="D564" s="143" t="s">
        <v>1015</v>
      </c>
      <c r="E564" s="148" t="s">
        <v>1144</v>
      </c>
      <c r="F564" s="143">
        <v>4</v>
      </c>
      <c r="G564" s="143" t="s">
        <v>1014</v>
      </c>
      <c r="H564" s="149">
        <v>4</v>
      </c>
      <c r="I564" s="157">
        <v>1700</v>
      </c>
      <c r="J564" s="159">
        <f t="shared" si="61"/>
        <v>6800</v>
      </c>
      <c r="K564" s="152"/>
    </row>
    <row r="565" spans="1:14" s="141" customFormat="1" ht="20.25" customHeight="1">
      <c r="A565" s="147">
        <v>5</v>
      </c>
      <c r="B565" s="143" t="s">
        <v>1132</v>
      </c>
      <c r="C565" s="143" t="s">
        <v>1133</v>
      </c>
      <c r="D565" s="143" t="s">
        <v>1020</v>
      </c>
      <c r="E565" s="143" t="s">
        <v>1138</v>
      </c>
      <c r="F565" s="143">
        <v>1</v>
      </c>
      <c r="G565" s="143" t="s">
        <v>1014</v>
      </c>
      <c r="H565" s="149">
        <v>1</v>
      </c>
      <c r="I565" s="150">
        <v>18000</v>
      </c>
      <c r="J565" s="151">
        <f t="shared" si="61"/>
        <v>18000</v>
      </c>
      <c r="K565" s="152"/>
    </row>
    <row r="566" spans="1:14" s="141" customFormat="1" ht="20.25" customHeight="1">
      <c r="A566" s="147">
        <v>6</v>
      </c>
      <c r="B566" s="143" t="s">
        <v>1132</v>
      </c>
      <c r="C566" s="143" t="s">
        <v>1133</v>
      </c>
      <c r="D566" s="143" t="s">
        <v>1021</v>
      </c>
      <c r="E566" s="143" t="s">
        <v>1138</v>
      </c>
      <c r="F566" s="143">
        <v>1</v>
      </c>
      <c r="G566" s="143" t="s">
        <v>1014</v>
      </c>
      <c r="H566" s="149">
        <v>1</v>
      </c>
      <c r="I566" s="150">
        <v>5000</v>
      </c>
      <c r="J566" s="151">
        <f t="shared" si="61"/>
        <v>5000</v>
      </c>
      <c r="K566" s="152"/>
    </row>
    <row r="567" spans="1:14" s="141" customFormat="1" ht="20.25" customHeight="1">
      <c r="A567" s="147">
        <v>7</v>
      </c>
      <c r="B567" s="143" t="s">
        <v>1132</v>
      </c>
      <c r="C567" s="143" t="s">
        <v>1133</v>
      </c>
      <c r="D567" s="143" t="s">
        <v>1145</v>
      </c>
      <c r="E567" s="143" t="s">
        <v>1146</v>
      </c>
      <c r="F567" s="143">
        <v>1</v>
      </c>
      <c r="G567" s="143" t="s">
        <v>1147</v>
      </c>
      <c r="H567" s="149">
        <v>1</v>
      </c>
      <c r="I567" s="150">
        <v>16000</v>
      </c>
      <c r="J567" s="151">
        <f t="shared" si="61"/>
        <v>16000</v>
      </c>
      <c r="K567" s="152"/>
    </row>
    <row r="568" spans="1:14" s="141" customFormat="1" ht="20.25" customHeight="1">
      <c r="A568" s="147">
        <v>8</v>
      </c>
      <c r="B568" s="143" t="s">
        <v>1132</v>
      </c>
      <c r="C568" s="143" t="s">
        <v>1133</v>
      </c>
      <c r="D568" s="143" t="s">
        <v>1129</v>
      </c>
      <c r="E568" s="143" t="s">
        <v>1138</v>
      </c>
      <c r="F568" s="143">
        <v>2</v>
      </c>
      <c r="G568" s="143" t="s">
        <v>1116</v>
      </c>
      <c r="H568" s="149">
        <v>2</v>
      </c>
      <c r="I568" s="150">
        <v>3200</v>
      </c>
      <c r="J568" s="151">
        <f t="shared" si="61"/>
        <v>6400</v>
      </c>
      <c r="K568" s="152"/>
    </row>
    <row r="569" spans="1:14" s="141" customFormat="1" ht="20.25" customHeight="1">
      <c r="A569" s="147">
        <v>9</v>
      </c>
      <c r="B569" s="143" t="s">
        <v>1132</v>
      </c>
      <c r="C569" s="143" t="s">
        <v>1133</v>
      </c>
      <c r="D569" s="143" t="s">
        <v>1025</v>
      </c>
      <c r="E569" s="143" t="s">
        <v>1250</v>
      </c>
      <c r="F569" s="143">
        <v>2</v>
      </c>
      <c r="G569" s="143" t="s">
        <v>1026</v>
      </c>
      <c r="H569" s="149">
        <v>2</v>
      </c>
      <c r="I569" s="150">
        <v>5000</v>
      </c>
      <c r="J569" s="151">
        <f t="shared" si="61"/>
        <v>10000</v>
      </c>
      <c r="K569" s="152"/>
    </row>
    <row r="570" spans="1:14" s="141" customFormat="1" ht="20.25" customHeight="1">
      <c r="A570" s="147">
        <v>10</v>
      </c>
      <c r="B570" s="143" t="s">
        <v>1132</v>
      </c>
      <c r="C570" s="143" t="s">
        <v>1133</v>
      </c>
      <c r="D570" s="143" t="s">
        <v>1011</v>
      </c>
      <c r="E570" s="148" t="s">
        <v>1167</v>
      </c>
      <c r="F570" s="143">
        <v>1</v>
      </c>
      <c r="G570" s="149" t="s">
        <v>1029</v>
      </c>
      <c r="H570" s="149">
        <v>1</v>
      </c>
      <c r="I570" s="157">
        <f>49425/3</f>
        <v>16475</v>
      </c>
      <c r="J570" s="159">
        <f t="shared" si="61"/>
        <v>16475</v>
      </c>
      <c r="K570" s="152"/>
    </row>
    <row r="571" spans="1:14" s="141" customFormat="1" ht="20.25" customHeight="1">
      <c r="A571" s="147">
        <v>11</v>
      </c>
      <c r="B571" s="143" t="s">
        <v>1132</v>
      </c>
      <c r="C571" s="143" t="s">
        <v>1133</v>
      </c>
      <c r="D571" s="143" t="s">
        <v>1011</v>
      </c>
      <c r="E571" s="148" t="s">
        <v>1108</v>
      </c>
      <c r="F571" s="143">
        <v>1</v>
      </c>
      <c r="G571" s="149" t="s">
        <v>1029</v>
      </c>
      <c r="H571" s="149">
        <v>1</v>
      </c>
      <c r="I571" s="157">
        <f>48660/3</f>
        <v>16220</v>
      </c>
      <c r="J571" s="159">
        <f t="shared" si="61"/>
        <v>16220</v>
      </c>
      <c r="K571" s="152"/>
      <c r="M571" s="185">
        <v>1009091</v>
      </c>
      <c r="N571" s="186" t="s">
        <v>1302</v>
      </c>
    </row>
    <row r="572" spans="1:14" s="141" customFormat="1" ht="20.25" customHeight="1">
      <c r="A572" s="147">
        <v>12</v>
      </c>
      <c r="B572" s="143" t="s">
        <v>1132</v>
      </c>
      <c r="C572" s="143" t="s">
        <v>1133</v>
      </c>
      <c r="D572" s="143" t="s">
        <v>1011</v>
      </c>
      <c r="E572" s="148" t="s">
        <v>1160</v>
      </c>
      <c r="F572" s="143">
        <v>1</v>
      </c>
      <c r="G572" s="149" t="s">
        <v>1026</v>
      </c>
      <c r="H572" s="149">
        <v>1</v>
      </c>
      <c r="I572" s="157">
        <v>5000</v>
      </c>
      <c r="J572" s="159">
        <f t="shared" si="61"/>
        <v>5000</v>
      </c>
      <c r="K572" s="152"/>
      <c r="M572" s="154">
        <f>150000+100000</f>
        <v>250000</v>
      </c>
      <c r="N572" s="210" t="s">
        <v>1561</v>
      </c>
    </row>
    <row r="573" spans="1:14" s="141" customFormat="1" ht="20.25" customHeight="1">
      <c r="A573" s="147">
        <v>13</v>
      </c>
      <c r="B573" s="143" t="s">
        <v>1132</v>
      </c>
      <c r="C573" s="143" t="s">
        <v>1133</v>
      </c>
      <c r="D573" s="143" t="s">
        <v>1050</v>
      </c>
      <c r="E573" s="148" t="s">
        <v>1051</v>
      </c>
      <c r="F573" s="143">
        <v>1</v>
      </c>
      <c r="G573" s="149" t="s">
        <v>1105</v>
      </c>
      <c r="H573" s="149">
        <v>1</v>
      </c>
      <c r="I573" s="157">
        <v>30000</v>
      </c>
      <c r="J573" s="159">
        <f t="shared" si="61"/>
        <v>30000</v>
      </c>
      <c r="K573" s="152"/>
      <c r="M573" s="183">
        <f>L576*7%</f>
        <v>24115.108431372551</v>
      </c>
      <c r="N573" s="141" t="s">
        <v>1303</v>
      </c>
    </row>
    <row r="574" spans="1:14" s="141" customFormat="1" ht="20.25" customHeight="1">
      <c r="A574" s="147">
        <v>14</v>
      </c>
      <c r="B574" s="143" t="s">
        <v>1132</v>
      </c>
      <c r="C574" s="143" t="s">
        <v>1133</v>
      </c>
      <c r="D574" s="143" t="s">
        <v>1041</v>
      </c>
      <c r="E574" s="148" t="s">
        <v>1119</v>
      </c>
      <c r="F574" s="143">
        <v>1</v>
      </c>
      <c r="G574" s="143" t="s">
        <v>1106</v>
      </c>
      <c r="H574" s="149">
        <v>1</v>
      </c>
      <c r="I574" s="150">
        <v>800</v>
      </c>
      <c r="J574" s="151">
        <f>H574*I574</f>
        <v>800</v>
      </c>
      <c r="K574" s="152"/>
      <c r="M574" s="183">
        <f>(L576+M573)*20%</f>
        <v>73723.331490196084</v>
      </c>
      <c r="N574" s="141" t="s">
        <v>1304</v>
      </c>
    </row>
    <row r="575" spans="1:14" s="141" customFormat="1" ht="20.25" customHeight="1" thickBot="1">
      <c r="A575" s="147">
        <v>15</v>
      </c>
      <c r="B575" s="177" t="s">
        <v>1132</v>
      </c>
      <c r="C575" s="177" t="s">
        <v>1133</v>
      </c>
      <c r="D575" s="177" t="s">
        <v>1262</v>
      </c>
      <c r="E575" s="143" t="s">
        <v>1263</v>
      </c>
      <c r="F575" s="177">
        <v>1</v>
      </c>
      <c r="G575" s="177" t="s">
        <v>1116</v>
      </c>
      <c r="H575" s="178">
        <v>1</v>
      </c>
      <c r="I575" s="179">
        <v>700</v>
      </c>
      <c r="J575" s="180">
        <v>700</v>
      </c>
      <c r="K575" s="181"/>
      <c r="M575" s="183">
        <f>(L576+M573+M574)*25%</f>
        <v>110584.99723529411</v>
      </c>
      <c r="N575" s="141" t="s">
        <v>1305</v>
      </c>
    </row>
    <row r="576" spans="1:14" s="141" customFormat="1" ht="20.25" customHeight="1" thickBot="1">
      <c r="A576" s="160">
        <v>16</v>
      </c>
      <c r="B576" s="161" t="s">
        <v>1132</v>
      </c>
      <c r="C576" s="161" t="s">
        <v>1133</v>
      </c>
      <c r="D576" s="161" t="s">
        <v>1264</v>
      </c>
      <c r="E576" s="169" t="s">
        <v>1267</v>
      </c>
      <c r="F576" s="161">
        <v>1</v>
      </c>
      <c r="G576" s="161" t="s">
        <v>1266</v>
      </c>
      <c r="H576" s="162">
        <v>1</v>
      </c>
      <c r="I576" s="170">
        <v>1400</v>
      </c>
      <c r="J576" s="171">
        <f t="shared" ref="J576" si="62">H576*I576</f>
        <v>1400</v>
      </c>
      <c r="K576" s="163"/>
      <c r="L576" s="172">
        <f>SUM(J561:J576)</f>
        <v>344501.54901960783</v>
      </c>
      <c r="M576" s="184">
        <f>L576+M572+M573+M574+M575</f>
        <v>802924.98617647053</v>
      </c>
      <c r="N576" s="141" t="s">
        <v>1307</v>
      </c>
    </row>
    <row r="577" spans="1:14" s="141" customFormat="1" ht="7.5" customHeight="1" thickBot="1">
      <c r="D577" s="164"/>
      <c r="E577" s="164"/>
      <c r="G577" s="165"/>
      <c r="H577" s="165"/>
      <c r="I577" s="167"/>
      <c r="J577" s="168"/>
    </row>
    <row r="578" spans="1:14" s="141" customFormat="1" ht="20.25" customHeight="1">
      <c r="A578" s="142">
        <v>1</v>
      </c>
      <c r="B578" s="144" t="s">
        <v>1170</v>
      </c>
      <c r="C578" s="144" t="s">
        <v>862</v>
      </c>
      <c r="D578" s="144" t="s">
        <v>1011</v>
      </c>
      <c r="E578" s="144" t="s">
        <v>1122</v>
      </c>
      <c r="F578" s="144">
        <v>1</v>
      </c>
      <c r="G578" s="145" t="s">
        <v>1012</v>
      </c>
      <c r="H578" s="145">
        <v>1</v>
      </c>
      <c r="I578" s="156">
        <f>200780/4</f>
        <v>50195</v>
      </c>
      <c r="J578" s="158">
        <f>H578*I578</f>
        <v>50195</v>
      </c>
      <c r="K578" s="146"/>
    </row>
    <row r="579" spans="1:14" s="141" customFormat="1" ht="20.25" customHeight="1">
      <c r="A579" s="147">
        <v>2</v>
      </c>
      <c r="B579" s="143" t="s">
        <v>1134</v>
      </c>
      <c r="C579" s="143" t="s">
        <v>1135</v>
      </c>
      <c r="D579" s="143" t="s">
        <v>1011</v>
      </c>
      <c r="E579" s="148" t="s">
        <v>1171</v>
      </c>
      <c r="F579" s="143">
        <v>1</v>
      </c>
      <c r="G579" s="149" t="s">
        <v>1012</v>
      </c>
      <c r="H579" s="149">
        <v>1</v>
      </c>
      <c r="I579" s="157">
        <f>88314/5</f>
        <v>17662.8</v>
      </c>
      <c r="J579" s="159">
        <f t="shared" ref="J579:J592" si="63">H579*I579</f>
        <v>17662.8</v>
      </c>
      <c r="K579" s="152"/>
    </row>
    <row r="580" spans="1:14" s="141" customFormat="1" ht="20.25" customHeight="1">
      <c r="A580" s="147">
        <v>3</v>
      </c>
      <c r="B580" s="143" t="s">
        <v>1134</v>
      </c>
      <c r="C580" s="143" t="s">
        <v>1135</v>
      </c>
      <c r="D580" s="143" t="s">
        <v>1011</v>
      </c>
      <c r="E580" s="148" t="s">
        <v>1172</v>
      </c>
      <c r="F580" s="143">
        <v>1</v>
      </c>
      <c r="G580" s="149" t="s">
        <v>1012</v>
      </c>
      <c r="H580" s="149">
        <v>1</v>
      </c>
      <c r="I580" s="157">
        <f>88314/2</f>
        <v>44157</v>
      </c>
      <c r="J580" s="159">
        <f t="shared" si="63"/>
        <v>44157</v>
      </c>
      <c r="K580" s="152"/>
    </row>
    <row r="581" spans="1:14" s="141" customFormat="1" ht="20.25" customHeight="1">
      <c r="A581" s="147">
        <v>4</v>
      </c>
      <c r="B581" s="143" t="s">
        <v>1134</v>
      </c>
      <c r="C581" s="143" t="s">
        <v>1135</v>
      </c>
      <c r="D581" s="143" t="s">
        <v>1013</v>
      </c>
      <c r="E581" s="148" t="s">
        <v>1143</v>
      </c>
      <c r="F581" s="143">
        <v>1</v>
      </c>
      <c r="G581" s="143" t="s">
        <v>1014</v>
      </c>
      <c r="H581" s="149">
        <v>1</v>
      </c>
      <c r="I581" s="157">
        <v>34000</v>
      </c>
      <c r="J581" s="159">
        <f t="shared" si="63"/>
        <v>34000</v>
      </c>
      <c r="K581" s="152"/>
    </row>
    <row r="582" spans="1:14" s="141" customFormat="1" ht="20.25" customHeight="1">
      <c r="A582" s="147">
        <v>5</v>
      </c>
      <c r="B582" s="143" t="s">
        <v>1134</v>
      </c>
      <c r="C582" s="143" t="s">
        <v>1135</v>
      </c>
      <c r="D582" s="143" t="s">
        <v>1015</v>
      </c>
      <c r="E582" s="148" t="s">
        <v>1144</v>
      </c>
      <c r="F582" s="143">
        <v>4</v>
      </c>
      <c r="G582" s="143" t="s">
        <v>1014</v>
      </c>
      <c r="H582" s="149">
        <v>4</v>
      </c>
      <c r="I582" s="157">
        <v>1700</v>
      </c>
      <c r="J582" s="159">
        <f t="shared" si="63"/>
        <v>6800</v>
      </c>
      <c r="K582" s="152"/>
    </row>
    <row r="583" spans="1:14" s="141" customFormat="1" ht="20.25" customHeight="1">
      <c r="A583" s="147">
        <v>6</v>
      </c>
      <c r="B583" s="143" t="s">
        <v>1134</v>
      </c>
      <c r="C583" s="143" t="s">
        <v>1135</v>
      </c>
      <c r="D583" s="143" t="s">
        <v>1020</v>
      </c>
      <c r="E583" s="143" t="s">
        <v>1138</v>
      </c>
      <c r="F583" s="143">
        <v>1</v>
      </c>
      <c r="G583" s="143" t="s">
        <v>1014</v>
      </c>
      <c r="H583" s="149">
        <v>1</v>
      </c>
      <c r="I583" s="150">
        <v>18000</v>
      </c>
      <c r="J583" s="151">
        <f t="shared" si="63"/>
        <v>18000</v>
      </c>
      <c r="K583" s="152"/>
    </row>
    <row r="584" spans="1:14" s="141" customFormat="1" ht="20.25" customHeight="1">
      <c r="A584" s="147">
        <v>7</v>
      </c>
      <c r="B584" s="143" t="s">
        <v>1134</v>
      </c>
      <c r="C584" s="143" t="s">
        <v>1135</v>
      </c>
      <c r="D584" s="143" t="s">
        <v>1021</v>
      </c>
      <c r="E584" s="143" t="s">
        <v>1138</v>
      </c>
      <c r="F584" s="143">
        <v>1</v>
      </c>
      <c r="G584" s="143" t="s">
        <v>1014</v>
      </c>
      <c r="H584" s="149">
        <v>1</v>
      </c>
      <c r="I584" s="150">
        <v>5000</v>
      </c>
      <c r="J584" s="151">
        <f t="shared" si="63"/>
        <v>5000</v>
      </c>
      <c r="K584" s="152"/>
    </row>
    <row r="585" spans="1:14" s="141" customFormat="1" ht="20.25" customHeight="1">
      <c r="A585" s="147">
        <v>8</v>
      </c>
      <c r="B585" s="143" t="s">
        <v>1134</v>
      </c>
      <c r="C585" s="143" t="s">
        <v>1135</v>
      </c>
      <c r="D585" s="143" t="s">
        <v>1145</v>
      </c>
      <c r="E585" s="143" t="s">
        <v>1146</v>
      </c>
      <c r="F585" s="143">
        <v>1</v>
      </c>
      <c r="G585" s="143" t="s">
        <v>1147</v>
      </c>
      <c r="H585" s="149">
        <v>1</v>
      </c>
      <c r="I585" s="150">
        <v>16000</v>
      </c>
      <c r="J585" s="151">
        <f t="shared" si="63"/>
        <v>16000</v>
      </c>
      <c r="K585" s="152"/>
    </row>
    <row r="586" spans="1:14" s="141" customFormat="1" ht="20.25" customHeight="1">
      <c r="A586" s="147">
        <v>9</v>
      </c>
      <c r="B586" s="143" t="s">
        <v>1134</v>
      </c>
      <c r="C586" s="143" t="s">
        <v>1135</v>
      </c>
      <c r="D586" s="143" t="s">
        <v>1129</v>
      </c>
      <c r="E586" s="143" t="s">
        <v>1138</v>
      </c>
      <c r="F586" s="143">
        <v>2</v>
      </c>
      <c r="G586" s="143" t="s">
        <v>1116</v>
      </c>
      <c r="H586" s="149">
        <v>2</v>
      </c>
      <c r="I586" s="150">
        <v>3200</v>
      </c>
      <c r="J586" s="151">
        <f t="shared" si="63"/>
        <v>6400</v>
      </c>
      <c r="K586" s="152"/>
    </row>
    <row r="587" spans="1:14" s="141" customFormat="1" ht="20.25" customHeight="1">
      <c r="A587" s="147">
        <v>10</v>
      </c>
      <c r="B587" s="143" t="s">
        <v>1134</v>
      </c>
      <c r="C587" s="143" t="s">
        <v>1135</v>
      </c>
      <c r="D587" s="143" t="s">
        <v>1022</v>
      </c>
      <c r="E587" s="143" t="s">
        <v>1308</v>
      </c>
      <c r="F587" s="143">
        <v>1</v>
      </c>
      <c r="G587" s="143" t="s">
        <v>1053</v>
      </c>
      <c r="H587" s="149">
        <v>1</v>
      </c>
      <c r="I587" s="150">
        <v>10000</v>
      </c>
      <c r="J587" s="151">
        <f t="shared" si="63"/>
        <v>10000</v>
      </c>
      <c r="K587" s="152"/>
    </row>
    <row r="588" spans="1:14" s="141" customFormat="1" ht="20.25" customHeight="1">
      <c r="A588" s="147">
        <v>11</v>
      </c>
      <c r="B588" s="143" t="s">
        <v>1134</v>
      </c>
      <c r="C588" s="143" t="s">
        <v>1135</v>
      </c>
      <c r="D588" s="143" t="s">
        <v>1025</v>
      </c>
      <c r="E588" s="143" t="s">
        <v>1250</v>
      </c>
      <c r="F588" s="143">
        <v>2</v>
      </c>
      <c r="G588" s="143" t="s">
        <v>1026</v>
      </c>
      <c r="H588" s="149">
        <v>2</v>
      </c>
      <c r="I588" s="150">
        <v>5000</v>
      </c>
      <c r="J588" s="151">
        <f t="shared" si="63"/>
        <v>10000</v>
      </c>
      <c r="K588" s="152"/>
    </row>
    <row r="589" spans="1:14" s="141" customFormat="1" ht="20.25" customHeight="1">
      <c r="A589" s="147">
        <v>12</v>
      </c>
      <c r="B589" s="143" t="s">
        <v>1134</v>
      </c>
      <c r="C589" s="143" t="s">
        <v>1135</v>
      </c>
      <c r="D589" s="143" t="s">
        <v>1011</v>
      </c>
      <c r="E589" s="148" t="s">
        <v>1167</v>
      </c>
      <c r="F589" s="143">
        <v>2</v>
      </c>
      <c r="G589" s="149" t="s">
        <v>1029</v>
      </c>
      <c r="H589" s="149">
        <v>2</v>
      </c>
      <c r="I589" s="157">
        <f>49425/3</f>
        <v>16475</v>
      </c>
      <c r="J589" s="159">
        <f t="shared" si="63"/>
        <v>32950</v>
      </c>
      <c r="K589" s="152"/>
    </row>
    <row r="590" spans="1:14" s="141" customFormat="1" ht="20.25" customHeight="1">
      <c r="A590" s="147">
        <v>13</v>
      </c>
      <c r="B590" s="143" t="s">
        <v>1134</v>
      </c>
      <c r="C590" s="143" t="s">
        <v>1135</v>
      </c>
      <c r="D590" s="143" t="s">
        <v>1011</v>
      </c>
      <c r="E590" s="148" t="s">
        <v>1108</v>
      </c>
      <c r="F590" s="143">
        <v>2</v>
      </c>
      <c r="G590" s="149" t="s">
        <v>1029</v>
      </c>
      <c r="H590" s="149">
        <v>2</v>
      </c>
      <c r="I590" s="157">
        <f>48660/3</f>
        <v>16220</v>
      </c>
      <c r="J590" s="159">
        <f t="shared" si="63"/>
        <v>32440</v>
      </c>
      <c r="K590" s="152"/>
      <c r="M590" s="185">
        <v>1136364</v>
      </c>
      <c r="N590" s="186" t="s">
        <v>1302</v>
      </c>
    </row>
    <row r="591" spans="1:14" s="141" customFormat="1" ht="20.25" customHeight="1">
      <c r="A591" s="147">
        <v>14</v>
      </c>
      <c r="B591" s="143" t="s">
        <v>1134</v>
      </c>
      <c r="C591" s="143" t="s">
        <v>1135</v>
      </c>
      <c r="D591" s="143" t="s">
        <v>1011</v>
      </c>
      <c r="E591" s="148" t="s">
        <v>1160</v>
      </c>
      <c r="F591" s="143">
        <v>2</v>
      </c>
      <c r="G591" s="149" t="s">
        <v>1026</v>
      </c>
      <c r="H591" s="149">
        <v>2</v>
      </c>
      <c r="I591" s="157">
        <v>5000</v>
      </c>
      <c r="J591" s="159">
        <f t="shared" si="63"/>
        <v>10000</v>
      </c>
      <c r="K591" s="152"/>
      <c r="M591" s="154">
        <f>150000+100000</f>
        <v>250000</v>
      </c>
      <c r="N591" s="210" t="s">
        <v>1561</v>
      </c>
    </row>
    <row r="592" spans="1:14" s="141" customFormat="1" ht="20.25" customHeight="1">
      <c r="A592" s="147">
        <v>15</v>
      </c>
      <c r="B592" s="143" t="s">
        <v>1134</v>
      </c>
      <c r="C592" s="143" t="s">
        <v>1135</v>
      </c>
      <c r="D592" s="143" t="s">
        <v>1050</v>
      </c>
      <c r="E592" s="148" t="s">
        <v>1051</v>
      </c>
      <c r="F592" s="143">
        <v>2</v>
      </c>
      <c r="G592" s="149" t="s">
        <v>1105</v>
      </c>
      <c r="H592" s="149">
        <v>2</v>
      </c>
      <c r="I592" s="157">
        <v>30000</v>
      </c>
      <c r="J592" s="159">
        <f t="shared" si="63"/>
        <v>60000</v>
      </c>
      <c r="K592" s="152"/>
      <c r="M592" s="183">
        <f>L595*7%</f>
        <v>25060.336000000003</v>
      </c>
      <c r="N592" s="141" t="s">
        <v>1303</v>
      </c>
    </row>
    <row r="593" spans="1:14" s="141" customFormat="1" ht="20.25" customHeight="1">
      <c r="A593" s="147">
        <v>16</v>
      </c>
      <c r="B593" s="143" t="s">
        <v>1134</v>
      </c>
      <c r="C593" s="143" t="s">
        <v>1135</v>
      </c>
      <c r="D593" s="143" t="s">
        <v>1041</v>
      </c>
      <c r="E593" s="148" t="s">
        <v>1119</v>
      </c>
      <c r="F593" s="143">
        <v>2</v>
      </c>
      <c r="G593" s="143" t="s">
        <v>1106</v>
      </c>
      <c r="H593" s="149">
        <v>2</v>
      </c>
      <c r="I593" s="150">
        <v>800</v>
      </c>
      <c r="J593" s="151">
        <f>H593*I593</f>
        <v>1600</v>
      </c>
      <c r="K593" s="152"/>
      <c r="M593" s="183">
        <f>(L595+M592)*20%</f>
        <v>76613.027199999997</v>
      </c>
      <c r="N593" s="141" t="s">
        <v>1304</v>
      </c>
    </row>
    <row r="594" spans="1:14" s="141" customFormat="1" ht="20.25" customHeight="1" thickBot="1">
      <c r="A594" s="147">
        <v>17</v>
      </c>
      <c r="B594" s="177" t="s">
        <v>1134</v>
      </c>
      <c r="C594" s="177" t="s">
        <v>1135</v>
      </c>
      <c r="D594" s="177" t="s">
        <v>1262</v>
      </c>
      <c r="E594" s="143" t="s">
        <v>1263</v>
      </c>
      <c r="F594" s="177">
        <v>2</v>
      </c>
      <c r="G594" s="177" t="s">
        <v>1116</v>
      </c>
      <c r="H594" s="178">
        <v>2</v>
      </c>
      <c r="I594" s="179">
        <v>700</v>
      </c>
      <c r="J594" s="180">
        <v>1400</v>
      </c>
      <c r="K594" s="181"/>
      <c r="M594" s="183">
        <f>(L595+M592+M593)*25%</f>
        <v>114919.5408</v>
      </c>
      <c r="N594" s="141" t="s">
        <v>1305</v>
      </c>
    </row>
    <row r="595" spans="1:14" s="141" customFormat="1" ht="20.25" customHeight="1" thickBot="1">
      <c r="A595" s="160">
        <v>18</v>
      </c>
      <c r="B595" s="161" t="s">
        <v>1134</v>
      </c>
      <c r="C595" s="161" t="s">
        <v>1135</v>
      </c>
      <c r="D595" s="161" t="s">
        <v>1264</v>
      </c>
      <c r="E595" s="169" t="s">
        <v>1267</v>
      </c>
      <c r="F595" s="161">
        <v>1</v>
      </c>
      <c r="G595" s="161" t="s">
        <v>1266</v>
      </c>
      <c r="H595" s="162">
        <v>1</v>
      </c>
      <c r="I595" s="170">
        <v>1400</v>
      </c>
      <c r="J595" s="171">
        <f t="shared" ref="J595" si="64">H595*I595</f>
        <v>1400</v>
      </c>
      <c r="K595" s="163"/>
      <c r="L595" s="172">
        <f>SUM(J578:J595)</f>
        <v>358004.8</v>
      </c>
      <c r="M595" s="184">
        <f>L595+M591+M592+M593+M594</f>
        <v>824597.70400000003</v>
      </c>
      <c r="N595" s="141" t="s">
        <v>1307</v>
      </c>
    </row>
    <row r="596" spans="1:14" s="141" customFormat="1" ht="7.5" customHeight="1" thickBot="1">
      <c r="D596" s="164"/>
      <c r="E596" s="164"/>
      <c r="G596" s="165"/>
      <c r="H596" s="165"/>
      <c r="I596" s="167"/>
      <c r="J596" s="168"/>
    </row>
    <row r="597" spans="1:14" s="141" customFormat="1" ht="20.25" customHeight="1">
      <c r="A597" s="142">
        <v>1</v>
      </c>
      <c r="B597" s="144" t="s">
        <v>1173</v>
      </c>
      <c r="C597" s="144" t="s">
        <v>863</v>
      </c>
      <c r="D597" s="144" t="s">
        <v>1011</v>
      </c>
      <c r="E597" s="144" t="s">
        <v>1174</v>
      </c>
      <c r="F597" s="144">
        <v>1</v>
      </c>
      <c r="G597" s="145" t="s">
        <v>1107</v>
      </c>
      <c r="H597" s="145">
        <v>1</v>
      </c>
      <c r="I597" s="156">
        <f>200780</f>
        <v>200780</v>
      </c>
      <c r="J597" s="158">
        <f>H597*I597</f>
        <v>200780</v>
      </c>
      <c r="K597" s="146"/>
    </row>
    <row r="598" spans="1:14" s="141" customFormat="1" ht="20.25" customHeight="1">
      <c r="A598" s="147">
        <v>2</v>
      </c>
      <c r="B598" s="143" t="s">
        <v>1136</v>
      </c>
      <c r="C598" s="143" t="s">
        <v>1137</v>
      </c>
      <c r="D598" s="143" t="s">
        <v>1011</v>
      </c>
      <c r="E598" s="148" t="s">
        <v>1159</v>
      </c>
      <c r="F598" s="143">
        <v>1</v>
      </c>
      <c r="G598" s="149" t="s">
        <v>1107</v>
      </c>
      <c r="H598" s="149">
        <v>1</v>
      </c>
      <c r="I598" s="157">
        <f>88314/8.5</f>
        <v>10389.882352941177</v>
      </c>
      <c r="J598" s="159">
        <f t="shared" ref="J598:J609" si="65">H598*I598</f>
        <v>10389.882352941177</v>
      </c>
      <c r="K598" s="152"/>
    </row>
    <row r="599" spans="1:14" s="141" customFormat="1" ht="20.25" customHeight="1">
      <c r="A599" s="147">
        <v>3</v>
      </c>
      <c r="B599" s="143" t="s">
        <v>1136</v>
      </c>
      <c r="C599" s="143" t="s">
        <v>1137</v>
      </c>
      <c r="D599" s="143" t="s">
        <v>1013</v>
      </c>
      <c r="E599" s="148" t="s">
        <v>1143</v>
      </c>
      <c r="F599" s="143">
        <v>1</v>
      </c>
      <c r="G599" s="143" t="s">
        <v>1014</v>
      </c>
      <c r="H599" s="149">
        <v>1</v>
      </c>
      <c r="I599" s="157">
        <v>34000</v>
      </c>
      <c r="J599" s="159">
        <f t="shared" si="65"/>
        <v>34000</v>
      </c>
      <c r="K599" s="152"/>
    </row>
    <row r="600" spans="1:14" s="141" customFormat="1" ht="20.25" customHeight="1">
      <c r="A600" s="147">
        <v>4</v>
      </c>
      <c r="B600" s="143" t="s">
        <v>1136</v>
      </c>
      <c r="C600" s="143" t="s">
        <v>1137</v>
      </c>
      <c r="D600" s="143" t="s">
        <v>1015</v>
      </c>
      <c r="E600" s="148" t="s">
        <v>1144</v>
      </c>
      <c r="F600" s="143">
        <v>4</v>
      </c>
      <c r="G600" s="143" t="s">
        <v>1014</v>
      </c>
      <c r="H600" s="149">
        <v>4</v>
      </c>
      <c r="I600" s="157">
        <v>1700</v>
      </c>
      <c r="J600" s="159">
        <f t="shared" si="65"/>
        <v>6800</v>
      </c>
      <c r="K600" s="152"/>
    </row>
    <row r="601" spans="1:14" s="141" customFormat="1" ht="20.25" customHeight="1">
      <c r="A601" s="147">
        <v>5</v>
      </c>
      <c r="B601" s="143" t="s">
        <v>1136</v>
      </c>
      <c r="C601" s="143" t="s">
        <v>1137</v>
      </c>
      <c r="D601" s="143" t="s">
        <v>1020</v>
      </c>
      <c r="E601" s="143" t="s">
        <v>1138</v>
      </c>
      <c r="F601" s="143">
        <v>1</v>
      </c>
      <c r="G601" s="143" t="s">
        <v>1014</v>
      </c>
      <c r="H601" s="149">
        <v>1</v>
      </c>
      <c r="I601" s="150">
        <v>18000</v>
      </c>
      <c r="J601" s="151">
        <f t="shared" si="65"/>
        <v>18000</v>
      </c>
      <c r="K601" s="152"/>
    </row>
    <row r="602" spans="1:14" s="141" customFormat="1" ht="20.25" customHeight="1">
      <c r="A602" s="147">
        <v>6</v>
      </c>
      <c r="B602" s="143" t="s">
        <v>1136</v>
      </c>
      <c r="C602" s="143" t="s">
        <v>1137</v>
      </c>
      <c r="D602" s="143" t="s">
        <v>1021</v>
      </c>
      <c r="E602" s="143" t="s">
        <v>1138</v>
      </c>
      <c r="F602" s="143">
        <v>1</v>
      </c>
      <c r="G602" s="143" t="s">
        <v>1014</v>
      </c>
      <c r="H602" s="149">
        <v>1</v>
      </c>
      <c r="I602" s="150">
        <v>5000</v>
      </c>
      <c r="J602" s="151">
        <f t="shared" si="65"/>
        <v>5000</v>
      </c>
      <c r="K602" s="152"/>
    </row>
    <row r="603" spans="1:14" s="141" customFormat="1" ht="20.25" customHeight="1">
      <c r="A603" s="147">
        <v>7</v>
      </c>
      <c r="B603" s="143" t="s">
        <v>1136</v>
      </c>
      <c r="C603" s="143" t="s">
        <v>1137</v>
      </c>
      <c r="D603" s="143" t="s">
        <v>1145</v>
      </c>
      <c r="E603" s="143" t="s">
        <v>1146</v>
      </c>
      <c r="F603" s="143">
        <v>1</v>
      </c>
      <c r="G603" s="143" t="s">
        <v>1147</v>
      </c>
      <c r="H603" s="149">
        <v>1</v>
      </c>
      <c r="I603" s="150">
        <v>16000</v>
      </c>
      <c r="J603" s="151">
        <f t="shared" si="65"/>
        <v>16000</v>
      </c>
      <c r="K603" s="152"/>
    </row>
    <row r="604" spans="1:14" s="141" customFormat="1" ht="20.25" customHeight="1">
      <c r="A604" s="147">
        <v>8</v>
      </c>
      <c r="B604" s="143" t="s">
        <v>1136</v>
      </c>
      <c r="C604" s="143" t="s">
        <v>1137</v>
      </c>
      <c r="D604" s="143" t="s">
        <v>1129</v>
      </c>
      <c r="E604" s="143" t="s">
        <v>1148</v>
      </c>
      <c r="F604" s="143">
        <v>2</v>
      </c>
      <c r="G604" s="143" t="s">
        <v>1116</v>
      </c>
      <c r="H604" s="149">
        <v>2</v>
      </c>
      <c r="I604" s="150">
        <v>2000</v>
      </c>
      <c r="J604" s="151">
        <f t="shared" si="65"/>
        <v>4000</v>
      </c>
      <c r="K604" s="152"/>
    </row>
    <row r="605" spans="1:14" s="141" customFormat="1" ht="20.25" customHeight="1">
      <c r="A605" s="147">
        <v>9</v>
      </c>
      <c r="B605" s="143" t="s">
        <v>1136</v>
      </c>
      <c r="C605" s="143" t="s">
        <v>1137</v>
      </c>
      <c r="D605" s="143" t="s">
        <v>1025</v>
      </c>
      <c r="E605" s="143" t="s">
        <v>1250</v>
      </c>
      <c r="F605" s="143">
        <v>2</v>
      </c>
      <c r="G605" s="143" t="s">
        <v>1026</v>
      </c>
      <c r="H605" s="149">
        <v>2</v>
      </c>
      <c r="I605" s="150">
        <v>5000</v>
      </c>
      <c r="J605" s="151">
        <f t="shared" si="65"/>
        <v>10000</v>
      </c>
      <c r="K605" s="152"/>
    </row>
    <row r="606" spans="1:14" s="141" customFormat="1" ht="20.25" customHeight="1">
      <c r="A606" s="147">
        <v>10</v>
      </c>
      <c r="B606" s="143" t="s">
        <v>1136</v>
      </c>
      <c r="C606" s="143" t="s">
        <v>1137</v>
      </c>
      <c r="D606" s="143" t="s">
        <v>1011</v>
      </c>
      <c r="E606" s="148" t="s">
        <v>1167</v>
      </c>
      <c r="F606" s="143">
        <v>1</v>
      </c>
      <c r="G606" s="149" t="s">
        <v>1029</v>
      </c>
      <c r="H606" s="149">
        <v>1</v>
      </c>
      <c r="I606" s="157">
        <f>49425/3</f>
        <v>16475</v>
      </c>
      <c r="J606" s="159">
        <f t="shared" si="65"/>
        <v>16475</v>
      </c>
      <c r="K606" s="152"/>
    </row>
    <row r="607" spans="1:14" s="141" customFormat="1" ht="20.25" customHeight="1">
      <c r="A607" s="147">
        <v>11</v>
      </c>
      <c r="B607" s="143" t="s">
        <v>1136</v>
      </c>
      <c r="C607" s="143" t="s">
        <v>1137</v>
      </c>
      <c r="D607" s="143" t="s">
        <v>1011</v>
      </c>
      <c r="E607" s="148" t="s">
        <v>1108</v>
      </c>
      <c r="F607" s="143">
        <v>1</v>
      </c>
      <c r="G607" s="149" t="s">
        <v>1029</v>
      </c>
      <c r="H607" s="149">
        <v>1</v>
      </c>
      <c r="I607" s="157">
        <f>48660/3</f>
        <v>16220</v>
      </c>
      <c r="J607" s="159">
        <f t="shared" si="65"/>
        <v>16220</v>
      </c>
      <c r="K607" s="152"/>
      <c r="M607" s="185">
        <v>1198181</v>
      </c>
      <c r="N607" s="186" t="s">
        <v>1302</v>
      </c>
    </row>
    <row r="608" spans="1:14" s="141" customFormat="1" ht="20.25" customHeight="1">
      <c r="A608" s="147">
        <v>12</v>
      </c>
      <c r="B608" s="143" t="s">
        <v>1136</v>
      </c>
      <c r="C608" s="143" t="s">
        <v>1137</v>
      </c>
      <c r="D608" s="143" t="s">
        <v>1011</v>
      </c>
      <c r="E608" s="148" t="s">
        <v>1160</v>
      </c>
      <c r="F608" s="143">
        <v>1</v>
      </c>
      <c r="G608" s="149" t="s">
        <v>1026</v>
      </c>
      <c r="H608" s="149">
        <v>1</v>
      </c>
      <c r="I608" s="157">
        <v>5000</v>
      </c>
      <c r="J608" s="159">
        <f t="shared" si="65"/>
        <v>5000</v>
      </c>
      <c r="K608" s="152"/>
      <c r="M608" s="154">
        <f>150000+100000</f>
        <v>250000</v>
      </c>
      <c r="N608" s="210" t="s">
        <v>1561</v>
      </c>
    </row>
    <row r="609" spans="1:14" s="141" customFormat="1" ht="20.25" customHeight="1">
      <c r="A609" s="147">
        <v>13</v>
      </c>
      <c r="B609" s="143" t="s">
        <v>1136</v>
      </c>
      <c r="C609" s="143" t="s">
        <v>1137</v>
      </c>
      <c r="D609" s="143" t="s">
        <v>1050</v>
      </c>
      <c r="E609" s="148" t="s">
        <v>1051</v>
      </c>
      <c r="F609" s="143">
        <v>1</v>
      </c>
      <c r="G609" s="149" t="s">
        <v>1052</v>
      </c>
      <c r="H609" s="149">
        <v>1</v>
      </c>
      <c r="I609" s="157">
        <v>30000</v>
      </c>
      <c r="J609" s="159">
        <f t="shared" si="65"/>
        <v>30000</v>
      </c>
      <c r="K609" s="152"/>
      <c r="M609" s="183">
        <f>L612*7%</f>
        <v>26289.541764705886</v>
      </c>
      <c r="N609" s="141" t="s">
        <v>1303</v>
      </c>
    </row>
    <row r="610" spans="1:14" s="141" customFormat="1" ht="20.25" customHeight="1">
      <c r="A610" s="147">
        <v>14</v>
      </c>
      <c r="B610" s="143" t="s">
        <v>1136</v>
      </c>
      <c r="C610" s="143" t="s">
        <v>1137</v>
      </c>
      <c r="D610" s="143" t="s">
        <v>1041</v>
      </c>
      <c r="E610" s="148" t="s">
        <v>1035</v>
      </c>
      <c r="F610" s="143">
        <v>1</v>
      </c>
      <c r="G610" s="143" t="s">
        <v>1024</v>
      </c>
      <c r="H610" s="149">
        <v>1</v>
      </c>
      <c r="I610" s="150">
        <v>800</v>
      </c>
      <c r="J610" s="151">
        <f>H610*I610</f>
        <v>800</v>
      </c>
      <c r="K610" s="152"/>
      <c r="M610" s="183">
        <f>(L612+M609)*20%</f>
        <v>80370.884823529428</v>
      </c>
      <c r="N610" s="141" t="s">
        <v>1304</v>
      </c>
    </row>
    <row r="611" spans="1:14" s="141" customFormat="1" ht="20.25" customHeight="1" thickBot="1">
      <c r="A611" s="147">
        <v>15</v>
      </c>
      <c r="B611" s="177" t="s">
        <v>1136</v>
      </c>
      <c r="C611" s="177" t="s">
        <v>1137</v>
      </c>
      <c r="D611" s="177" t="s">
        <v>1262</v>
      </c>
      <c r="E611" s="143" t="s">
        <v>1263</v>
      </c>
      <c r="F611" s="177">
        <v>1</v>
      </c>
      <c r="G611" s="177" t="s">
        <v>1116</v>
      </c>
      <c r="H611" s="178">
        <v>1</v>
      </c>
      <c r="I611" s="179">
        <v>700</v>
      </c>
      <c r="J611" s="151">
        <f>H611*I611</f>
        <v>700</v>
      </c>
      <c r="K611" s="181"/>
      <c r="M611" s="183">
        <f>(L612+M609+M610)*25%</f>
        <v>120556.32723529413</v>
      </c>
      <c r="N611" s="141" t="s">
        <v>1305</v>
      </c>
    </row>
    <row r="612" spans="1:14" s="141" customFormat="1" ht="20.25" customHeight="1" thickBot="1">
      <c r="A612" s="160">
        <v>16</v>
      </c>
      <c r="B612" s="161" t="s">
        <v>1136</v>
      </c>
      <c r="C612" s="161" t="s">
        <v>1137</v>
      </c>
      <c r="D612" s="161" t="s">
        <v>1264</v>
      </c>
      <c r="E612" s="169" t="s">
        <v>1267</v>
      </c>
      <c r="F612" s="161">
        <v>1</v>
      </c>
      <c r="G612" s="161" t="s">
        <v>1266</v>
      </c>
      <c r="H612" s="162">
        <v>1</v>
      </c>
      <c r="I612" s="170">
        <v>1400</v>
      </c>
      <c r="J612" s="171">
        <f t="shared" ref="J612" si="66">H612*I612</f>
        <v>1400</v>
      </c>
      <c r="K612" s="163"/>
      <c r="L612" s="172">
        <f>SUM(J597:J612)</f>
        <v>375564.8823529412</v>
      </c>
      <c r="M612" s="184">
        <f>L612+M608+M609+M610+M611</f>
        <v>852781.63617647067</v>
      </c>
      <c r="N612" s="141" t="s">
        <v>1307</v>
      </c>
    </row>
    <row r="613" spans="1:14" s="141" customFormat="1" ht="7.5" customHeight="1" thickBot="1">
      <c r="D613" s="164"/>
      <c r="E613" s="164"/>
      <c r="G613" s="165"/>
      <c r="H613" s="165"/>
      <c r="I613" s="167"/>
      <c r="J613" s="168"/>
    </row>
    <row r="614" spans="1:14" s="141" customFormat="1" ht="20.25" customHeight="1">
      <c r="A614" s="142">
        <v>1</v>
      </c>
      <c r="B614" s="144" t="s">
        <v>1240</v>
      </c>
      <c r="C614" s="144" t="s">
        <v>852</v>
      </c>
      <c r="D614" s="144" t="s">
        <v>1011</v>
      </c>
      <c r="E614" s="144" t="s">
        <v>1122</v>
      </c>
      <c r="F614" s="144">
        <v>1</v>
      </c>
      <c r="G614" s="145" t="s">
        <v>1012</v>
      </c>
      <c r="H614" s="145">
        <v>1</v>
      </c>
      <c r="I614" s="156">
        <f>200780/4</f>
        <v>50195</v>
      </c>
      <c r="J614" s="158">
        <f>H614*I614</f>
        <v>50195</v>
      </c>
      <c r="K614" s="146"/>
    </row>
    <row r="615" spans="1:14" s="141" customFormat="1" ht="20.25" customHeight="1">
      <c r="A615" s="147">
        <v>2</v>
      </c>
      <c r="B615" s="143" t="s">
        <v>1175</v>
      </c>
      <c r="C615" s="143" t="s">
        <v>1176</v>
      </c>
      <c r="D615" s="143" t="s">
        <v>1011</v>
      </c>
      <c r="E615" s="148" t="s">
        <v>1141</v>
      </c>
      <c r="F615" s="143">
        <v>1</v>
      </c>
      <c r="G615" s="149" t="s">
        <v>1012</v>
      </c>
      <c r="H615" s="149">
        <v>1</v>
      </c>
      <c r="I615" s="157">
        <f>88314/6</f>
        <v>14719</v>
      </c>
      <c r="J615" s="159">
        <f t="shared" ref="J615:J630" si="67">H615*I615</f>
        <v>14719</v>
      </c>
      <c r="K615" s="152"/>
    </row>
    <row r="616" spans="1:14" s="141" customFormat="1" ht="20.25" customHeight="1">
      <c r="A616" s="147">
        <v>3</v>
      </c>
      <c r="B616" s="143" t="s">
        <v>1175</v>
      </c>
      <c r="C616" s="143" t="s">
        <v>1176</v>
      </c>
      <c r="D616" s="143" t="s">
        <v>1011</v>
      </c>
      <c r="E616" s="148" t="s">
        <v>1142</v>
      </c>
      <c r="F616" s="143">
        <v>1</v>
      </c>
      <c r="G616" s="149" t="s">
        <v>1012</v>
      </c>
      <c r="H616" s="149">
        <v>1</v>
      </c>
      <c r="I616" s="157">
        <f>88314/3</f>
        <v>29438</v>
      </c>
      <c r="J616" s="159">
        <f t="shared" si="67"/>
        <v>29438</v>
      </c>
      <c r="K616" s="152"/>
    </row>
    <row r="617" spans="1:14" s="141" customFormat="1" ht="20.25" customHeight="1">
      <c r="A617" s="147">
        <v>4</v>
      </c>
      <c r="B617" s="143" t="s">
        <v>1175</v>
      </c>
      <c r="C617" s="143" t="s">
        <v>1176</v>
      </c>
      <c r="D617" s="143" t="s">
        <v>1013</v>
      </c>
      <c r="E617" s="148" t="s">
        <v>1143</v>
      </c>
      <c r="F617" s="143">
        <v>1</v>
      </c>
      <c r="G617" s="143" t="s">
        <v>1014</v>
      </c>
      <c r="H617" s="149">
        <v>1</v>
      </c>
      <c r="I617" s="157">
        <v>34000</v>
      </c>
      <c r="J617" s="159">
        <f t="shared" si="67"/>
        <v>34000</v>
      </c>
      <c r="K617" s="152"/>
    </row>
    <row r="618" spans="1:14" s="141" customFormat="1" ht="20.25" customHeight="1">
      <c r="A618" s="147">
        <v>5</v>
      </c>
      <c r="B618" s="143" t="s">
        <v>1175</v>
      </c>
      <c r="C618" s="143" t="s">
        <v>1176</v>
      </c>
      <c r="D618" s="143" t="s">
        <v>1015</v>
      </c>
      <c r="E618" s="148" t="s">
        <v>1144</v>
      </c>
      <c r="F618" s="143">
        <v>4</v>
      </c>
      <c r="G618" s="143" t="s">
        <v>1014</v>
      </c>
      <c r="H618" s="149">
        <v>4</v>
      </c>
      <c r="I618" s="157">
        <v>1700</v>
      </c>
      <c r="J618" s="159">
        <f t="shared" si="67"/>
        <v>6800</v>
      </c>
      <c r="K618" s="152"/>
    </row>
    <row r="619" spans="1:14" s="141" customFormat="1" ht="20.25" customHeight="1">
      <c r="A619" s="147">
        <v>6</v>
      </c>
      <c r="B619" s="143" t="s">
        <v>1175</v>
      </c>
      <c r="C619" s="143" t="s">
        <v>1176</v>
      </c>
      <c r="D619" s="143" t="s">
        <v>1020</v>
      </c>
      <c r="E619" s="143" t="s">
        <v>1138</v>
      </c>
      <c r="F619" s="143">
        <v>1</v>
      </c>
      <c r="G619" s="143" t="s">
        <v>1014</v>
      </c>
      <c r="H619" s="149">
        <v>1</v>
      </c>
      <c r="I619" s="150">
        <v>18000</v>
      </c>
      <c r="J619" s="151">
        <f t="shared" si="67"/>
        <v>18000</v>
      </c>
      <c r="K619" s="152"/>
    </row>
    <row r="620" spans="1:14" s="141" customFormat="1" ht="20.25" customHeight="1">
      <c r="A620" s="147">
        <v>7</v>
      </c>
      <c r="B620" s="143" t="s">
        <v>1175</v>
      </c>
      <c r="C620" s="143" t="s">
        <v>1176</v>
      </c>
      <c r="D620" s="143" t="s">
        <v>1021</v>
      </c>
      <c r="E620" s="143" t="s">
        <v>1138</v>
      </c>
      <c r="F620" s="143">
        <v>1</v>
      </c>
      <c r="G620" s="143" t="s">
        <v>1014</v>
      </c>
      <c r="H620" s="149">
        <v>1</v>
      </c>
      <c r="I620" s="150">
        <v>5000</v>
      </c>
      <c r="J620" s="151">
        <f t="shared" si="67"/>
        <v>5000</v>
      </c>
      <c r="K620" s="152"/>
    </row>
    <row r="621" spans="1:14" s="141" customFormat="1" ht="20.25" customHeight="1">
      <c r="A621" s="147">
        <v>8</v>
      </c>
      <c r="B621" s="143" t="s">
        <v>1175</v>
      </c>
      <c r="C621" s="143" t="s">
        <v>1176</v>
      </c>
      <c r="D621" s="143" t="s">
        <v>1145</v>
      </c>
      <c r="E621" s="143" t="s">
        <v>1146</v>
      </c>
      <c r="F621" s="143">
        <v>1</v>
      </c>
      <c r="G621" s="143" t="s">
        <v>1147</v>
      </c>
      <c r="H621" s="149">
        <v>1</v>
      </c>
      <c r="I621" s="150">
        <v>16000</v>
      </c>
      <c r="J621" s="151">
        <f t="shared" si="67"/>
        <v>16000</v>
      </c>
      <c r="K621" s="152"/>
    </row>
    <row r="622" spans="1:14" s="141" customFormat="1" ht="20.25" customHeight="1">
      <c r="A622" s="147">
        <v>9</v>
      </c>
      <c r="B622" s="143" t="s">
        <v>1175</v>
      </c>
      <c r="C622" s="143" t="s">
        <v>1176</v>
      </c>
      <c r="D622" s="143" t="s">
        <v>1023</v>
      </c>
      <c r="E622" s="143" t="s">
        <v>1150</v>
      </c>
      <c r="F622" s="143">
        <v>1</v>
      </c>
      <c r="G622" s="143" t="s">
        <v>1024</v>
      </c>
      <c r="H622" s="149">
        <v>1</v>
      </c>
      <c r="I622" s="150">
        <v>5000</v>
      </c>
      <c r="J622" s="151">
        <f t="shared" si="67"/>
        <v>5000</v>
      </c>
      <c r="K622" s="152"/>
    </row>
    <row r="623" spans="1:14" s="141" customFormat="1" ht="20.25" customHeight="1">
      <c r="A623" s="147">
        <v>10</v>
      </c>
      <c r="B623" s="143" t="s">
        <v>1175</v>
      </c>
      <c r="C623" s="143" t="s">
        <v>1176</v>
      </c>
      <c r="D623" s="143" t="s">
        <v>1129</v>
      </c>
      <c r="E623" s="143" t="s">
        <v>1148</v>
      </c>
      <c r="F623" s="143">
        <v>1</v>
      </c>
      <c r="G623" s="143" t="s">
        <v>1116</v>
      </c>
      <c r="H623" s="149">
        <v>1</v>
      </c>
      <c r="I623" s="150">
        <v>2000</v>
      </c>
      <c r="J623" s="151">
        <f t="shared" si="67"/>
        <v>2000</v>
      </c>
      <c r="K623" s="152"/>
    </row>
    <row r="624" spans="1:14" s="141" customFormat="1" ht="20.25" customHeight="1">
      <c r="A624" s="147">
        <v>11</v>
      </c>
      <c r="B624" s="143" t="s">
        <v>1175</v>
      </c>
      <c r="C624" s="143" t="s">
        <v>1176</v>
      </c>
      <c r="D624" s="143" t="s">
        <v>1251</v>
      </c>
      <c r="E624" s="143" t="s">
        <v>1257</v>
      </c>
      <c r="F624" s="143">
        <v>1</v>
      </c>
      <c r="G624" s="143" t="s">
        <v>643</v>
      </c>
      <c r="H624" s="149">
        <v>1</v>
      </c>
      <c r="I624" s="150">
        <v>10000</v>
      </c>
      <c r="J624" s="151">
        <f t="shared" si="67"/>
        <v>10000</v>
      </c>
      <c r="K624" s="152"/>
    </row>
    <row r="625" spans="1:14" s="141" customFormat="1" ht="20.25" customHeight="1">
      <c r="A625" s="147">
        <v>12</v>
      </c>
      <c r="B625" s="143" t="s">
        <v>1175</v>
      </c>
      <c r="C625" s="143" t="s">
        <v>1176</v>
      </c>
      <c r="D625" s="143" t="s">
        <v>1253</v>
      </c>
      <c r="E625" s="143" t="s">
        <v>1258</v>
      </c>
      <c r="F625" s="143">
        <v>1</v>
      </c>
      <c r="G625" s="143" t="s">
        <v>1254</v>
      </c>
      <c r="H625" s="149">
        <v>1</v>
      </c>
      <c r="I625" s="150">
        <v>5000</v>
      </c>
      <c r="J625" s="151">
        <f t="shared" si="67"/>
        <v>5000</v>
      </c>
      <c r="K625" s="152"/>
    </row>
    <row r="626" spans="1:14" s="141" customFormat="1" ht="20.25" customHeight="1">
      <c r="A626" s="147">
        <v>13</v>
      </c>
      <c r="B626" s="143" t="s">
        <v>1175</v>
      </c>
      <c r="C626" s="143" t="s">
        <v>1176</v>
      </c>
      <c r="D626" s="143" t="s">
        <v>1011</v>
      </c>
      <c r="E626" s="148" t="s">
        <v>1241</v>
      </c>
      <c r="F626" s="143">
        <v>1</v>
      </c>
      <c r="G626" s="149" t="s">
        <v>1029</v>
      </c>
      <c r="H626" s="149">
        <v>1</v>
      </c>
      <c r="I626" s="157">
        <f>66590/3</f>
        <v>22196.666666666668</v>
      </c>
      <c r="J626" s="159">
        <f t="shared" si="67"/>
        <v>22196.666666666668</v>
      </c>
      <c r="K626" s="152"/>
    </row>
    <row r="627" spans="1:14" s="141" customFormat="1" ht="20.25" customHeight="1">
      <c r="A627" s="147">
        <v>14</v>
      </c>
      <c r="B627" s="143" t="s">
        <v>1175</v>
      </c>
      <c r="C627" s="143" t="s">
        <v>1176</v>
      </c>
      <c r="D627" s="143" t="s">
        <v>1011</v>
      </c>
      <c r="E627" s="148" t="s">
        <v>1118</v>
      </c>
      <c r="F627" s="143">
        <v>1</v>
      </c>
      <c r="G627" s="149" t="s">
        <v>1029</v>
      </c>
      <c r="H627" s="149">
        <v>1</v>
      </c>
      <c r="I627" s="157">
        <f>49425/3</f>
        <v>16475</v>
      </c>
      <c r="J627" s="159">
        <f t="shared" si="67"/>
        <v>16475</v>
      </c>
      <c r="K627" s="152"/>
    </row>
    <row r="628" spans="1:14" s="141" customFormat="1" ht="20.25" customHeight="1">
      <c r="A628" s="147">
        <v>15</v>
      </c>
      <c r="B628" s="143" t="s">
        <v>1175</v>
      </c>
      <c r="C628" s="143" t="s">
        <v>1176</v>
      </c>
      <c r="D628" s="143" t="s">
        <v>1011</v>
      </c>
      <c r="E628" s="148" t="s">
        <v>1040</v>
      </c>
      <c r="F628" s="143">
        <v>1</v>
      </c>
      <c r="G628" s="149" t="s">
        <v>1026</v>
      </c>
      <c r="H628" s="149">
        <v>1</v>
      </c>
      <c r="I628" s="157">
        <f>18222/3</f>
        <v>6074</v>
      </c>
      <c r="J628" s="159">
        <f t="shared" si="67"/>
        <v>6074</v>
      </c>
      <c r="K628" s="152"/>
      <c r="M628" s="185">
        <v>772727</v>
      </c>
      <c r="N628" s="186" t="s">
        <v>1302</v>
      </c>
    </row>
    <row r="629" spans="1:14" s="141" customFormat="1" ht="20.25" customHeight="1">
      <c r="A629" s="147">
        <v>16</v>
      </c>
      <c r="B629" s="143" t="s">
        <v>1175</v>
      </c>
      <c r="C629" s="143" t="s">
        <v>1176</v>
      </c>
      <c r="D629" s="143" t="s">
        <v>1050</v>
      </c>
      <c r="E629" s="148" t="s">
        <v>1051</v>
      </c>
      <c r="F629" s="143">
        <v>1</v>
      </c>
      <c r="G629" s="149" t="s">
        <v>1079</v>
      </c>
      <c r="H629" s="149">
        <v>1</v>
      </c>
      <c r="I629" s="157">
        <v>30000</v>
      </c>
      <c r="J629" s="159">
        <f t="shared" si="67"/>
        <v>30000</v>
      </c>
      <c r="K629" s="152"/>
      <c r="M629" s="154">
        <f>150000+100000</f>
        <v>250000</v>
      </c>
      <c r="N629" s="210" t="s">
        <v>1561</v>
      </c>
    </row>
    <row r="630" spans="1:14" s="141" customFormat="1" ht="20.25" customHeight="1">
      <c r="A630" s="147">
        <v>17</v>
      </c>
      <c r="B630" s="143" t="s">
        <v>1175</v>
      </c>
      <c r="C630" s="143" t="s">
        <v>1176</v>
      </c>
      <c r="D630" s="143" t="s">
        <v>1242</v>
      </c>
      <c r="E630" s="148" t="s">
        <v>1148</v>
      </c>
      <c r="F630" s="143">
        <v>1</v>
      </c>
      <c r="G630" s="149" t="s">
        <v>1147</v>
      </c>
      <c r="H630" s="149">
        <v>1</v>
      </c>
      <c r="I630" s="150">
        <v>4000</v>
      </c>
      <c r="J630" s="159">
        <f t="shared" si="67"/>
        <v>4000</v>
      </c>
      <c r="K630" s="152"/>
      <c r="M630" s="183">
        <f>L633*7%</f>
        <v>19445.836666666666</v>
      </c>
      <c r="N630" s="141" t="s">
        <v>1303</v>
      </c>
    </row>
    <row r="631" spans="1:14" s="141" customFormat="1" ht="20.25" customHeight="1">
      <c r="A631" s="147">
        <v>18</v>
      </c>
      <c r="B631" s="143" t="s">
        <v>1175</v>
      </c>
      <c r="C631" s="143" t="s">
        <v>1176</v>
      </c>
      <c r="D631" s="143" t="s">
        <v>1041</v>
      </c>
      <c r="E631" s="148" t="s">
        <v>1119</v>
      </c>
      <c r="F631" s="143">
        <v>1</v>
      </c>
      <c r="G631" s="143" t="s">
        <v>1024</v>
      </c>
      <c r="H631" s="149">
        <v>1</v>
      </c>
      <c r="I631" s="150">
        <v>800</v>
      </c>
      <c r="J631" s="151">
        <f>H631*I631</f>
        <v>800</v>
      </c>
      <c r="K631" s="152"/>
      <c r="M631" s="183">
        <f>(L633+M630)*20%</f>
        <v>59448.700666666664</v>
      </c>
      <c r="N631" s="141" t="s">
        <v>1304</v>
      </c>
    </row>
    <row r="632" spans="1:14" s="141" customFormat="1" ht="20.25" customHeight="1" thickBot="1">
      <c r="A632" s="147">
        <v>19</v>
      </c>
      <c r="B632" s="177" t="s">
        <v>1175</v>
      </c>
      <c r="C632" s="177" t="s">
        <v>1176</v>
      </c>
      <c r="D632" s="177" t="s">
        <v>1262</v>
      </c>
      <c r="E632" s="143" t="s">
        <v>1263</v>
      </c>
      <c r="F632" s="177">
        <v>1</v>
      </c>
      <c r="G632" s="177" t="s">
        <v>1116</v>
      </c>
      <c r="H632" s="178">
        <v>1</v>
      </c>
      <c r="I632" s="179">
        <v>700</v>
      </c>
      <c r="J632" s="180">
        <v>700</v>
      </c>
      <c r="K632" s="181"/>
      <c r="M632" s="183">
        <f>(L633+M630+M631)*25%</f>
        <v>89173.050999999992</v>
      </c>
      <c r="N632" s="141" t="s">
        <v>1305</v>
      </c>
    </row>
    <row r="633" spans="1:14" s="141" customFormat="1" ht="20.25" customHeight="1" thickBot="1">
      <c r="A633" s="160">
        <v>20</v>
      </c>
      <c r="B633" s="161" t="s">
        <v>1175</v>
      </c>
      <c r="C633" s="161" t="s">
        <v>1176</v>
      </c>
      <c r="D633" s="161" t="s">
        <v>1264</v>
      </c>
      <c r="E633" s="169" t="s">
        <v>1267</v>
      </c>
      <c r="F633" s="161">
        <v>1</v>
      </c>
      <c r="G633" s="161" t="s">
        <v>1266</v>
      </c>
      <c r="H633" s="162">
        <v>1</v>
      </c>
      <c r="I633" s="170">
        <v>1400</v>
      </c>
      <c r="J633" s="171">
        <f>H633*I633</f>
        <v>1400</v>
      </c>
      <c r="K633" s="163"/>
      <c r="L633" s="172">
        <f>SUM(J614:J633)</f>
        <v>277797.66666666663</v>
      </c>
      <c r="M633" s="184">
        <f>L633+M629+M630+M631+M632</f>
        <v>695865.25499999989</v>
      </c>
      <c r="N633" s="141" t="s">
        <v>1307</v>
      </c>
    </row>
    <row r="634" spans="1:14" s="141" customFormat="1" ht="7.5" customHeight="1" thickBot="1">
      <c r="D634" s="164"/>
      <c r="E634" s="164"/>
      <c r="G634" s="165"/>
      <c r="H634" s="165"/>
      <c r="I634" s="167"/>
      <c r="J634" s="168"/>
    </row>
    <row r="635" spans="1:14" s="141" customFormat="1" ht="20.25" customHeight="1">
      <c r="A635" s="142">
        <v>1</v>
      </c>
      <c r="B635" s="144" t="s">
        <v>1243</v>
      </c>
      <c r="C635" s="144" t="s">
        <v>855</v>
      </c>
      <c r="D635" s="144" t="s">
        <v>1011</v>
      </c>
      <c r="E635" s="144" t="s">
        <v>1122</v>
      </c>
      <c r="F635" s="144">
        <v>1</v>
      </c>
      <c r="G635" s="145" t="s">
        <v>1012</v>
      </c>
      <c r="H635" s="145">
        <v>1</v>
      </c>
      <c r="I635" s="156">
        <f>200780/4</f>
        <v>50195</v>
      </c>
      <c r="J635" s="158">
        <f>H635*I635</f>
        <v>50195</v>
      </c>
      <c r="K635" s="146"/>
    </row>
    <row r="636" spans="1:14" s="141" customFormat="1" ht="20.25" customHeight="1">
      <c r="A636" s="173">
        <v>2</v>
      </c>
      <c r="B636" s="148" t="s">
        <v>1243</v>
      </c>
      <c r="C636" s="148" t="s">
        <v>855</v>
      </c>
      <c r="D636" s="143" t="s">
        <v>1011</v>
      </c>
      <c r="E636" s="148" t="s">
        <v>1141</v>
      </c>
      <c r="F636" s="143">
        <v>1</v>
      </c>
      <c r="G636" s="149" t="s">
        <v>1012</v>
      </c>
      <c r="H636" s="149">
        <v>1</v>
      </c>
      <c r="I636" s="157">
        <f>88314/6</f>
        <v>14719</v>
      </c>
      <c r="J636" s="159">
        <f t="shared" ref="J636:J651" si="68">H636*I636</f>
        <v>14719</v>
      </c>
      <c r="K636" s="174"/>
    </row>
    <row r="637" spans="1:14" s="141" customFormat="1" ht="20.25" customHeight="1">
      <c r="A637" s="147">
        <v>3</v>
      </c>
      <c r="B637" s="143" t="s">
        <v>1177</v>
      </c>
      <c r="C637" s="143" t="s">
        <v>1178</v>
      </c>
      <c r="D637" s="143" t="s">
        <v>1011</v>
      </c>
      <c r="E637" s="148" t="s">
        <v>1142</v>
      </c>
      <c r="F637" s="143">
        <v>1</v>
      </c>
      <c r="G637" s="149" t="s">
        <v>1012</v>
      </c>
      <c r="H637" s="149">
        <v>1</v>
      </c>
      <c r="I637" s="157">
        <f>88314/3</f>
        <v>29438</v>
      </c>
      <c r="J637" s="159">
        <f t="shared" si="68"/>
        <v>29438</v>
      </c>
      <c r="K637" s="152"/>
    </row>
    <row r="638" spans="1:14" s="141" customFormat="1" ht="20.25" customHeight="1">
      <c r="A638" s="147">
        <v>4</v>
      </c>
      <c r="B638" s="143" t="s">
        <v>1177</v>
      </c>
      <c r="C638" s="143" t="s">
        <v>1178</v>
      </c>
      <c r="D638" s="143" t="s">
        <v>1013</v>
      </c>
      <c r="E638" s="148" t="s">
        <v>1143</v>
      </c>
      <c r="F638" s="143">
        <v>1</v>
      </c>
      <c r="G638" s="143" t="s">
        <v>1014</v>
      </c>
      <c r="H638" s="149">
        <v>1</v>
      </c>
      <c r="I638" s="157">
        <v>34000</v>
      </c>
      <c r="J638" s="159">
        <f t="shared" si="68"/>
        <v>34000</v>
      </c>
      <c r="K638" s="152"/>
    </row>
    <row r="639" spans="1:14" s="141" customFormat="1" ht="20.25" customHeight="1">
      <c r="A639" s="147">
        <v>5</v>
      </c>
      <c r="B639" s="143" t="s">
        <v>1177</v>
      </c>
      <c r="C639" s="143" t="s">
        <v>1178</v>
      </c>
      <c r="D639" s="143" t="s">
        <v>1015</v>
      </c>
      <c r="E639" s="148" t="s">
        <v>1144</v>
      </c>
      <c r="F639" s="143">
        <v>4</v>
      </c>
      <c r="G639" s="143" t="s">
        <v>1014</v>
      </c>
      <c r="H639" s="149">
        <v>4</v>
      </c>
      <c r="I639" s="157">
        <v>1700</v>
      </c>
      <c r="J639" s="159">
        <f t="shared" si="68"/>
        <v>6800</v>
      </c>
      <c r="K639" s="152"/>
    </row>
    <row r="640" spans="1:14" s="141" customFormat="1" ht="20.25" customHeight="1">
      <c r="A640" s="147">
        <v>6</v>
      </c>
      <c r="B640" s="143" t="s">
        <v>1177</v>
      </c>
      <c r="C640" s="143" t="s">
        <v>1178</v>
      </c>
      <c r="D640" s="143" t="s">
        <v>1020</v>
      </c>
      <c r="E640" s="143" t="s">
        <v>1138</v>
      </c>
      <c r="F640" s="143">
        <v>1</v>
      </c>
      <c r="G640" s="143" t="s">
        <v>1014</v>
      </c>
      <c r="H640" s="149">
        <v>1</v>
      </c>
      <c r="I640" s="150">
        <v>18000</v>
      </c>
      <c r="J640" s="151">
        <f t="shared" si="68"/>
        <v>18000</v>
      </c>
      <c r="K640" s="152"/>
    </row>
    <row r="641" spans="1:14" s="141" customFormat="1" ht="20.25" customHeight="1">
      <c r="A641" s="147">
        <v>7</v>
      </c>
      <c r="B641" s="143" t="s">
        <v>1177</v>
      </c>
      <c r="C641" s="143" t="s">
        <v>1178</v>
      </c>
      <c r="D641" s="143" t="s">
        <v>1021</v>
      </c>
      <c r="E641" s="143" t="s">
        <v>1138</v>
      </c>
      <c r="F641" s="143">
        <v>1</v>
      </c>
      <c r="G641" s="143" t="s">
        <v>1014</v>
      </c>
      <c r="H641" s="149">
        <v>1</v>
      </c>
      <c r="I641" s="150">
        <v>5000</v>
      </c>
      <c r="J641" s="151">
        <f t="shared" si="68"/>
        <v>5000</v>
      </c>
      <c r="K641" s="152"/>
    </row>
    <row r="642" spans="1:14" s="141" customFormat="1" ht="20.25" customHeight="1">
      <c r="A642" s="147">
        <v>8</v>
      </c>
      <c r="B642" s="143" t="s">
        <v>1177</v>
      </c>
      <c r="C642" s="143" t="s">
        <v>1178</v>
      </c>
      <c r="D642" s="143" t="s">
        <v>1145</v>
      </c>
      <c r="E642" s="143" t="s">
        <v>1146</v>
      </c>
      <c r="F642" s="143">
        <v>1</v>
      </c>
      <c r="G642" s="143" t="s">
        <v>1147</v>
      </c>
      <c r="H642" s="149">
        <v>1</v>
      </c>
      <c r="I642" s="150">
        <v>16000</v>
      </c>
      <c r="J642" s="151">
        <f t="shared" si="68"/>
        <v>16000</v>
      </c>
      <c r="K642" s="152"/>
    </row>
    <row r="643" spans="1:14" s="141" customFormat="1" ht="20.25" customHeight="1">
      <c r="A643" s="147">
        <v>9</v>
      </c>
      <c r="B643" s="143" t="s">
        <v>1177</v>
      </c>
      <c r="C643" s="143" t="s">
        <v>1178</v>
      </c>
      <c r="D643" s="143" t="s">
        <v>1023</v>
      </c>
      <c r="E643" s="143" t="s">
        <v>1150</v>
      </c>
      <c r="F643" s="143">
        <v>1</v>
      </c>
      <c r="G643" s="143" t="s">
        <v>1024</v>
      </c>
      <c r="H643" s="149">
        <v>1</v>
      </c>
      <c r="I643" s="150">
        <v>5000</v>
      </c>
      <c r="J643" s="151">
        <f t="shared" si="68"/>
        <v>5000</v>
      </c>
      <c r="K643" s="152"/>
    </row>
    <row r="644" spans="1:14" s="141" customFormat="1" ht="20.25" customHeight="1">
      <c r="A644" s="147">
        <v>10</v>
      </c>
      <c r="B644" s="143" t="s">
        <v>1177</v>
      </c>
      <c r="C644" s="143" t="s">
        <v>1178</v>
      </c>
      <c r="D644" s="143" t="s">
        <v>1129</v>
      </c>
      <c r="E644" s="143" t="s">
        <v>1148</v>
      </c>
      <c r="F644" s="143">
        <v>1</v>
      </c>
      <c r="G644" s="143" t="s">
        <v>1116</v>
      </c>
      <c r="H644" s="149">
        <v>1</v>
      </c>
      <c r="I644" s="150">
        <v>2000</v>
      </c>
      <c r="J644" s="151">
        <f t="shared" si="68"/>
        <v>2000</v>
      </c>
      <c r="K644" s="152"/>
    </row>
    <row r="645" spans="1:14" s="141" customFormat="1" ht="20.25" customHeight="1">
      <c r="A645" s="147">
        <v>11</v>
      </c>
      <c r="B645" s="143" t="s">
        <v>1177</v>
      </c>
      <c r="C645" s="143" t="s">
        <v>1178</v>
      </c>
      <c r="D645" s="143" t="s">
        <v>1251</v>
      </c>
      <c r="E645" s="143" t="s">
        <v>1257</v>
      </c>
      <c r="F645" s="143">
        <v>1</v>
      </c>
      <c r="G645" s="143" t="s">
        <v>643</v>
      </c>
      <c r="H645" s="149">
        <v>1</v>
      </c>
      <c r="I645" s="150">
        <v>10000</v>
      </c>
      <c r="J645" s="151">
        <f t="shared" si="68"/>
        <v>10000</v>
      </c>
      <c r="K645" s="152"/>
    </row>
    <row r="646" spans="1:14" s="141" customFormat="1" ht="20.25" customHeight="1">
      <c r="A646" s="147">
        <v>12</v>
      </c>
      <c r="B646" s="143" t="s">
        <v>1177</v>
      </c>
      <c r="C646" s="143" t="s">
        <v>1178</v>
      </c>
      <c r="D646" s="143" t="s">
        <v>1253</v>
      </c>
      <c r="E646" s="143" t="s">
        <v>1258</v>
      </c>
      <c r="F646" s="143">
        <v>1</v>
      </c>
      <c r="G646" s="143" t="s">
        <v>1254</v>
      </c>
      <c r="H646" s="149">
        <v>1</v>
      </c>
      <c r="I646" s="150">
        <v>5000</v>
      </c>
      <c r="J646" s="151">
        <f t="shared" si="68"/>
        <v>5000</v>
      </c>
      <c r="K646" s="152"/>
    </row>
    <row r="647" spans="1:14" s="141" customFormat="1" ht="20.25" customHeight="1">
      <c r="A647" s="147">
        <v>13</v>
      </c>
      <c r="B647" s="143" t="s">
        <v>1177</v>
      </c>
      <c r="C647" s="143" t="s">
        <v>1178</v>
      </c>
      <c r="D647" s="143" t="s">
        <v>1011</v>
      </c>
      <c r="E647" s="148" t="s">
        <v>1241</v>
      </c>
      <c r="F647" s="143">
        <v>2</v>
      </c>
      <c r="G647" s="149" t="s">
        <v>1029</v>
      </c>
      <c r="H647" s="149">
        <v>2</v>
      </c>
      <c r="I647" s="157">
        <f>66590/3</f>
        <v>22196.666666666668</v>
      </c>
      <c r="J647" s="159">
        <f t="shared" si="68"/>
        <v>44393.333333333336</v>
      </c>
      <c r="K647" s="152"/>
    </row>
    <row r="648" spans="1:14" s="141" customFormat="1" ht="20.25" customHeight="1">
      <c r="A648" s="147">
        <v>14</v>
      </c>
      <c r="B648" s="143" t="s">
        <v>1177</v>
      </c>
      <c r="C648" s="143" t="s">
        <v>1178</v>
      </c>
      <c r="D648" s="143" t="s">
        <v>1011</v>
      </c>
      <c r="E648" s="148" t="s">
        <v>1118</v>
      </c>
      <c r="F648" s="143">
        <v>2</v>
      </c>
      <c r="G648" s="149" t="s">
        <v>1029</v>
      </c>
      <c r="H648" s="149">
        <v>2</v>
      </c>
      <c r="I648" s="157">
        <f>49425/3</f>
        <v>16475</v>
      </c>
      <c r="J648" s="159">
        <f t="shared" si="68"/>
        <v>32950</v>
      </c>
      <c r="K648" s="152"/>
    </row>
    <row r="649" spans="1:14" s="141" customFormat="1" ht="20.25" customHeight="1">
      <c r="A649" s="147">
        <v>15</v>
      </c>
      <c r="B649" s="143" t="s">
        <v>1177</v>
      </c>
      <c r="C649" s="143" t="s">
        <v>1178</v>
      </c>
      <c r="D649" s="143" t="s">
        <v>1011</v>
      </c>
      <c r="E649" s="148" t="s">
        <v>1040</v>
      </c>
      <c r="F649" s="143">
        <v>2</v>
      </c>
      <c r="G649" s="149" t="s">
        <v>1026</v>
      </c>
      <c r="H649" s="149">
        <v>2</v>
      </c>
      <c r="I649" s="157">
        <f>18222/3</f>
        <v>6074</v>
      </c>
      <c r="J649" s="159">
        <f t="shared" si="68"/>
        <v>12148</v>
      </c>
      <c r="K649" s="152"/>
      <c r="M649" s="185">
        <v>850000</v>
      </c>
      <c r="N649" s="186" t="s">
        <v>1302</v>
      </c>
    </row>
    <row r="650" spans="1:14" s="141" customFormat="1" ht="20.25" customHeight="1">
      <c r="A650" s="147">
        <v>16</v>
      </c>
      <c r="B650" s="143" t="s">
        <v>1177</v>
      </c>
      <c r="C650" s="143" t="s">
        <v>1178</v>
      </c>
      <c r="D650" s="143" t="s">
        <v>1050</v>
      </c>
      <c r="E650" s="148" t="s">
        <v>1051</v>
      </c>
      <c r="F650" s="143">
        <v>2</v>
      </c>
      <c r="G650" s="149" t="s">
        <v>1079</v>
      </c>
      <c r="H650" s="149">
        <v>2</v>
      </c>
      <c r="I650" s="157">
        <v>30000</v>
      </c>
      <c r="J650" s="159">
        <f t="shared" si="68"/>
        <v>60000</v>
      </c>
      <c r="K650" s="152"/>
      <c r="M650" s="154">
        <f>150000+100000</f>
        <v>250000</v>
      </c>
      <c r="N650" s="210" t="s">
        <v>1561</v>
      </c>
    </row>
    <row r="651" spans="1:14" s="141" customFormat="1" ht="20.25" customHeight="1">
      <c r="A651" s="147">
        <v>17</v>
      </c>
      <c r="B651" s="143" t="s">
        <v>1177</v>
      </c>
      <c r="C651" s="143" t="s">
        <v>1178</v>
      </c>
      <c r="D651" s="143" t="s">
        <v>1242</v>
      </c>
      <c r="E651" s="148" t="s">
        <v>1148</v>
      </c>
      <c r="F651" s="143">
        <v>2</v>
      </c>
      <c r="G651" s="149" t="s">
        <v>1147</v>
      </c>
      <c r="H651" s="149">
        <v>2</v>
      </c>
      <c r="I651" s="157">
        <v>4000</v>
      </c>
      <c r="J651" s="159">
        <f t="shared" si="68"/>
        <v>8000</v>
      </c>
      <c r="K651" s="152"/>
      <c r="M651" s="183">
        <f>L654*7%</f>
        <v>24965.03333333334</v>
      </c>
      <c r="N651" s="141" t="s">
        <v>1303</v>
      </c>
    </row>
    <row r="652" spans="1:14" s="141" customFormat="1" ht="20.25" customHeight="1">
      <c r="A652" s="147">
        <v>18</v>
      </c>
      <c r="B652" s="143" t="s">
        <v>1177</v>
      </c>
      <c r="C652" s="143" t="s">
        <v>1178</v>
      </c>
      <c r="D652" s="143" t="s">
        <v>1041</v>
      </c>
      <c r="E652" s="148" t="s">
        <v>1119</v>
      </c>
      <c r="F652" s="143">
        <v>2</v>
      </c>
      <c r="G652" s="143" t="s">
        <v>1024</v>
      </c>
      <c r="H652" s="149">
        <v>2</v>
      </c>
      <c r="I652" s="150">
        <v>800</v>
      </c>
      <c r="J652" s="151">
        <f>H652*I652</f>
        <v>1600</v>
      </c>
      <c r="K652" s="152"/>
      <c r="M652" s="183">
        <f>(L654+M651)*20%</f>
        <v>76321.67333333334</v>
      </c>
      <c r="N652" s="141" t="s">
        <v>1304</v>
      </c>
    </row>
    <row r="653" spans="1:14" s="141" customFormat="1" ht="20.25" customHeight="1" thickBot="1">
      <c r="A653" s="147">
        <v>19</v>
      </c>
      <c r="B653" s="177" t="s">
        <v>1177</v>
      </c>
      <c r="C653" s="177" t="s">
        <v>1178</v>
      </c>
      <c r="D653" s="177" t="s">
        <v>1262</v>
      </c>
      <c r="E653" s="143" t="s">
        <v>1263</v>
      </c>
      <c r="F653" s="177">
        <v>2</v>
      </c>
      <c r="G653" s="177" t="s">
        <v>1116</v>
      </c>
      <c r="H653" s="178">
        <v>2</v>
      </c>
      <c r="I653" s="179">
        <v>700</v>
      </c>
      <c r="J653" s="180"/>
      <c r="K653" s="181"/>
      <c r="M653" s="183">
        <f>(L654+M651+M652)*25%</f>
        <v>114482.51000000001</v>
      </c>
      <c r="N653" s="141" t="s">
        <v>1305</v>
      </c>
    </row>
    <row r="654" spans="1:14" s="141" customFormat="1" ht="20.25" customHeight="1" thickBot="1">
      <c r="A654" s="160">
        <v>20</v>
      </c>
      <c r="B654" s="161" t="s">
        <v>1177</v>
      </c>
      <c r="C654" s="161" t="s">
        <v>1178</v>
      </c>
      <c r="D654" s="161" t="s">
        <v>1264</v>
      </c>
      <c r="E654" s="169" t="s">
        <v>1267</v>
      </c>
      <c r="F654" s="161">
        <v>1</v>
      </c>
      <c r="G654" s="161" t="s">
        <v>1266</v>
      </c>
      <c r="H654" s="162">
        <v>1</v>
      </c>
      <c r="I654" s="170">
        <v>1400</v>
      </c>
      <c r="J654" s="171">
        <f t="shared" ref="J654" si="69">H654*I654</f>
        <v>1400</v>
      </c>
      <c r="K654" s="163"/>
      <c r="L654" s="172">
        <f>SUM(J635:J654)</f>
        <v>356643.33333333337</v>
      </c>
      <c r="M654" s="184">
        <f>L654+M650+M651+M652+M653</f>
        <v>822412.55</v>
      </c>
      <c r="N654" s="141" t="s">
        <v>1307</v>
      </c>
    </row>
    <row r="655" spans="1:14" s="141" customFormat="1" ht="7.5" customHeight="1" thickBot="1">
      <c r="D655" s="164"/>
      <c r="E655" s="164"/>
      <c r="G655" s="165"/>
      <c r="H655" s="165"/>
      <c r="I655" s="167"/>
      <c r="J655" s="168"/>
    </row>
    <row r="656" spans="1:14" s="141" customFormat="1" ht="20.25" customHeight="1">
      <c r="A656" s="142">
        <v>1</v>
      </c>
      <c r="B656" s="144" t="s">
        <v>1244</v>
      </c>
      <c r="C656" s="144" t="s">
        <v>854</v>
      </c>
      <c r="D656" s="144" t="s">
        <v>1011</v>
      </c>
      <c r="E656" s="144" t="s">
        <v>1122</v>
      </c>
      <c r="F656" s="144">
        <v>1</v>
      </c>
      <c r="G656" s="145" t="s">
        <v>1012</v>
      </c>
      <c r="H656" s="145">
        <v>1</v>
      </c>
      <c r="I656" s="156">
        <f>200780/4</f>
        <v>50195</v>
      </c>
      <c r="J656" s="158">
        <f>H656*I656</f>
        <v>50195</v>
      </c>
      <c r="K656" s="146"/>
    </row>
    <row r="657" spans="1:14" s="141" customFormat="1" ht="20.25" customHeight="1">
      <c r="A657" s="173">
        <v>2</v>
      </c>
      <c r="B657" s="143" t="s">
        <v>1185</v>
      </c>
      <c r="C657" s="143" t="s">
        <v>1186</v>
      </c>
      <c r="D657" s="143" t="s">
        <v>1011</v>
      </c>
      <c r="E657" s="148" t="s">
        <v>1141</v>
      </c>
      <c r="F657" s="143">
        <v>1</v>
      </c>
      <c r="G657" s="149" t="s">
        <v>1012</v>
      </c>
      <c r="H657" s="149">
        <v>1</v>
      </c>
      <c r="I657" s="157">
        <f>88314/6</f>
        <v>14719</v>
      </c>
      <c r="J657" s="159">
        <f t="shared" ref="J657:J672" si="70">H657*I657</f>
        <v>14719</v>
      </c>
      <c r="K657" s="174"/>
    </row>
    <row r="658" spans="1:14" s="141" customFormat="1" ht="20.25" customHeight="1">
      <c r="A658" s="147">
        <v>3</v>
      </c>
      <c r="B658" s="143" t="s">
        <v>1185</v>
      </c>
      <c r="C658" s="143" t="s">
        <v>1186</v>
      </c>
      <c r="D658" s="143" t="s">
        <v>1011</v>
      </c>
      <c r="E658" s="148" t="s">
        <v>1153</v>
      </c>
      <c r="F658" s="143">
        <v>1</v>
      </c>
      <c r="G658" s="149" t="s">
        <v>1012</v>
      </c>
      <c r="H658" s="149">
        <v>1</v>
      </c>
      <c r="I658" s="157">
        <f>88314/2</f>
        <v>44157</v>
      </c>
      <c r="J658" s="159">
        <f t="shared" si="70"/>
        <v>44157</v>
      </c>
      <c r="K658" s="152"/>
    </row>
    <row r="659" spans="1:14" s="141" customFormat="1" ht="20.25" customHeight="1">
      <c r="A659" s="173">
        <v>4</v>
      </c>
      <c r="B659" s="143" t="s">
        <v>1185</v>
      </c>
      <c r="C659" s="143" t="s">
        <v>1186</v>
      </c>
      <c r="D659" s="143" t="s">
        <v>1013</v>
      </c>
      <c r="E659" s="148" t="s">
        <v>1143</v>
      </c>
      <c r="F659" s="143">
        <v>1</v>
      </c>
      <c r="G659" s="143" t="s">
        <v>1014</v>
      </c>
      <c r="H659" s="149">
        <v>1</v>
      </c>
      <c r="I659" s="157">
        <v>34000</v>
      </c>
      <c r="J659" s="159">
        <f t="shared" si="70"/>
        <v>34000</v>
      </c>
      <c r="K659" s="152"/>
    </row>
    <row r="660" spans="1:14" s="141" customFormat="1" ht="20.25" customHeight="1">
      <c r="A660" s="147">
        <v>5</v>
      </c>
      <c r="B660" s="143" t="s">
        <v>1185</v>
      </c>
      <c r="C660" s="143" t="s">
        <v>1186</v>
      </c>
      <c r="D660" s="143" t="s">
        <v>1015</v>
      </c>
      <c r="E660" s="148" t="s">
        <v>1144</v>
      </c>
      <c r="F660" s="143">
        <v>4</v>
      </c>
      <c r="G660" s="143" t="s">
        <v>1014</v>
      </c>
      <c r="H660" s="149">
        <v>4</v>
      </c>
      <c r="I660" s="157">
        <v>1700</v>
      </c>
      <c r="J660" s="159">
        <f t="shared" si="70"/>
        <v>6800</v>
      </c>
      <c r="K660" s="152"/>
    </row>
    <row r="661" spans="1:14" s="141" customFormat="1" ht="20.25" customHeight="1">
      <c r="A661" s="173">
        <v>6</v>
      </c>
      <c r="B661" s="143" t="s">
        <v>1185</v>
      </c>
      <c r="C661" s="143" t="s">
        <v>1186</v>
      </c>
      <c r="D661" s="143" t="s">
        <v>1020</v>
      </c>
      <c r="E661" s="143" t="s">
        <v>1138</v>
      </c>
      <c r="F661" s="143">
        <v>1</v>
      </c>
      <c r="G661" s="143" t="s">
        <v>1014</v>
      </c>
      <c r="H661" s="149">
        <v>1</v>
      </c>
      <c r="I661" s="150">
        <v>18000</v>
      </c>
      <c r="J661" s="151">
        <f t="shared" si="70"/>
        <v>18000</v>
      </c>
      <c r="K661" s="152"/>
    </row>
    <row r="662" spans="1:14" s="141" customFormat="1" ht="20.25" customHeight="1">
      <c r="A662" s="147">
        <v>7</v>
      </c>
      <c r="B662" s="143" t="s">
        <v>1185</v>
      </c>
      <c r="C662" s="143" t="s">
        <v>1186</v>
      </c>
      <c r="D662" s="143" t="s">
        <v>1021</v>
      </c>
      <c r="E662" s="143" t="s">
        <v>1138</v>
      </c>
      <c r="F662" s="143">
        <v>1</v>
      </c>
      <c r="G662" s="143" t="s">
        <v>1014</v>
      </c>
      <c r="H662" s="149">
        <v>1</v>
      </c>
      <c r="I662" s="150">
        <v>5000</v>
      </c>
      <c r="J662" s="151">
        <f t="shared" si="70"/>
        <v>5000</v>
      </c>
      <c r="K662" s="152"/>
    </row>
    <row r="663" spans="1:14" s="141" customFormat="1" ht="20.25" customHeight="1">
      <c r="A663" s="173">
        <v>8</v>
      </c>
      <c r="B663" s="143" t="s">
        <v>1185</v>
      </c>
      <c r="C663" s="143" t="s">
        <v>1186</v>
      </c>
      <c r="D663" s="143" t="s">
        <v>1145</v>
      </c>
      <c r="E663" s="143" t="s">
        <v>1146</v>
      </c>
      <c r="F663" s="143">
        <v>1</v>
      </c>
      <c r="G663" s="143" t="s">
        <v>1147</v>
      </c>
      <c r="H663" s="149">
        <v>1</v>
      </c>
      <c r="I663" s="150">
        <v>16000</v>
      </c>
      <c r="J663" s="151">
        <f t="shared" si="70"/>
        <v>16000</v>
      </c>
      <c r="K663" s="152"/>
    </row>
    <row r="664" spans="1:14" s="141" customFormat="1" ht="20.25" customHeight="1">
      <c r="A664" s="147">
        <v>9</v>
      </c>
      <c r="B664" s="143" t="s">
        <v>1185</v>
      </c>
      <c r="C664" s="143" t="s">
        <v>1186</v>
      </c>
      <c r="D664" s="143" t="s">
        <v>1023</v>
      </c>
      <c r="E664" s="143" t="s">
        <v>1150</v>
      </c>
      <c r="F664" s="143">
        <v>1</v>
      </c>
      <c r="G664" s="143" t="s">
        <v>1024</v>
      </c>
      <c r="H664" s="149">
        <v>1</v>
      </c>
      <c r="I664" s="150">
        <v>5000</v>
      </c>
      <c r="J664" s="151">
        <f t="shared" si="70"/>
        <v>5000</v>
      </c>
      <c r="K664" s="152"/>
    </row>
    <row r="665" spans="1:14" s="141" customFormat="1" ht="20.25" customHeight="1">
      <c r="A665" s="173">
        <v>10</v>
      </c>
      <c r="B665" s="143" t="s">
        <v>1185</v>
      </c>
      <c r="C665" s="143" t="s">
        <v>1186</v>
      </c>
      <c r="D665" s="143" t="s">
        <v>1129</v>
      </c>
      <c r="E665" s="143" t="s">
        <v>1148</v>
      </c>
      <c r="F665" s="143">
        <v>1</v>
      </c>
      <c r="G665" s="143" t="s">
        <v>1116</v>
      </c>
      <c r="H665" s="149">
        <v>1</v>
      </c>
      <c r="I665" s="150">
        <v>2000</v>
      </c>
      <c r="J665" s="151">
        <f t="shared" si="70"/>
        <v>2000</v>
      </c>
      <c r="K665" s="152"/>
    </row>
    <row r="666" spans="1:14" s="141" customFormat="1" ht="20.25" customHeight="1">
      <c r="A666" s="147">
        <v>11</v>
      </c>
      <c r="B666" s="143" t="s">
        <v>1185</v>
      </c>
      <c r="C666" s="143" t="s">
        <v>1186</v>
      </c>
      <c r="D666" s="143" t="s">
        <v>1251</v>
      </c>
      <c r="E666" s="143" t="s">
        <v>1257</v>
      </c>
      <c r="F666" s="143">
        <v>1</v>
      </c>
      <c r="G666" s="143" t="s">
        <v>643</v>
      </c>
      <c r="H666" s="149">
        <v>1</v>
      </c>
      <c r="I666" s="150">
        <v>10000</v>
      </c>
      <c r="J666" s="151">
        <f t="shared" si="70"/>
        <v>10000</v>
      </c>
      <c r="K666" s="152"/>
    </row>
    <row r="667" spans="1:14" s="141" customFormat="1" ht="20.25" customHeight="1">
      <c r="A667" s="173">
        <v>12</v>
      </c>
      <c r="B667" s="143" t="s">
        <v>1185</v>
      </c>
      <c r="C667" s="143" t="s">
        <v>1186</v>
      </c>
      <c r="D667" s="143" t="s">
        <v>1253</v>
      </c>
      <c r="E667" s="143" t="s">
        <v>1258</v>
      </c>
      <c r="F667" s="143">
        <v>1</v>
      </c>
      <c r="G667" s="143" t="s">
        <v>1254</v>
      </c>
      <c r="H667" s="149">
        <v>1</v>
      </c>
      <c r="I667" s="150">
        <v>5000</v>
      </c>
      <c r="J667" s="151">
        <f t="shared" si="70"/>
        <v>5000</v>
      </c>
      <c r="K667" s="152"/>
    </row>
    <row r="668" spans="1:14" s="141" customFormat="1" ht="20.25" customHeight="1">
      <c r="A668" s="147">
        <v>13</v>
      </c>
      <c r="B668" s="143" t="s">
        <v>1185</v>
      </c>
      <c r="C668" s="143" t="s">
        <v>1186</v>
      </c>
      <c r="D668" s="143" t="s">
        <v>1011</v>
      </c>
      <c r="E668" s="148" t="s">
        <v>1241</v>
      </c>
      <c r="F668" s="143">
        <v>1</v>
      </c>
      <c r="G668" s="149" t="s">
        <v>1029</v>
      </c>
      <c r="H668" s="149">
        <v>1</v>
      </c>
      <c r="I668" s="157">
        <f>66590/3</f>
        <v>22196.666666666668</v>
      </c>
      <c r="J668" s="159">
        <f t="shared" si="70"/>
        <v>22196.666666666668</v>
      </c>
      <c r="K668" s="152"/>
    </row>
    <row r="669" spans="1:14" s="141" customFormat="1" ht="20.25" customHeight="1">
      <c r="A669" s="173">
        <v>14</v>
      </c>
      <c r="B669" s="143" t="s">
        <v>1185</v>
      </c>
      <c r="C669" s="143" t="s">
        <v>1186</v>
      </c>
      <c r="D669" s="143" t="s">
        <v>1011</v>
      </c>
      <c r="E669" s="148" t="s">
        <v>1118</v>
      </c>
      <c r="F669" s="143">
        <v>1</v>
      </c>
      <c r="G669" s="149" t="s">
        <v>1029</v>
      </c>
      <c r="H669" s="149">
        <v>1</v>
      </c>
      <c r="I669" s="157">
        <f>49425/3</f>
        <v>16475</v>
      </c>
      <c r="J669" s="159">
        <f t="shared" si="70"/>
        <v>16475</v>
      </c>
      <c r="K669" s="152"/>
    </row>
    <row r="670" spans="1:14" s="141" customFormat="1" ht="20.25" customHeight="1">
      <c r="A670" s="147">
        <v>15</v>
      </c>
      <c r="B670" s="143" t="s">
        <v>1185</v>
      </c>
      <c r="C670" s="143" t="s">
        <v>1186</v>
      </c>
      <c r="D670" s="143" t="s">
        <v>1011</v>
      </c>
      <c r="E670" s="148" t="s">
        <v>1040</v>
      </c>
      <c r="F670" s="143">
        <v>1</v>
      </c>
      <c r="G670" s="149" t="s">
        <v>1026</v>
      </c>
      <c r="H670" s="149">
        <v>1</v>
      </c>
      <c r="I670" s="157">
        <f>18222/3</f>
        <v>6074</v>
      </c>
      <c r="J670" s="159">
        <f t="shared" si="70"/>
        <v>6074</v>
      </c>
      <c r="K670" s="152"/>
      <c r="M670" s="185">
        <v>850000</v>
      </c>
      <c r="N670" s="186" t="s">
        <v>1302</v>
      </c>
    </row>
    <row r="671" spans="1:14" s="141" customFormat="1" ht="20.25" customHeight="1">
      <c r="A671" s="173">
        <v>16</v>
      </c>
      <c r="B671" s="143" t="s">
        <v>1185</v>
      </c>
      <c r="C671" s="143" t="s">
        <v>1186</v>
      </c>
      <c r="D671" s="143" t="s">
        <v>1050</v>
      </c>
      <c r="E671" s="148" t="s">
        <v>1051</v>
      </c>
      <c r="F671" s="143">
        <v>1</v>
      </c>
      <c r="G671" s="149" t="s">
        <v>1079</v>
      </c>
      <c r="H671" s="149">
        <v>1</v>
      </c>
      <c r="I671" s="157">
        <v>30000</v>
      </c>
      <c r="J671" s="159">
        <f t="shared" si="70"/>
        <v>30000</v>
      </c>
      <c r="K671" s="152"/>
      <c r="M671" s="154">
        <f>150000+100000</f>
        <v>250000</v>
      </c>
      <c r="N671" s="210" t="s">
        <v>1561</v>
      </c>
    </row>
    <row r="672" spans="1:14" s="141" customFormat="1" ht="20.25" customHeight="1">
      <c r="A672" s="147">
        <v>17</v>
      </c>
      <c r="B672" s="143" t="s">
        <v>1185</v>
      </c>
      <c r="C672" s="143" t="s">
        <v>1186</v>
      </c>
      <c r="D672" s="143" t="s">
        <v>1242</v>
      </c>
      <c r="E672" s="148" t="s">
        <v>1148</v>
      </c>
      <c r="F672" s="143">
        <v>1</v>
      </c>
      <c r="G672" s="149" t="s">
        <v>1147</v>
      </c>
      <c r="H672" s="149">
        <v>1</v>
      </c>
      <c r="I672" s="150">
        <v>4000</v>
      </c>
      <c r="J672" s="151">
        <f t="shared" si="70"/>
        <v>4000</v>
      </c>
      <c r="K672" s="152"/>
      <c r="M672" s="183">
        <f>L675*7%</f>
        <v>20476.166666666664</v>
      </c>
      <c r="N672" s="141" t="s">
        <v>1303</v>
      </c>
    </row>
    <row r="673" spans="1:14" s="141" customFormat="1" ht="20.25" customHeight="1">
      <c r="A673" s="173">
        <v>18</v>
      </c>
      <c r="B673" s="143" t="s">
        <v>1185</v>
      </c>
      <c r="C673" s="143" t="s">
        <v>1186</v>
      </c>
      <c r="D673" s="143" t="s">
        <v>1041</v>
      </c>
      <c r="E673" s="148" t="s">
        <v>1119</v>
      </c>
      <c r="F673" s="143">
        <v>1</v>
      </c>
      <c r="G673" s="143" t="s">
        <v>1024</v>
      </c>
      <c r="H673" s="149">
        <v>1</v>
      </c>
      <c r="I673" s="150">
        <v>800</v>
      </c>
      <c r="J673" s="151">
        <f>H673*I673</f>
        <v>800</v>
      </c>
      <c r="K673" s="152"/>
      <c r="M673" s="183">
        <f>(L675+M672)*20%</f>
        <v>62598.566666666666</v>
      </c>
      <c r="N673" s="141" t="s">
        <v>1304</v>
      </c>
    </row>
    <row r="674" spans="1:14" s="141" customFormat="1" ht="20.25" customHeight="1" thickBot="1">
      <c r="A674" s="182">
        <v>19</v>
      </c>
      <c r="B674" s="177" t="s">
        <v>1185</v>
      </c>
      <c r="C674" s="177" t="s">
        <v>1186</v>
      </c>
      <c r="D674" s="177" t="s">
        <v>1262</v>
      </c>
      <c r="E674" s="143" t="s">
        <v>1263</v>
      </c>
      <c r="F674" s="177">
        <v>1</v>
      </c>
      <c r="G674" s="177" t="s">
        <v>1116</v>
      </c>
      <c r="H674" s="178">
        <v>1</v>
      </c>
      <c r="I674" s="179">
        <v>700</v>
      </c>
      <c r="J674" s="151">
        <f>H674*I674</f>
        <v>700</v>
      </c>
      <c r="K674" s="181"/>
      <c r="M674" s="183">
        <f>(L675+M672+M673)*25%</f>
        <v>93897.849999999991</v>
      </c>
      <c r="N674" s="141" t="s">
        <v>1305</v>
      </c>
    </row>
    <row r="675" spans="1:14" s="141" customFormat="1" ht="20.25" customHeight="1" thickBot="1">
      <c r="A675" s="160">
        <v>20</v>
      </c>
      <c r="B675" s="161" t="s">
        <v>1185</v>
      </c>
      <c r="C675" s="161" t="s">
        <v>1186</v>
      </c>
      <c r="D675" s="161" t="s">
        <v>1264</v>
      </c>
      <c r="E675" s="169" t="s">
        <v>1267</v>
      </c>
      <c r="F675" s="161">
        <v>1</v>
      </c>
      <c r="G675" s="161" t="s">
        <v>1266</v>
      </c>
      <c r="H675" s="162">
        <v>1</v>
      </c>
      <c r="I675" s="170">
        <v>1400</v>
      </c>
      <c r="J675" s="171">
        <f t="shared" ref="J675" si="71">H675*I675</f>
        <v>1400</v>
      </c>
      <c r="K675" s="163"/>
      <c r="L675" s="172">
        <f>SUM(J656:J675)</f>
        <v>292516.66666666663</v>
      </c>
      <c r="M675" s="184">
        <f>L675+M671+M672+M673+M674</f>
        <v>719489.24999999988</v>
      </c>
      <c r="N675" s="141" t="s">
        <v>1307</v>
      </c>
    </row>
    <row r="676" spans="1:14" s="141" customFormat="1" ht="7.5" customHeight="1" thickBot="1">
      <c r="D676" s="164"/>
      <c r="E676" s="164"/>
      <c r="G676" s="165"/>
      <c r="H676" s="165"/>
      <c r="I676" s="167"/>
      <c r="J676" s="168"/>
    </row>
    <row r="677" spans="1:14" s="141" customFormat="1" ht="20.25" customHeight="1">
      <c r="A677" s="142">
        <v>1</v>
      </c>
      <c r="B677" s="144" t="s">
        <v>1245</v>
      </c>
      <c r="C677" s="144" t="s">
        <v>859</v>
      </c>
      <c r="D677" s="144" t="s">
        <v>1011</v>
      </c>
      <c r="E677" s="144" t="s">
        <v>1122</v>
      </c>
      <c r="F677" s="144">
        <v>1</v>
      </c>
      <c r="G677" s="145" t="s">
        <v>1012</v>
      </c>
      <c r="H677" s="145">
        <v>1</v>
      </c>
      <c r="I677" s="156">
        <f>200780/4</f>
        <v>50195</v>
      </c>
      <c r="J677" s="158">
        <f>H677*I677</f>
        <v>50195</v>
      </c>
      <c r="K677" s="146"/>
    </row>
    <row r="678" spans="1:14" s="141" customFormat="1" ht="20.25" customHeight="1">
      <c r="A678" s="173">
        <v>2</v>
      </c>
      <c r="B678" s="143" t="s">
        <v>1183</v>
      </c>
      <c r="C678" s="143" t="s">
        <v>1184</v>
      </c>
      <c r="D678" s="143" t="s">
        <v>1011</v>
      </c>
      <c r="E678" s="148" t="s">
        <v>1141</v>
      </c>
      <c r="F678" s="143">
        <v>1</v>
      </c>
      <c r="G678" s="149" t="s">
        <v>1012</v>
      </c>
      <c r="H678" s="149">
        <v>1</v>
      </c>
      <c r="I678" s="157">
        <f>88314/6</f>
        <v>14719</v>
      </c>
      <c r="J678" s="159">
        <f t="shared" ref="J678:J693" si="72">H678*I678</f>
        <v>14719</v>
      </c>
      <c r="K678" s="174"/>
    </row>
    <row r="679" spans="1:14" s="141" customFormat="1" ht="20.25" customHeight="1">
      <c r="A679" s="147">
        <v>3</v>
      </c>
      <c r="B679" s="143" t="s">
        <v>1183</v>
      </c>
      <c r="C679" s="143" t="s">
        <v>1184</v>
      </c>
      <c r="D679" s="143" t="s">
        <v>1011</v>
      </c>
      <c r="E679" s="148" t="s">
        <v>1153</v>
      </c>
      <c r="F679" s="143">
        <v>1</v>
      </c>
      <c r="G679" s="149" t="s">
        <v>1012</v>
      </c>
      <c r="H679" s="149">
        <v>1</v>
      </c>
      <c r="I679" s="157">
        <f>88314/2</f>
        <v>44157</v>
      </c>
      <c r="J679" s="159">
        <f t="shared" si="72"/>
        <v>44157</v>
      </c>
      <c r="K679" s="152"/>
    </row>
    <row r="680" spans="1:14" s="141" customFormat="1" ht="20.25" customHeight="1">
      <c r="A680" s="173">
        <v>4</v>
      </c>
      <c r="B680" s="143" t="s">
        <v>1183</v>
      </c>
      <c r="C680" s="143" t="s">
        <v>1184</v>
      </c>
      <c r="D680" s="143" t="s">
        <v>1013</v>
      </c>
      <c r="E680" s="148" t="s">
        <v>1143</v>
      </c>
      <c r="F680" s="143">
        <v>1</v>
      </c>
      <c r="G680" s="143" t="s">
        <v>1014</v>
      </c>
      <c r="H680" s="149">
        <v>1</v>
      </c>
      <c r="I680" s="157">
        <v>34000</v>
      </c>
      <c r="J680" s="159">
        <f t="shared" si="72"/>
        <v>34000</v>
      </c>
      <c r="K680" s="152"/>
    </row>
    <row r="681" spans="1:14" s="141" customFormat="1" ht="20.25" customHeight="1">
      <c r="A681" s="147">
        <v>5</v>
      </c>
      <c r="B681" s="143" t="s">
        <v>1183</v>
      </c>
      <c r="C681" s="143" t="s">
        <v>1184</v>
      </c>
      <c r="D681" s="143" t="s">
        <v>1015</v>
      </c>
      <c r="E681" s="148" t="s">
        <v>1144</v>
      </c>
      <c r="F681" s="143">
        <v>4</v>
      </c>
      <c r="G681" s="143" t="s">
        <v>1014</v>
      </c>
      <c r="H681" s="149">
        <v>4</v>
      </c>
      <c r="I681" s="157">
        <v>1700</v>
      </c>
      <c r="J681" s="159">
        <f t="shared" si="72"/>
        <v>6800</v>
      </c>
      <c r="K681" s="152"/>
    </row>
    <row r="682" spans="1:14" s="141" customFormat="1" ht="20.25" customHeight="1">
      <c r="A682" s="173">
        <v>6</v>
      </c>
      <c r="B682" s="143" t="s">
        <v>1183</v>
      </c>
      <c r="C682" s="143" t="s">
        <v>1184</v>
      </c>
      <c r="D682" s="143" t="s">
        <v>1020</v>
      </c>
      <c r="E682" s="143" t="s">
        <v>1138</v>
      </c>
      <c r="F682" s="143">
        <v>1</v>
      </c>
      <c r="G682" s="143" t="s">
        <v>1014</v>
      </c>
      <c r="H682" s="149">
        <v>1</v>
      </c>
      <c r="I682" s="150">
        <v>18000</v>
      </c>
      <c r="J682" s="151">
        <f t="shared" si="72"/>
        <v>18000</v>
      </c>
      <c r="K682" s="152"/>
    </row>
    <row r="683" spans="1:14" s="141" customFormat="1" ht="20.25" customHeight="1">
      <c r="A683" s="147">
        <v>7</v>
      </c>
      <c r="B683" s="143" t="s">
        <v>1183</v>
      </c>
      <c r="C683" s="143" t="s">
        <v>1184</v>
      </c>
      <c r="D683" s="143" t="s">
        <v>1021</v>
      </c>
      <c r="E683" s="143" t="s">
        <v>1138</v>
      </c>
      <c r="F683" s="143">
        <v>1</v>
      </c>
      <c r="G683" s="143" t="s">
        <v>1014</v>
      </c>
      <c r="H683" s="149">
        <v>1</v>
      </c>
      <c r="I683" s="150">
        <v>5000</v>
      </c>
      <c r="J683" s="151">
        <f t="shared" si="72"/>
        <v>5000</v>
      </c>
      <c r="K683" s="152"/>
    </row>
    <row r="684" spans="1:14" s="141" customFormat="1" ht="20.25" customHeight="1">
      <c r="A684" s="173">
        <v>8</v>
      </c>
      <c r="B684" s="143" t="s">
        <v>1183</v>
      </c>
      <c r="C684" s="143" t="s">
        <v>1184</v>
      </c>
      <c r="D684" s="143" t="s">
        <v>1145</v>
      </c>
      <c r="E684" s="143" t="s">
        <v>1146</v>
      </c>
      <c r="F684" s="143">
        <v>1</v>
      </c>
      <c r="G684" s="143" t="s">
        <v>1147</v>
      </c>
      <c r="H684" s="149">
        <v>1</v>
      </c>
      <c r="I684" s="150">
        <v>16000</v>
      </c>
      <c r="J684" s="151">
        <f t="shared" si="72"/>
        <v>16000</v>
      </c>
      <c r="K684" s="152"/>
    </row>
    <row r="685" spans="1:14" s="141" customFormat="1" ht="20.25" customHeight="1">
      <c r="A685" s="147">
        <v>9</v>
      </c>
      <c r="B685" s="143" t="s">
        <v>1183</v>
      </c>
      <c r="C685" s="143" t="s">
        <v>1184</v>
      </c>
      <c r="D685" s="143" t="s">
        <v>1023</v>
      </c>
      <c r="E685" s="143" t="s">
        <v>1150</v>
      </c>
      <c r="F685" s="143">
        <v>1</v>
      </c>
      <c r="G685" s="143" t="s">
        <v>1024</v>
      </c>
      <c r="H685" s="149">
        <v>1</v>
      </c>
      <c r="I685" s="150">
        <v>5000</v>
      </c>
      <c r="J685" s="151">
        <f t="shared" si="72"/>
        <v>5000</v>
      </c>
      <c r="K685" s="152"/>
    </row>
    <row r="686" spans="1:14" s="141" customFormat="1" ht="20.25" customHeight="1">
      <c r="A686" s="173">
        <v>10</v>
      </c>
      <c r="B686" s="143" t="s">
        <v>1183</v>
      </c>
      <c r="C686" s="143" t="s">
        <v>1184</v>
      </c>
      <c r="D686" s="143" t="s">
        <v>1129</v>
      </c>
      <c r="E686" s="143" t="s">
        <v>1148</v>
      </c>
      <c r="F686" s="143">
        <v>1</v>
      </c>
      <c r="G686" s="143" t="s">
        <v>1116</v>
      </c>
      <c r="H686" s="149">
        <v>1</v>
      </c>
      <c r="I686" s="150">
        <v>2000</v>
      </c>
      <c r="J686" s="151">
        <f t="shared" si="72"/>
        <v>2000</v>
      </c>
      <c r="K686" s="152"/>
    </row>
    <row r="687" spans="1:14" s="141" customFormat="1" ht="20.25" customHeight="1">
      <c r="A687" s="147">
        <v>11</v>
      </c>
      <c r="B687" s="143" t="s">
        <v>1183</v>
      </c>
      <c r="C687" s="143" t="s">
        <v>1184</v>
      </c>
      <c r="D687" s="143" t="s">
        <v>1251</v>
      </c>
      <c r="E687" s="143" t="s">
        <v>1257</v>
      </c>
      <c r="F687" s="143">
        <v>1</v>
      </c>
      <c r="G687" s="143" t="s">
        <v>643</v>
      </c>
      <c r="H687" s="149">
        <v>1</v>
      </c>
      <c r="I687" s="150">
        <v>10000</v>
      </c>
      <c r="J687" s="151">
        <f t="shared" si="72"/>
        <v>10000</v>
      </c>
      <c r="K687" s="152"/>
    </row>
    <row r="688" spans="1:14" s="141" customFormat="1" ht="20.25" customHeight="1">
      <c r="A688" s="173">
        <v>12</v>
      </c>
      <c r="B688" s="143" t="s">
        <v>1183</v>
      </c>
      <c r="C688" s="143" t="s">
        <v>1184</v>
      </c>
      <c r="D688" s="143" t="s">
        <v>1253</v>
      </c>
      <c r="E688" s="143" t="s">
        <v>1258</v>
      </c>
      <c r="F688" s="143">
        <v>1</v>
      </c>
      <c r="G688" s="143" t="s">
        <v>1254</v>
      </c>
      <c r="H688" s="149">
        <v>1</v>
      </c>
      <c r="I688" s="150">
        <v>5000</v>
      </c>
      <c r="J688" s="151">
        <f t="shared" si="72"/>
        <v>5000</v>
      </c>
      <c r="K688" s="152"/>
    </row>
    <row r="689" spans="1:14" s="141" customFormat="1" ht="20.25" customHeight="1">
      <c r="A689" s="147">
        <v>13</v>
      </c>
      <c r="B689" s="143" t="s">
        <v>1183</v>
      </c>
      <c r="C689" s="143" t="s">
        <v>1184</v>
      </c>
      <c r="D689" s="143" t="s">
        <v>1011</v>
      </c>
      <c r="E689" s="148" t="s">
        <v>1241</v>
      </c>
      <c r="F689" s="143">
        <v>2</v>
      </c>
      <c r="G689" s="149" t="s">
        <v>1029</v>
      </c>
      <c r="H689" s="149">
        <v>2</v>
      </c>
      <c r="I689" s="157">
        <f>66590/3</f>
        <v>22196.666666666668</v>
      </c>
      <c r="J689" s="159">
        <f t="shared" si="72"/>
        <v>44393.333333333336</v>
      </c>
      <c r="K689" s="152"/>
    </row>
    <row r="690" spans="1:14" s="141" customFormat="1" ht="20.25" customHeight="1">
      <c r="A690" s="173">
        <v>14</v>
      </c>
      <c r="B690" s="143" t="s">
        <v>1183</v>
      </c>
      <c r="C690" s="143" t="s">
        <v>1184</v>
      </c>
      <c r="D690" s="143" t="s">
        <v>1011</v>
      </c>
      <c r="E690" s="148" t="s">
        <v>1118</v>
      </c>
      <c r="F690" s="143">
        <v>2</v>
      </c>
      <c r="G690" s="149" t="s">
        <v>1029</v>
      </c>
      <c r="H690" s="149">
        <v>2</v>
      </c>
      <c r="I690" s="157">
        <f>49425/3</f>
        <v>16475</v>
      </c>
      <c r="J690" s="159">
        <f t="shared" si="72"/>
        <v>32950</v>
      </c>
      <c r="K690" s="152"/>
    </row>
    <row r="691" spans="1:14" s="141" customFormat="1" ht="20.25" customHeight="1">
      <c r="A691" s="147">
        <v>15</v>
      </c>
      <c r="B691" s="143" t="s">
        <v>1183</v>
      </c>
      <c r="C691" s="143" t="s">
        <v>1184</v>
      </c>
      <c r="D691" s="143" t="s">
        <v>1011</v>
      </c>
      <c r="E691" s="148" t="s">
        <v>1040</v>
      </c>
      <c r="F691" s="143">
        <v>2</v>
      </c>
      <c r="G691" s="149" t="s">
        <v>1026</v>
      </c>
      <c r="H691" s="149">
        <v>2</v>
      </c>
      <c r="I691" s="157">
        <f>18222/3</f>
        <v>6074</v>
      </c>
      <c r="J691" s="159">
        <f t="shared" si="72"/>
        <v>12148</v>
      </c>
      <c r="K691" s="152"/>
      <c r="M691" s="185">
        <v>934545</v>
      </c>
      <c r="N691" s="186" t="s">
        <v>1302</v>
      </c>
    </row>
    <row r="692" spans="1:14" s="141" customFormat="1" ht="20.25" customHeight="1">
      <c r="A692" s="173">
        <v>16</v>
      </c>
      <c r="B692" s="143" t="s">
        <v>1183</v>
      </c>
      <c r="C692" s="143" t="s">
        <v>1184</v>
      </c>
      <c r="D692" s="143" t="s">
        <v>1050</v>
      </c>
      <c r="E692" s="148" t="s">
        <v>1051</v>
      </c>
      <c r="F692" s="143">
        <v>2</v>
      </c>
      <c r="G692" s="149" t="s">
        <v>1079</v>
      </c>
      <c r="H692" s="149">
        <v>2</v>
      </c>
      <c r="I692" s="157">
        <v>30000</v>
      </c>
      <c r="J692" s="159">
        <f t="shared" si="72"/>
        <v>60000</v>
      </c>
      <c r="K692" s="152"/>
      <c r="M692" s="154">
        <f>150000+100000</f>
        <v>250000</v>
      </c>
      <c r="N692" s="210" t="s">
        <v>1561</v>
      </c>
    </row>
    <row r="693" spans="1:14" s="141" customFormat="1" ht="20.25" customHeight="1">
      <c r="A693" s="147">
        <v>17</v>
      </c>
      <c r="B693" s="143" t="s">
        <v>1183</v>
      </c>
      <c r="C693" s="143" t="s">
        <v>1184</v>
      </c>
      <c r="D693" s="143" t="s">
        <v>1242</v>
      </c>
      <c r="E693" s="148" t="s">
        <v>1148</v>
      </c>
      <c r="F693" s="143">
        <v>2</v>
      </c>
      <c r="G693" s="149" t="s">
        <v>1147</v>
      </c>
      <c r="H693" s="149">
        <v>2</v>
      </c>
      <c r="I693" s="150">
        <v>4000</v>
      </c>
      <c r="J693" s="151">
        <f t="shared" si="72"/>
        <v>8000</v>
      </c>
      <c r="K693" s="152"/>
      <c r="M693" s="183">
        <f>L696*7%</f>
        <v>26093.363333333338</v>
      </c>
      <c r="N693" s="141" t="s">
        <v>1303</v>
      </c>
    </row>
    <row r="694" spans="1:14" s="141" customFormat="1" ht="20.25" customHeight="1">
      <c r="A694" s="173">
        <v>18</v>
      </c>
      <c r="B694" s="143" t="s">
        <v>1183</v>
      </c>
      <c r="C694" s="143" t="s">
        <v>1184</v>
      </c>
      <c r="D694" s="143" t="s">
        <v>1041</v>
      </c>
      <c r="E694" s="148" t="s">
        <v>1119</v>
      </c>
      <c r="F694" s="143">
        <v>2</v>
      </c>
      <c r="G694" s="143" t="s">
        <v>1024</v>
      </c>
      <c r="H694" s="149">
        <v>2</v>
      </c>
      <c r="I694" s="150">
        <v>800</v>
      </c>
      <c r="J694" s="151">
        <f>H694*I694</f>
        <v>1600</v>
      </c>
      <c r="K694" s="152"/>
      <c r="M694" s="183">
        <f>(L696+M693)*20%</f>
        <v>79771.139333333354</v>
      </c>
      <c r="N694" s="141" t="s">
        <v>1304</v>
      </c>
    </row>
    <row r="695" spans="1:14" s="141" customFormat="1" ht="20.25" customHeight="1" thickBot="1">
      <c r="A695" s="147">
        <v>19</v>
      </c>
      <c r="B695" s="177" t="s">
        <v>1183</v>
      </c>
      <c r="C695" s="177" t="s">
        <v>1184</v>
      </c>
      <c r="D695" s="177" t="s">
        <v>1262</v>
      </c>
      <c r="E695" s="143" t="s">
        <v>1263</v>
      </c>
      <c r="F695" s="177">
        <v>2</v>
      </c>
      <c r="G695" s="177" t="s">
        <v>1116</v>
      </c>
      <c r="H695" s="178">
        <v>2</v>
      </c>
      <c r="I695" s="179">
        <v>700</v>
      </c>
      <c r="J695" s="151">
        <f>H695*I695</f>
        <v>1400</v>
      </c>
      <c r="K695" s="181"/>
      <c r="M695" s="183">
        <f>(L696+M693+M694)*25%</f>
        <v>119656.70900000002</v>
      </c>
      <c r="N695" s="141" t="s">
        <v>1305</v>
      </c>
    </row>
    <row r="696" spans="1:14" s="141" customFormat="1" ht="20.25" customHeight="1" thickBot="1">
      <c r="A696" s="160">
        <v>20</v>
      </c>
      <c r="B696" s="161" t="s">
        <v>1183</v>
      </c>
      <c r="C696" s="161" t="s">
        <v>1184</v>
      </c>
      <c r="D696" s="161" t="s">
        <v>1264</v>
      </c>
      <c r="E696" s="169" t="s">
        <v>1267</v>
      </c>
      <c r="F696" s="161">
        <v>1</v>
      </c>
      <c r="G696" s="161" t="s">
        <v>1266</v>
      </c>
      <c r="H696" s="162">
        <v>1</v>
      </c>
      <c r="I696" s="170">
        <v>1400</v>
      </c>
      <c r="J696" s="171">
        <f t="shared" ref="J696" si="73">H696*I696</f>
        <v>1400</v>
      </c>
      <c r="K696" s="163"/>
      <c r="L696" s="172">
        <f>SUM(J677:J696)</f>
        <v>372762.33333333337</v>
      </c>
      <c r="M696" s="184">
        <f>L696+M692+M693+M694+M695</f>
        <v>848283.54500000004</v>
      </c>
      <c r="N696" s="141" t="s">
        <v>1307</v>
      </c>
    </row>
    <row r="697" spans="1:14" s="141" customFormat="1" ht="7.5" customHeight="1" thickBot="1">
      <c r="D697" s="164"/>
      <c r="E697" s="164"/>
      <c r="G697" s="165"/>
      <c r="H697" s="165"/>
      <c r="I697" s="167"/>
      <c r="J697" s="168"/>
    </row>
    <row r="698" spans="1:14" s="141" customFormat="1" ht="20.25" customHeight="1">
      <c r="A698" s="142">
        <v>1</v>
      </c>
      <c r="B698" s="144" t="s">
        <v>1246</v>
      </c>
      <c r="C698" s="144" t="s">
        <v>858</v>
      </c>
      <c r="D698" s="144" t="s">
        <v>1011</v>
      </c>
      <c r="E698" s="144" t="s">
        <v>1122</v>
      </c>
      <c r="F698" s="144">
        <v>1</v>
      </c>
      <c r="G698" s="145" t="s">
        <v>1012</v>
      </c>
      <c r="H698" s="145">
        <v>1</v>
      </c>
      <c r="I698" s="156">
        <f>200780/4</f>
        <v>50195</v>
      </c>
      <c r="J698" s="158">
        <f>H698*I698</f>
        <v>50195</v>
      </c>
      <c r="K698" s="146"/>
    </row>
    <row r="699" spans="1:14" s="141" customFormat="1" ht="20.25" customHeight="1">
      <c r="A699" s="173">
        <v>2</v>
      </c>
      <c r="B699" s="148" t="s">
        <v>1181</v>
      </c>
      <c r="C699" s="148" t="s">
        <v>1182</v>
      </c>
      <c r="D699" s="143" t="s">
        <v>1011</v>
      </c>
      <c r="E699" s="148" t="s">
        <v>1141</v>
      </c>
      <c r="F699" s="143">
        <v>1</v>
      </c>
      <c r="G699" s="149" t="s">
        <v>1012</v>
      </c>
      <c r="H699" s="149">
        <v>1</v>
      </c>
      <c r="I699" s="157">
        <f>88314/6</f>
        <v>14719</v>
      </c>
      <c r="J699" s="159">
        <f t="shared" ref="J699:J713" si="74">H699*I699</f>
        <v>14719</v>
      </c>
      <c r="K699" s="174"/>
    </row>
    <row r="700" spans="1:14" s="141" customFormat="1" ht="20.25" customHeight="1">
      <c r="A700" s="147">
        <v>3</v>
      </c>
      <c r="B700" s="143" t="s">
        <v>1181</v>
      </c>
      <c r="C700" s="143" t="s">
        <v>1182</v>
      </c>
      <c r="D700" s="143" t="s">
        <v>1011</v>
      </c>
      <c r="E700" s="148" t="s">
        <v>1155</v>
      </c>
      <c r="F700" s="143">
        <v>1</v>
      </c>
      <c r="G700" s="149" t="s">
        <v>1012</v>
      </c>
      <c r="H700" s="149">
        <v>1</v>
      </c>
      <c r="I700" s="157">
        <f>88314/1.5</f>
        <v>58876</v>
      </c>
      <c r="J700" s="159">
        <f t="shared" si="74"/>
        <v>58876</v>
      </c>
      <c r="K700" s="152"/>
    </row>
    <row r="701" spans="1:14" s="141" customFormat="1" ht="20.25" customHeight="1">
      <c r="A701" s="173">
        <v>4</v>
      </c>
      <c r="B701" s="143" t="s">
        <v>1181</v>
      </c>
      <c r="C701" s="143" t="s">
        <v>1182</v>
      </c>
      <c r="D701" s="143" t="s">
        <v>1013</v>
      </c>
      <c r="E701" s="148" t="s">
        <v>1143</v>
      </c>
      <c r="F701" s="143">
        <v>1</v>
      </c>
      <c r="G701" s="143" t="s">
        <v>1014</v>
      </c>
      <c r="H701" s="149">
        <v>1</v>
      </c>
      <c r="I701" s="157">
        <v>34000</v>
      </c>
      <c r="J701" s="159">
        <f t="shared" si="74"/>
        <v>34000</v>
      </c>
      <c r="K701" s="152"/>
    </row>
    <row r="702" spans="1:14" s="141" customFormat="1" ht="20.25" customHeight="1">
      <c r="A702" s="147">
        <v>5</v>
      </c>
      <c r="B702" s="143" t="s">
        <v>1181</v>
      </c>
      <c r="C702" s="143" t="s">
        <v>1182</v>
      </c>
      <c r="D702" s="143" t="s">
        <v>1015</v>
      </c>
      <c r="E702" s="148" t="s">
        <v>1144</v>
      </c>
      <c r="F702" s="143">
        <v>4</v>
      </c>
      <c r="G702" s="143" t="s">
        <v>1014</v>
      </c>
      <c r="H702" s="149">
        <v>4</v>
      </c>
      <c r="I702" s="157">
        <v>1700</v>
      </c>
      <c r="J702" s="159">
        <f t="shared" si="74"/>
        <v>6800</v>
      </c>
      <c r="K702" s="152"/>
    </row>
    <row r="703" spans="1:14" s="141" customFormat="1" ht="20.25" customHeight="1">
      <c r="A703" s="173">
        <v>6</v>
      </c>
      <c r="B703" s="143" t="s">
        <v>1181</v>
      </c>
      <c r="C703" s="143" t="s">
        <v>1182</v>
      </c>
      <c r="D703" s="143" t="s">
        <v>1020</v>
      </c>
      <c r="E703" s="143" t="s">
        <v>1138</v>
      </c>
      <c r="F703" s="143">
        <v>1</v>
      </c>
      <c r="G703" s="143" t="s">
        <v>1014</v>
      </c>
      <c r="H703" s="149">
        <v>1</v>
      </c>
      <c r="I703" s="150">
        <v>18000</v>
      </c>
      <c r="J703" s="151">
        <f t="shared" si="74"/>
        <v>18000</v>
      </c>
      <c r="K703" s="152"/>
    </row>
    <row r="704" spans="1:14" s="141" customFormat="1" ht="20.25" customHeight="1">
      <c r="A704" s="147">
        <v>7</v>
      </c>
      <c r="B704" s="143" t="s">
        <v>1181</v>
      </c>
      <c r="C704" s="143" t="s">
        <v>1182</v>
      </c>
      <c r="D704" s="143" t="s">
        <v>1021</v>
      </c>
      <c r="E704" s="143" t="s">
        <v>1138</v>
      </c>
      <c r="F704" s="143">
        <v>1</v>
      </c>
      <c r="G704" s="143" t="s">
        <v>1014</v>
      </c>
      <c r="H704" s="149">
        <v>1</v>
      </c>
      <c r="I704" s="150">
        <v>5000</v>
      </c>
      <c r="J704" s="151">
        <f t="shared" si="74"/>
        <v>5000</v>
      </c>
      <c r="K704" s="152"/>
    </row>
    <row r="705" spans="1:14" s="141" customFormat="1" ht="20.25" customHeight="1">
      <c r="A705" s="173">
        <v>8</v>
      </c>
      <c r="B705" s="143" t="s">
        <v>1181</v>
      </c>
      <c r="C705" s="143" t="s">
        <v>1182</v>
      </c>
      <c r="D705" s="143" t="s">
        <v>1145</v>
      </c>
      <c r="E705" s="143" t="s">
        <v>1146</v>
      </c>
      <c r="F705" s="143">
        <v>1</v>
      </c>
      <c r="G705" s="143" t="s">
        <v>1147</v>
      </c>
      <c r="H705" s="149">
        <v>1</v>
      </c>
      <c r="I705" s="150">
        <v>16000</v>
      </c>
      <c r="J705" s="151">
        <f t="shared" si="74"/>
        <v>16000</v>
      </c>
      <c r="K705" s="152"/>
    </row>
    <row r="706" spans="1:14" s="141" customFormat="1" ht="20.25" customHeight="1">
      <c r="A706" s="147">
        <v>9</v>
      </c>
      <c r="B706" s="143" t="s">
        <v>1181</v>
      </c>
      <c r="C706" s="143" t="s">
        <v>1182</v>
      </c>
      <c r="D706" s="143" t="s">
        <v>1023</v>
      </c>
      <c r="E706" s="143" t="s">
        <v>1150</v>
      </c>
      <c r="F706" s="143">
        <v>1</v>
      </c>
      <c r="G706" s="143" t="s">
        <v>1024</v>
      </c>
      <c r="H706" s="149">
        <v>1</v>
      </c>
      <c r="I706" s="150">
        <v>5000</v>
      </c>
      <c r="J706" s="151">
        <f t="shared" si="74"/>
        <v>5000</v>
      </c>
      <c r="K706" s="152"/>
    </row>
    <row r="707" spans="1:14" s="141" customFormat="1" ht="20.25" customHeight="1">
      <c r="A707" s="173">
        <v>10</v>
      </c>
      <c r="B707" s="143" t="s">
        <v>1181</v>
      </c>
      <c r="C707" s="143" t="s">
        <v>1182</v>
      </c>
      <c r="D707" s="143" t="s">
        <v>1129</v>
      </c>
      <c r="E707" s="143" t="s">
        <v>1148</v>
      </c>
      <c r="F707" s="143">
        <v>1</v>
      </c>
      <c r="G707" s="143" t="s">
        <v>1116</v>
      </c>
      <c r="H707" s="149">
        <v>1</v>
      </c>
      <c r="I707" s="150">
        <v>2000</v>
      </c>
      <c r="J707" s="151">
        <f t="shared" si="74"/>
        <v>2000</v>
      </c>
      <c r="K707" s="152"/>
    </row>
    <row r="708" spans="1:14" s="141" customFormat="1" ht="20.25" customHeight="1">
      <c r="A708" s="147">
        <v>11</v>
      </c>
      <c r="B708" s="143" t="s">
        <v>1181</v>
      </c>
      <c r="C708" s="143" t="s">
        <v>1182</v>
      </c>
      <c r="D708" s="143" t="s">
        <v>1251</v>
      </c>
      <c r="E708" s="143" t="s">
        <v>1257</v>
      </c>
      <c r="F708" s="143">
        <v>1</v>
      </c>
      <c r="G708" s="143" t="s">
        <v>643</v>
      </c>
      <c r="H708" s="149">
        <v>1</v>
      </c>
      <c r="I708" s="150">
        <v>10000</v>
      </c>
      <c r="J708" s="151">
        <f t="shared" si="74"/>
        <v>10000</v>
      </c>
      <c r="K708" s="152"/>
    </row>
    <row r="709" spans="1:14" s="141" customFormat="1" ht="20.25" customHeight="1">
      <c r="A709" s="173">
        <v>12</v>
      </c>
      <c r="B709" s="143" t="s">
        <v>1181</v>
      </c>
      <c r="C709" s="143" t="s">
        <v>1182</v>
      </c>
      <c r="D709" s="143" t="s">
        <v>1253</v>
      </c>
      <c r="E709" s="143" t="s">
        <v>1258</v>
      </c>
      <c r="F709" s="143">
        <v>1</v>
      </c>
      <c r="G709" s="143" t="s">
        <v>1254</v>
      </c>
      <c r="H709" s="149">
        <v>1</v>
      </c>
      <c r="I709" s="150">
        <v>5000</v>
      </c>
      <c r="J709" s="151">
        <f t="shared" si="74"/>
        <v>5000</v>
      </c>
      <c r="K709" s="152"/>
    </row>
    <row r="710" spans="1:14" s="141" customFormat="1" ht="20.25" customHeight="1">
      <c r="A710" s="147">
        <v>13</v>
      </c>
      <c r="B710" s="143" t="s">
        <v>1181</v>
      </c>
      <c r="C710" s="143" t="s">
        <v>1182</v>
      </c>
      <c r="D710" s="143" t="s">
        <v>1011</v>
      </c>
      <c r="E710" s="148" t="s">
        <v>1241</v>
      </c>
      <c r="F710" s="143">
        <v>1</v>
      </c>
      <c r="G710" s="149" t="s">
        <v>1029</v>
      </c>
      <c r="H710" s="149">
        <v>1</v>
      </c>
      <c r="I710" s="157">
        <f>66590/3</f>
        <v>22196.666666666668</v>
      </c>
      <c r="J710" s="159">
        <f t="shared" si="74"/>
        <v>22196.666666666668</v>
      </c>
      <c r="K710" s="152"/>
    </row>
    <row r="711" spans="1:14" s="141" customFormat="1" ht="20.25" customHeight="1">
      <c r="A711" s="173">
        <v>14</v>
      </c>
      <c r="B711" s="143" t="s">
        <v>1181</v>
      </c>
      <c r="C711" s="143" t="s">
        <v>1182</v>
      </c>
      <c r="D711" s="143" t="s">
        <v>1011</v>
      </c>
      <c r="E711" s="148" t="s">
        <v>1118</v>
      </c>
      <c r="F711" s="143">
        <v>1</v>
      </c>
      <c r="G711" s="149" t="s">
        <v>1029</v>
      </c>
      <c r="H711" s="149">
        <v>1</v>
      </c>
      <c r="I711" s="157">
        <f>49425/3</f>
        <v>16475</v>
      </c>
      <c r="J711" s="159">
        <f t="shared" si="74"/>
        <v>16475</v>
      </c>
      <c r="K711" s="152"/>
    </row>
    <row r="712" spans="1:14" s="141" customFormat="1" ht="20.25" customHeight="1">
      <c r="A712" s="147">
        <v>15</v>
      </c>
      <c r="B712" s="143" t="s">
        <v>1181</v>
      </c>
      <c r="C712" s="143" t="s">
        <v>1182</v>
      </c>
      <c r="D712" s="143" t="s">
        <v>1011</v>
      </c>
      <c r="E712" s="148" t="s">
        <v>1040</v>
      </c>
      <c r="F712" s="143">
        <v>1</v>
      </c>
      <c r="G712" s="149" t="s">
        <v>1026</v>
      </c>
      <c r="H712" s="149">
        <v>1</v>
      </c>
      <c r="I712" s="157">
        <f>18222/3</f>
        <v>6074</v>
      </c>
      <c r="J712" s="159">
        <f t="shared" si="74"/>
        <v>6074</v>
      </c>
      <c r="K712" s="152"/>
      <c r="M712" s="185">
        <v>934545</v>
      </c>
      <c r="N712" s="186" t="s">
        <v>1302</v>
      </c>
    </row>
    <row r="713" spans="1:14" s="141" customFormat="1" ht="20.25" customHeight="1">
      <c r="A713" s="173">
        <v>16</v>
      </c>
      <c r="B713" s="143" t="s">
        <v>1181</v>
      </c>
      <c r="C713" s="143" t="s">
        <v>1182</v>
      </c>
      <c r="D713" s="143" t="s">
        <v>1050</v>
      </c>
      <c r="E713" s="148" t="s">
        <v>1051</v>
      </c>
      <c r="F713" s="143">
        <v>1</v>
      </c>
      <c r="G713" s="149" t="s">
        <v>1079</v>
      </c>
      <c r="H713" s="149">
        <v>1</v>
      </c>
      <c r="I713" s="157">
        <v>30000</v>
      </c>
      <c r="J713" s="159">
        <f t="shared" si="74"/>
        <v>30000</v>
      </c>
      <c r="K713" s="152"/>
      <c r="M713" s="154">
        <f>150000+100000</f>
        <v>250000</v>
      </c>
      <c r="N713" s="210" t="s">
        <v>1561</v>
      </c>
    </row>
    <row r="714" spans="1:14" s="141" customFormat="1" ht="20.25" customHeight="1">
      <c r="A714" s="147">
        <v>17</v>
      </c>
      <c r="B714" s="143" t="s">
        <v>1181</v>
      </c>
      <c r="C714" s="143" t="s">
        <v>1182</v>
      </c>
      <c r="D714" s="143" t="s">
        <v>1242</v>
      </c>
      <c r="E714" s="148" t="s">
        <v>1148</v>
      </c>
      <c r="F714" s="143">
        <v>1</v>
      </c>
      <c r="G714" s="149" t="s">
        <v>1147</v>
      </c>
      <c r="H714" s="149">
        <v>1</v>
      </c>
      <c r="I714" s="150">
        <v>4000</v>
      </c>
      <c r="J714" s="151">
        <f>H714*I714</f>
        <v>4000</v>
      </c>
      <c r="K714" s="152"/>
      <c r="M714" s="183">
        <f>L717*7%</f>
        <v>21457.496666666666</v>
      </c>
      <c r="N714" s="141" t="s">
        <v>1303</v>
      </c>
    </row>
    <row r="715" spans="1:14" s="141" customFormat="1" ht="20.25" customHeight="1">
      <c r="A715" s="173">
        <v>18</v>
      </c>
      <c r="B715" s="143" t="s">
        <v>1181</v>
      </c>
      <c r="C715" s="143" t="s">
        <v>1182</v>
      </c>
      <c r="D715" s="143" t="s">
        <v>1041</v>
      </c>
      <c r="E715" s="148" t="s">
        <v>1119</v>
      </c>
      <c r="F715" s="143">
        <v>1</v>
      </c>
      <c r="G715" s="143" t="s">
        <v>1024</v>
      </c>
      <c r="H715" s="149">
        <v>1</v>
      </c>
      <c r="I715" s="150">
        <v>800</v>
      </c>
      <c r="J715" s="151">
        <f>H715*I715</f>
        <v>800</v>
      </c>
      <c r="K715" s="152"/>
      <c r="M715" s="183">
        <f>(L717+M714)*20%</f>
        <v>65598.632666666657</v>
      </c>
      <c r="N715" s="141" t="s">
        <v>1304</v>
      </c>
    </row>
    <row r="716" spans="1:14" s="141" customFormat="1" ht="20.25" customHeight="1" thickBot="1">
      <c r="A716" s="147">
        <v>19</v>
      </c>
      <c r="B716" s="177" t="s">
        <v>1181</v>
      </c>
      <c r="C716" s="177" t="s">
        <v>1182</v>
      </c>
      <c r="D716" s="177" t="s">
        <v>1262</v>
      </c>
      <c r="E716" s="143" t="s">
        <v>1263</v>
      </c>
      <c r="F716" s="177">
        <v>1</v>
      </c>
      <c r="G716" s="177" t="s">
        <v>1116</v>
      </c>
      <c r="H716" s="178">
        <v>1</v>
      </c>
      <c r="I716" s="179">
        <v>700</v>
      </c>
      <c r="J716" s="180"/>
      <c r="K716" s="181"/>
      <c r="M716" s="183">
        <f>(L717+M714+M715)*25%</f>
        <v>98397.948999999979</v>
      </c>
      <c r="N716" s="141" t="s">
        <v>1305</v>
      </c>
    </row>
    <row r="717" spans="1:14" s="141" customFormat="1" ht="20.25" customHeight="1" thickBot="1">
      <c r="A717" s="160">
        <v>20</v>
      </c>
      <c r="B717" s="161" t="s">
        <v>1181</v>
      </c>
      <c r="C717" s="161" t="s">
        <v>1182</v>
      </c>
      <c r="D717" s="161" t="s">
        <v>1264</v>
      </c>
      <c r="E717" s="169" t="s">
        <v>1267</v>
      </c>
      <c r="F717" s="161">
        <v>1</v>
      </c>
      <c r="G717" s="161" t="s">
        <v>1266</v>
      </c>
      <c r="H717" s="162">
        <v>1</v>
      </c>
      <c r="I717" s="170">
        <v>1400</v>
      </c>
      <c r="J717" s="171">
        <f t="shared" ref="J717" si="75">H717*I717</f>
        <v>1400</v>
      </c>
      <c r="K717" s="163"/>
      <c r="L717" s="172">
        <f>SUM(J698:J717)</f>
        <v>306535.66666666663</v>
      </c>
      <c r="M717" s="184">
        <f>L717+M713+M714+M715+M716</f>
        <v>741989.745</v>
      </c>
      <c r="N717" s="141" t="s">
        <v>1307</v>
      </c>
    </row>
    <row r="718" spans="1:14" s="141" customFormat="1" ht="7.5" customHeight="1" thickBot="1">
      <c r="D718" s="164"/>
      <c r="E718" s="164"/>
      <c r="G718" s="165"/>
      <c r="H718" s="165"/>
      <c r="I718" s="167"/>
      <c r="J718" s="168"/>
    </row>
    <row r="719" spans="1:14" s="141" customFormat="1" ht="20.25" customHeight="1">
      <c r="A719" s="142">
        <v>1</v>
      </c>
      <c r="B719" s="144" t="s">
        <v>1247</v>
      </c>
      <c r="C719" s="144" t="s">
        <v>861</v>
      </c>
      <c r="D719" s="144" t="s">
        <v>1011</v>
      </c>
      <c r="E719" s="144" t="s">
        <v>1122</v>
      </c>
      <c r="F719" s="144">
        <v>1</v>
      </c>
      <c r="G719" s="145" t="s">
        <v>1012</v>
      </c>
      <c r="H719" s="145">
        <v>1</v>
      </c>
      <c r="I719" s="156">
        <f>200780/4</f>
        <v>50195</v>
      </c>
      <c r="J719" s="158">
        <f>H719*I719</f>
        <v>50195</v>
      </c>
      <c r="K719" s="146"/>
    </row>
    <row r="720" spans="1:14" s="141" customFormat="1" ht="20.25" customHeight="1">
      <c r="A720" s="173">
        <v>2</v>
      </c>
      <c r="B720" s="148" t="s">
        <v>1179</v>
      </c>
      <c r="C720" s="148" t="s">
        <v>1180</v>
      </c>
      <c r="D720" s="143" t="s">
        <v>1011</v>
      </c>
      <c r="E720" s="148" t="s">
        <v>1141</v>
      </c>
      <c r="F720" s="143">
        <v>1</v>
      </c>
      <c r="G720" s="149" t="s">
        <v>1012</v>
      </c>
      <c r="H720" s="149">
        <v>1</v>
      </c>
      <c r="I720" s="157">
        <f>88314/6</f>
        <v>14719</v>
      </c>
      <c r="J720" s="159">
        <f t="shared" ref="J720:J734" si="76">H720*I720</f>
        <v>14719</v>
      </c>
      <c r="K720" s="174"/>
    </row>
    <row r="721" spans="1:14" s="141" customFormat="1" ht="20.25" customHeight="1">
      <c r="A721" s="147">
        <v>3</v>
      </c>
      <c r="B721" s="143" t="s">
        <v>1179</v>
      </c>
      <c r="C721" s="143" t="s">
        <v>1180</v>
      </c>
      <c r="D721" s="143" t="s">
        <v>1011</v>
      </c>
      <c r="E721" s="148" t="s">
        <v>1155</v>
      </c>
      <c r="F721" s="143">
        <v>1</v>
      </c>
      <c r="G721" s="149" t="s">
        <v>1012</v>
      </c>
      <c r="H721" s="149">
        <v>1</v>
      </c>
      <c r="I721" s="157">
        <f>88314/1.5</f>
        <v>58876</v>
      </c>
      <c r="J721" s="159">
        <f t="shared" si="76"/>
        <v>58876</v>
      </c>
      <c r="K721" s="152"/>
    </row>
    <row r="722" spans="1:14" s="141" customFormat="1" ht="20.25" customHeight="1">
      <c r="A722" s="173">
        <v>4</v>
      </c>
      <c r="B722" s="143" t="s">
        <v>1179</v>
      </c>
      <c r="C722" s="143" t="s">
        <v>1180</v>
      </c>
      <c r="D722" s="143" t="s">
        <v>1013</v>
      </c>
      <c r="E722" s="148" t="s">
        <v>1143</v>
      </c>
      <c r="F722" s="143">
        <v>1</v>
      </c>
      <c r="G722" s="143" t="s">
        <v>1014</v>
      </c>
      <c r="H722" s="149">
        <v>1</v>
      </c>
      <c r="I722" s="157">
        <v>34000</v>
      </c>
      <c r="J722" s="159">
        <f t="shared" si="76"/>
        <v>34000</v>
      </c>
      <c r="K722" s="152"/>
    </row>
    <row r="723" spans="1:14" s="141" customFormat="1" ht="20.25" customHeight="1">
      <c r="A723" s="147">
        <v>5</v>
      </c>
      <c r="B723" s="143" t="s">
        <v>1179</v>
      </c>
      <c r="C723" s="143" t="s">
        <v>1180</v>
      </c>
      <c r="D723" s="143" t="s">
        <v>1015</v>
      </c>
      <c r="E723" s="148" t="s">
        <v>1144</v>
      </c>
      <c r="F723" s="143">
        <v>4</v>
      </c>
      <c r="G723" s="143" t="s">
        <v>1014</v>
      </c>
      <c r="H723" s="149">
        <v>4</v>
      </c>
      <c r="I723" s="157">
        <v>1700</v>
      </c>
      <c r="J723" s="159">
        <f t="shared" si="76"/>
        <v>6800</v>
      </c>
      <c r="K723" s="152"/>
    </row>
    <row r="724" spans="1:14" s="141" customFormat="1" ht="20.25" customHeight="1">
      <c r="A724" s="173">
        <v>6</v>
      </c>
      <c r="B724" s="143" t="s">
        <v>1179</v>
      </c>
      <c r="C724" s="143" t="s">
        <v>1180</v>
      </c>
      <c r="D724" s="143" t="s">
        <v>1020</v>
      </c>
      <c r="E724" s="143" t="s">
        <v>1138</v>
      </c>
      <c r="F724" s="143">
        <v>1</v>
      </c>
      <c r="G724" s="143" t="s">
        <v>1014</v>
      </c>
      <c r="H724" s="149">
        <v>1</v>
      </c>
      <c r="I724" s="150">
        <v>18000</v>
      </c>
      <c r="J724" s="151">
        <f t="shared" si="76"/>
        <v>18000</v>
      </c>
      <c r="K724" s="152"/>
    </row>
    <row r="725" spans="1:14" s="141" customFormat="1" ht="20.25" customHeight="1">
      <c r="A725" s="147">
        <v>7</v>
      </c>
      <c r="B725" s="143" t="s">
        <v>1179</v>
      </c>
      <c r="C725" s="143" t="s">
        <v>1180</v>
      </c>
      <c r="D725" s="143" t="s">
        <v>1021</v>
      </c>
      <c r="E725" s="143" t="s">
        <v>1138</v>
      </c>
      <c r="F725" s="143">
        <v>1</v>
      </c>
      <c r="G725" s="143" t="s">
        <v>1014</v>
      </c>
      <c r="H725" s="149">
        <v>1</v>
      </c>
      <c r="I725" s="150">
        <v>5000</v>
      </c>
      <c r="J725" s="151">
        <f t="shared" si="76"/>
        <v>5000</v>
      </c>
      <c r="K725" s="152"/>
    </row>
    <row r="726" spans="1:14" s="141" customFormat="1" ht="20.25" customHeight="1">
      <c r="A726" s="173">
        <v>8</v>
      </c>
      <c r="B726" s="143" t="s">
        <v>1179</v>
      </c>
      <c r="C726" s="143" t="s">
        <v>1180</v>
      </c>
      <c r="D726" s="143" t="s">
        <v>1145</v>
      </c>
      <c r="E726" s="143" t="s">
        <v>1146</v>
      </c>
      <c r="F726" s="143">
        <v>1</v>
      </c>
      <c r="G726" s="143" t="s">
        <v>1147</v>
      </c>
      <c r="H726" s="149">
        <v>1</v>
      </c>
      <c r="I726" s="150">
        <v>16000</v>
      </c>
      <c r="J726" s="151">
        <f t="shared" si="76"/>
        <v>16000</v>
      </c>
      <c r="K726" s="152"/>
    </row>
    <row r="727" spans="1:14" s="141" customFormat="1" ht="20.25" customHeight="1">
      <c r="A727" s="147">
        <v>9</v>
      </c>
      <c r="B727" s="143" t="s">
        <v>1179</v>
      </c>
      <c r="C727" s="143" t="s">
        <v>1180</v>
      </c>
      <c r="D727" s="143" t="s">
        <v>1023</v>
      </c>
      <c r="E727" s="143" t="s">
        <v>1150</v>
      </c>
      <c r="F727" s="143">
        <v>1</v>
      </c>
      <c r="G727" s="143" t="s">
        <v>1024</v>
      </c>
      <c r="H727" s="149">
        <v>1</v>
      </c>
      <c r="I727" s="150">
        <v>5000</v>
      </c>
      <c r="J727" s="151">
        <f t="shared" si="76"/>
        <v>5000</v>
      </c>
      <c r="K727" s="152"/>
    </row>
    <row r="728" spans="1:14" s="141" customFormat="1" ht="20.25" customHeight="1">
      <c r="A728" s="173">
        <v>10</v>
      </c>
      <c r="B728" s="143" t="s">
        <v>1179</v>
      </c>
      <c r="C728" s="143" t="s">
        <v>1180</v>
      </c>
      <c r="D728" s="143" t="s">
        <v>1129</v>
      </c>
      <c r="E728" s="143" t="s">
        <v>1148</v>
      </c>
      <c r="F728" s="143">
        <v>1</v>
      </c>
      <c r="G728" s="143" t="s">
        <v>1116</v>
      </c>
      <c r="H728" s="149">
        <v>1</v>
      </c>
      <c r="I728" s="150">
        <v>2000</v>
      </c>
      <c r="J728" s="151">
        <f t="shared" si="76"/>
        <v>2000</v>
      </c>
      <c r="K728" s="152"/>
    </row>
    <row r="729" spans="1:14" s="141" customFormat="1" ht="20.25" customHeight="1">
      <c r="A729" s="147">
        <v>11</v>
      </c>
      <c r="B729" s="143" t="s">
        <v>1179</v>
      </c>
      <c r="C729" s="143" t="s">
        <v>1180</v>
      </c>
      <c r="D729" s="143" t="s">
        <v>1022</v>
      </c>
      <c r="E729" s="143" t="s">
        <v>1308</v>
      </c>
      <c r="F729" s="143">
        <v>1</v>
      </c>
      <c r="G729" s="143" t="s">
        <v>1053</v>
      </c>
      <c r="H729" s="149">
        <v>1</v>
      </c>
      <c r="I729" s="150">
        <v>10000</v>
      </c>
      <c r="J729" s="151">
        <f t="shared" si="76"/>
        <v>10000</v>
      </c>
      <c r="K729" s="152"/>
    </row>
    <row r="730" spans="1:14" s="141" customFormat="1" ht="20.25" customHeight="1">
      <c r="A730" s="173">
        <v>12</v>
      </c>
      <c r="B730" s="143" t="s">
        <v>1179</v>
      </c>
      <c r="C730" s="143" t="s">
        <v>1180</v>
      </c>
      <c r="D730" s="143" t="s">
        <v>1025</v>
      </c>
      <c r="E730" s="143" t="s">
        <v>1148</v>
      </c>
      <c r="F730" s="143">
        <v>1</v>
      </c>
      <c r="G730" s="143" t="s">
        <v>1026</v>
      </c>
      <c r="H730" s="149">
        <v>1</v>
      </c>
      <c r="I730" s="150">
        <v>5000</v>
      </c>
      <c r="J730" s="151">
        <f t="shared" si="76"/>
        <v>5000</v>
      </c>
      <c r="K730" s="152"/>
    </row>
    <row r="731" spans="1:14" s="141" customFormat="1" ht="20.25" customHeight="1">
      <c r="A731" s="147">
        <v>13</v>
      </c>
      <c r="B731" s="143" t="s">
        <v>1179</v>
      </c>
      <c r="C731" s="143" t="s">
        <v>1180</v>
      </c>
      <c r="D731" s="143" t="s">
        <v>1011</v>
      </c>
      <c r="E731" s="148" t="s">
        <v>1241</v>
      </c>
      <c r="F731" s="143">
        <v>2</v>
      </c>
      <c r="G731" s="149" t="s">
        <v>1029</v>
      </c>
      <c r="H731" s="149">
        <v>2</v>
      </c>
      <c r="I731" s="157">
        <f>66590/3</f>
        <v>22196.666666666668</v>
      </c>
      <c r="J731" s="159">
        <f t="shared" si="76"/>
        <v>44393.333333333336</v>
      </c>
      <c r="K731" s="152"/>
    </row>
    <row r="732" spans="1:14" s="141" customFormat="1" ht="20.25" customHeight="1">
      <c r="A732" s="173">
        <v>14</v>
      </c>
      <c r="B732" s="143" t="s">
        <v>1179</v>
      </c>
      <c r="C732" s="143" t="s">
        <v>1180</v>
      </c>
      <c r="D732" s="143" t="s">
        <v>1011</v>
      </c>
      <c r="E732" s="148" t="s">
        <v>1118</v>
      </c>
      <c r="F732" s="143">
        <v>2</v>
      </c>
      <c r="G732" s="149" t="s">
        <v>1029</v>
      </c>
      <c r="H732" s="149">
        <v>2</v>
      </c>
      <c r="I732" s="157">
        <f>49425/3</f>
        <v>16475</v>
      </c>
      <c r="J732" s="159">
        <f t="shared" si="76"/>
        <v>32950</v>
      </c>
      <c r="K732" s="152"/>
    </row>
    <row r="733" spans="1:14" s="141" customFormat="1" ht="20.25" customHeight="1">
      <c r="A733" s="147">
        <v>15</v>
      </c>
      <c r="B733" s="143" t="s">
        <v>1179</v>
      </c>
      <c r="C733" s="143" t="s">
        <v>1180</v>
      </c>
      <c r="D733" s="143" t="s">
        <v>1011</v>
      </c>
      <c r="E733" s="148" t="s">
        <v>1040</v>
      </c>
      <c r="F733" s="143">
        <v>2</v>
      </c>
      <c r="G733" s="149" t="s">
        <v>1026</v>
      </c>
      <c r="H733" s="149">
        <v>2</v>
      </c>
      <c r="I733" s="157">
        <f>18222/3</f>
        <v>6074</v>
      </c>
      <c r="J733" s="159">
        <f t="shared" si="76"/>
        <v>12148</v>
      </c>
      <c r="K733" s="152"/>
      <c r="M733" s="185">
        <v>1020000</v>
      </c>
      <c r="N733" s="186" t="s">
        <v>1302</v>
      </c>
    </row>
    <row r="734" spans="1:14" s="141" customFormat="1" ht="20.25" customHeight="1">
      <c r="A734" s="173">
        <v>16</v>
      </c>
      <c r="B734" s="143" t="s">
        <v>1179</v>
      </c>
      <c r="C734" s="143" t="s">
        <v>1180</v>
      </c>
      <c r="D734" s="143" t="s">
        <v>1050</v>
      </c>
      <c r="E734" s="148" t="s">
        <v>1051</v>
      </c>
      <c r="F734" s="143">
        <v>2</v>
      </c>
      <c r="G734" s="149" t="s">
        <v>1079</v>
      </c>
      <c r="H734" s="149">
        <v>2</v>
      </c>
      <c r="I734" s="157">
        <v>30000</v>
      </c>
      <c r="J734" s="159">
        <f t="shared" si="76"/>
        <v>60000</v>
      </c>
      <c r="K734" s="152"/>
      <c r="M734" s="154">
        <f>150000+100000</f>
        <v>250000</v>
      </c>
      <c r="N734" s="210" t="s">
        <v>1561</v>
      </c>
    </row>
    <row r="735" spans="1:14" s="141" customFormat="1" ht="20.25" customHeight="1">
      <c r="A735" s="147">
        <v>17</v>
      </c>
      <c r="B735" s="143" t="s">
        <v>1179</v>
      </c>
      <c r="C735" s="143" t="s">
        <v>1180</v>
      </c>
      <c r="D735" s="143" t="s">
        <v>1242</v>
      </c>
      <c r="E735" s="148" t="s">
        <v>1148</v>
      </c>
      <c r="F735" s="143">
        <v>2</v>
      </c>
      <c r="G735" s="149" t="s">
        <v>1147</v>
      </c>
      <c r="H735" s="149">
        <v>2</v>
      </c>
      <c r="I735" s="150">
        <v>4000</v>
      </c>
      <c r="J735" s="151">
        <f>H735*I735</f>
        <v>8000</v>
      </c>
      <c r="K735" s="152"/>
      <c r="M735" s="183">
        <f>L738*7%</f>
        <v>27123.693333333336</v>
      </c>
      <c r="N735" s="141" t="s">
        <v>1303</v>
      </c>
    </row>
    <row r="736" spans="1:14" s="141" customFormat="1" ht="20.25" customHeight="1">
      <c r="A736" s="173">
        <v>18</v>
      </c>
      <c r="B736" s="143" t="s">
        <v>1179</v>
      </c>
      <c r="C736" s="143" t="s">
        <v>1180</v>
      </c>
      <c r="D736" s="143" t="s">
        <v>1041</v>
      </c>
      <c r="E736" s="148" t="s">
        <v>1119</v>
      </c>
      <c r="F736" s="143">
        <v>2</v>
      </c>
      <c r="G736" s="143" t="s">
        <v>1024</v>
      </c>
      <c r="H736" s="149">
        <v>2</v>
      </c>
      <c r="I736" s="150">
        <v>800</v>
      </c>
      <c r="J736" s="151">
        <f>H736*I736</f>
        <v>1600</v>
      </c>
      <c r="K736" s="152"/>
      <c r="M736" s="183">
        <f>(L738+M735)*20%</f>
        <v>82921.005333333334</v>
      </c>
      <c r="N736" s="141" t="s">
        <v>1304</v>
      </c>
    </row>
    <row r="737" spans="1:14" s="141" customFormat="1" ht="20.25" customHeight="1" thickBot="1">
      <c r="A737" s="147">
        <v>19</v>
      </c>
      <c r="B737" s="177" t="s">
        <v>1179</v>
      </c>
      <c r="C737" s="177" t="s">
        <v>1180</v>
      </c>
      <c r="D737" s="177" t="s">
        <v>1262</v>
      </c>
      <c r="E737" s="143" t="s">
        <v>1263</v>
      </c>
      <c r="F737" s="177">
        <v>2</v>
      </c>
      <c r="G737" s="177" t="s">
        <v>1116</v>
      </c>
      <c r="H737" s="178">
        <v>2</v>
      </c>
      <c r="I737" s="179">
        <v>700</v>
      </c>
      <c r="J737" s="151">
        <f>H737*I737</f>
        <v>1400</v>
      </c>
      <c r="K737" s="181"/>
      <c r="M737" s="183">
        <f>(L738+M735+M736)*25%</f>
        <v>124381.508</v>
      </c>
      <c r="N737" s="141" t="s">
        <v>1305</v>
      </c>
    </row>
    <row r="738" spans="1:14" s="141" customFormat="1" ht="20.25" customHeight="1" thickBot="1">
      <c r="A738" s="160">
        <v>20</v>
      </c>
      <c r="B738" s="161" t="s">
        <v>1179</v>
      </c>
      <c r="C738" s="161" t="s">
        <v>1180</v>
      </c>
      <c r="D738" s="161" t="s">
        <v>1264</v>
      </c>
      <c r="E738" s="169" t="s">
        <v>1267</v>
      </c>
      <c r="F738" s="161">
        <v>1</v>
      </c>
      <c r="G738" s="161" t="s">
        <v>1266</v>
      </c>
      <c r="H738" s="162">
        <v>1</v>
      </c>
      <c r="I738" s="170">
        <v>1400</v>
      </c>
      <c r="J738" s="171">
        <f t="shared" ref="J738" si="77">H738*I738</f>
        <v>1400</v>
      </c>
      <c r="K738" s="163"/>
      <c r="L738" s="172">
        <f>SUM(J719:J738)</f>
        <v>387481.33333333331</v>
      </c>
      <c r="M738" s="184">
        <f>L738+M734+M735+M736+M737</f>
        <v>871907.53999999992</v>
      </c>
      <c r="N738" s="141" t="s">
        <v>1307</v>
      </c>
    </row>
  </sheetData>
  <mergeCells count="75">
    <mergeCell ref="E19:I19"/>
    <mergeCell ref="J19:K19"/>
    <mergeCell ref="E13:I13"/>
    <mergeCell ref="J13:K13"/>
    <mergeCell ref="J37:K37"/>
    <mergeCell ref="E35:I35"/>
    <mergeCell ref="E36:I36"/>
    <mergeCell ref="E23:I23"/>
    <mergeCell ref="E24:I24"/>
    <mergeCell ref="E25:I25"/>
    <mergeCell ref="J32:K32"/>
    <mergeCell ref="J33:K33"/>
    <mergeCell ref="J34:K34"/>
    <mergeCell ref="J35:K35"/>
    <mergeCell ref="E21:I21"/>
    <mergeCell ref="J21:K21"/>
    <mergeCell ref="E38:I38"/>
    <mergeCell ref="J38:K38"/>
    <mergeCell ref="J22:K22"/>
    <mergeCell ref="E37:I37"/>
    <mergeCell ref="J29:K29"/>
    <mergeCell ref="J30:K30"/>
    <mergeCell ref="E22:I22"/>
    <mergeCell ref="J25:K25"/>
    <mergeCell ref="J26:K26"/>
    <mergeCell ref="J27:K27"/>
    <mergeCell ref="J28:K28"/>
    <mergeCell ref="J36:K36"/>
    <mergeCell ref="E31:I31"/>
    <mergeCell ref="E32:I32"/>
    <mergeCell ref="E33:I33"/>
    <mergeCell ref="E34:I34"/>
    <mergeCell ref="J31:K31"/>
    <mergeCell ref="E26:I26"/>
    <mergeCell ref="E27:I27"/>
    <mergeCell ref="E28:I28"/>
    <mergeCell ref="E29:I29"/>
    <mergeCell ref="E30:I30"/>
    <mergeCell ref="E6:I6"/>
    <mergeCell ref="J6:K6"/>
    <mergeCell ref="E7:I7"/>
    <mergeCell ref="J7:K7"/>
    <mergeCell ref="E12:I12"/>
    <mergeCell ref="J12:K12"/>
    <mergeCell ref="E8:I8"/>
    <mergeCell ref="E9:I9"/>
    <mergeCell ref="E10:I10"/>
    <mergeCell ref="E11:I11"/>
    <mergeCell ref="J8:K8"/>
    <mergeCell ref="J9:K9"/>
    <mergeCell ref="J10:K10"/>
    <mergeCell ref="J11:K11"/>
    <mergeCell ref="E5:I5"/>
    <mergeCell ref="J5:K5"/>
    <mergeCell ref="E1:I1"/>
    <mergeCell ref="E3:I3"/>
    <mergeCell ref="J3:K3"/>
    <mergeCell ref="E4:I4"/>
    <mergeCell ref="J4:K4"/>
    <mergeCell ref="E39:I39"/>
    <mergeCell ref="J39:K39"/>
    <mergeCell ref="E14:I14"/>
    <mergeCell ref="J14:K14"/>
    <mergeCell ref="E18:I18"/>
    <mergeCell ref="J18:K18"/>
    <mergeCell ref="E20:I20"/>
    <mergeCell ref="J20:K20"/>
    <mergeCell ref="E15:I15"/>
    <mergeCell ref="E16:I16"/>
    <mergeCell ref="E17:I17"/>
    <mergeCell ref="J15:K15"/>
    <mergeCell ref="J16:K16"/>
    <mergeCell ref="J17:K17"/>
    <mergeCell ref="J23:K23"/>
    <mergeCell ref="J24:K24"/>
  </mergeCells>
  <phoneticPr fontId="1" type="noConversion"/>
  <pageMargins left="0" right="0.70866141732283472" top="0.15748031496062992" bottom="0" header="0.31496062992125984" footer="0.31496062992125984"/>
  <pageSetup paperSize="9" scale="55" orientation="landscape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2"/>
  <sheetViews>
    <sheetView zoomScale="90" zoomScaleNormal="90" workbookViewId="0">
      <selection activeCell="M258" sqref="M258"/>
    </sheetView>
  </sheetViews>
  <sheetFormatPr defaultColWidth="9" defaultRowHeight="17.5"/>
  <cols>
    <col min="1" max="1" width="3.5" style="175" customWidth="1"/>
    <col min="2" max="2" width="12.58203125" style="175" customWidth="1"/>
    <col min="3" max="3" width="15" style="175" customWidth="1"/>
    <col min="4" max="4" width="27.5" style="175" customWidth="1"/>
    <col min="5" max="5" width="51.75" style="175" customWidth="1"/>
    <col min="6" max="6" width="5.5" style="175" customWidth="1"/>
    <col min="7" max="7" width="24.58203125" style="175" customWidth="1"/>
    <col min="8" max="8" width="9" style="175" customWidth="1"/>
    <col min="9" max="9" width="11.25" style="175" customWidth="1"/>
    <col min="10" max="10" width="13.83203125" style="175" customWidth="1"/>
    <col min="11" max="11" width="12.83203125" style="175" customWidth="1"/>
    <col min="12" max="12" width="13.83203125" style="175" customWidth="1"/>
    <col min="13" max="13" width="14.08203125" style="175" customWidth="1"/>
    <col min="14" max="14" width="26.33203125" style="175" customWidth="1"/>
    <col min="15" max="16384" width="9" style="175"/>
  </cols>
  <sheetData>
    <row r="1" spans="5:11" s="141" customFormat="1" ht="33.75" customHeight="1">
      <c r="E1" s="342" t="s">
        <v>1191</v>
      </c>
      <c r="F1" s="342"/>
      <c r="G1" s="342"/>
      <c r="H1" s="342"/>
      <c r="I1" s="342"/>
      <c r="J1" s="153"/>
    </row>
    <row r="2" spans="5:11" s="141" customFormat="1">
      <c r="I2" s="154"/>
    </row>
    <row r="3" spans="5:11" s="155" customFormat="1" ht="12.75" customHeight="1">
      <c r="E3" s="339" t="s">
        <v>1032</v>
      </c>
      <c r="F3" s="339"/>
      <c r="G3" s="339"/>
      <c r="H3" s="339"/>
      <c r="I3" s="339"/>
      <c r="J3" s="340" t="s">
        <v>1033</v>
      </c>
      <c r="K3" s="341"/>
    </row>
    <row r="4" spans="5:11" s="155" customFormat="1" ht="12.75" hidden="1" customHeight="1">
      <c r="E4" s="339" t="s">
        <v>988</v>
      </c>
      <c r="F4" s="339"/>
      <c r="G4" s="339"/>
      <c r="H4" s="339"/>
      <c r="I4" s="339"/>
      <c r="J4" s="340">
        <v>1</v>
      </c>
      <c r="K4" s="341"/>
    </row>
    <row r="5" spans="5:11" s="155" customFormat="1" ht="12.75" hidden="1" customHeight="1">
      <c r="E5" s="339" t="s">
        <v>989</v>
      </c>
      <c r="F5" s="339"/>
      <c r="G5" s="339"/>
      <c r="H5" s="339"/>
      <c r="I5" s="339"/>
      <c r="J5" s="340">
        <v>1</v>
      </c>
      <c r="K5" s="341"/>
    </row>
    <row r="6" spans="5:11" s="155" customFormat="1" ht="12.75" hidden="1" customHeight="1">
      <c r="E6" s="339" t="s">
        <v>990</v>
      </c>
      <c r="F6" s="339"/>
      <c r="G6" s="339"/>
      <c r="H6" s="339"/>
      <c r="I6" s="339"/>
      <c r="J6" s="340">
        <v>1</v>
      </c>
      <c r="K6" s="341"/>
    </row>
    <row r="7" spans="5:11" s="155" customFormat="1" ht="12.75" hidden="1" customHeight="1">
      <c r="E7" s="339" t="s">
        <v>991</v>
      </c>
      <c r="F7" s="339"/>
      <c r="G7" s="339"/>
      <c r="H7" s="339"/>
      <c r="I7" s="339"/>
      <c r="J7" s="340">
        <v>1</v>
      </c>
      <c r="K7" s="341"/>
    </row>
    <row r="8" spans="5:11" s="155" customFormat="1" ht="12.75" hidden="1" customHeight="1">
      <c r="E8" s="339" t="s">
        <v>992</v>
      </c>
      <c r="F8" s="339"/>
      <c r="G8" s="339"/>
      <c r="H8" s="339"/>
      <c r="I8" s="339"/>
      <c r="J8" s="340">
        <v>1</v>
      </c>
      <c r="K8" s="341"/>
    </row>
    <row r="9" spans="5:11" s="155" customFormat="1" ht="12.75" hidden="1" customHeight="1">
      <c r="E9" s="339" t="s">
        <v>993</v>
      </c>
      <c r="F9" s="339"/>
      <c r="G9" s="339"/>
      <c r="H9" s="339"/>
      <c r="I9" s="339"/>
      <c r="J9" s="340">
        <v>1</v>
      </c>
      <c r="K9" s="341"/>
    </row>
    <row r="10" spans="5:11" s="155" customFormat="1" ht="12.75" hidden="1" customHeight="1">
      <c r="E10" s="339" t="s">
        <v>994</v>
      </c>
      <c r="F10" s="339"/>
      <c r="G10" s="339"/>
      <c r="H10" s="339"/>
      <c r="I10" s="339"/>
      <c r="J10" s="340">
        <v>1</v>
      </c>
      <c r="K10" s="341"/>
    </row>
    <row r="11" spans="5:11" s="155" customFormat="1" ht="12.75" hidden="1" customHeight="1">
      <c r="E11" s="339" t="s">
        <v>995</v>
      </c>
      <c r="F11" s="339"/>
      <c r="G11" s="339"/>
      <c r="H11" s="339"/>
      <c r="I11" s="339"/>
      <c r="J11" s="340">
        <v>1</v>
      </c>
      <c r="K11" s="341"/>
    </row>
    <row r="12" spans="5:11" s="155" customFormat="1" ht="12.75" hidden="1" customHeight="1">
      <c r="E12" s="339" t="s">
        <v>996</v>
      </c>
      <c r="F12" s="339"/>
      <c r="G12" s="339"/>
      <c r="H12" s="339"/>
      <c r="I12" s="339"/>
      <c r="J12" s="340">
        <v>1</v>
      </c>
      <c r="K12" s="341"/>
    </row>
    <row r="13" spans="5:11" s="155" customFormat="1" ht="12.75" hidden="1" customHeight="1">
      <c r="E13" s="339" t="s">
        <v>997</v>
      </c>
      <c r="F13" s="339"/>
      <c r="G13" s="339"/>
      <c r="H13" s="339"/>
      <c r="I13" s="339"/>
      <c r="J13" s="340">
        <v>1</v>
      </c>
      <c r="K13" s="341"/>
    </row>
    <row r="14" spans="5:11" s="155" customFormat="1" ht="12.75" hidden="1" customHeight="1">
      <c r="E14" s="339" t="s">
        <v>998</v>
      </c>
      <c r="F14" s="339"/>
      <c r="G14" s="339"/>
      <c r="H14" s="339"/>
      <c r="I14" s="339"/>
      <c r="J14" s="340">
        <v>1</v>
      </c>
      <c r="K14" s="341"/>
    </row>
    <row r="15" spans="5:11" s="155" customFormat="1" ht="12.75" hidden="1" customHeight="1">
      <c r="E15" s="339" t="s">
        <v>999</v>
      </c>
      <c r="F15" s="339"/>
      <c r="G15" s="339"/>
      <c r="H15" s="339"/>
      <c r="I15" s="339"/>
      <c r="J15" s="340">
        <v>1</v>
      </c>
      <c r="K15" s="341"/>
    </row>
    <row r="16" spans="5:11" s="155" customFormat="1" ht="12.75" customHeight="1">
      <c r="E16" s="339" t="s">
        <v>265</v>
      </c>
      <c r="F16" s="339"/>
      <c r="G16" s="339"/>
      <c r="H16" s="339"/>
      <c r="I16" s="339"/>
      <c r="J16" s="340">
        <f>SUM(J4:K15)</f>
        <v>12</v>
      </c>
      <c r="K16" s="341"/>
    </row>
    <row r="17" spans="1:14" s="141" customFormat="1" ht="12" customHeight="1">
      <c r="I17" s="154"/>
    </row>
    <row r="18" spans="1:14" ht="9.75" customHeight="1" thickBot="1"/>
    <row r="19" spans="1:14" s="141" customFormat="1" ht="18" thickBot="1">
      <c r="A19" s="137" t="s">
        <v>80</v>
      </c>
      <c r="B19" s="138" t="s">
        <v>1003</v>
      </c>
      <c r="C19" s="138" t="s">
        <v>1004</v>
      </c>
      <c r="D19" s="138" t="s">
        <v>1005</v>
      </c>
      <c r="E19" s="138" t="s">
        <v>1006</v>
      </c>
      <c r="F19" s="138" t="s">
        <v>1007</v>
      </c>
      <c r="G19" s="138" t="s">
        <v>1008</v>
      </c>
      <c r="H19" s="138" t="s">
        <v>1009</v>
      </c>
      <c r="I19" s="139" t="s">
        <v>1010</v>
      </c>
      <c r="J19" s="138" t="s">
        <v>1030</v>
      </c>
      <c r="K19" s="140" t="s">
        <v>1031</v>
      </c>
    </row>
    <row r="20" spans="1:14" s="141" customFormat="1" ht="20.25" customHeight="1">
      <c r="A20" s="142">
        <v>1</v>
      </c>
      <c r="B20" s="144" t="s">
        <v>1190</v>
      </c>
      <c r="C20" s="144" t="s">
        <v>992</v>
      </c>
      <c r="D20" s="144" t="s">
        <v>1197</v>
      </c>
      <c r="E20" s="144" t="s">
        <v>1000</v>
      </c>
      <c r="F20" s="144">
        <v>1</v>
      </c>
      <c r="G20" s="145" t="s">
        <v>1189</v>
      </c>
      <c r="H20" s="145">
        <v>1</v>
      </c>
      <c r="I20" s="156">
        <f>141000/2</f>
        <v>70500</v>
      </c>
      <c r="J20" s="158">
        <f>H20*I20</f>
        <v>70500</v>
      </c>
      <c r="K20" s="146"/>
    </row>
    <row r="21" spans="1:14" s="141" customFormat="1" ht="20.25" customHeight="1">
      <c r="A21" s="147">
        <v>2</v>
      </c>
      <c r="B21" s="143" t="s">
        <v>1188</v>
      </c>
      <c r="C21" s="143" t="s">
        <v>1187</v>
      </c>
      <c r="D21" s="143" t="s">
        <v>1198</v>
      </c>
      <c r="E21" s="148" t="s">
        <v>1192</v>
      </c>
      <c r="F21" s="143">
        <v>1</v>
      </c>
      <c r="G21" s="149" t="s">
        <v>1194</v>
      </c>
      <c r="H21" s="149">
        <v>1</v>
      </c>
      <c r="I21" s="157">
        <f>63380/1.5</f>
        <v>42253.333333333336</v>
      </c>
      <c r="J21" s="159">
        <f>H21*I21</f>
        <v>42253.333333333336</v>
      </c>
      <c r="K21" s="152"/>
    </row>
    <row r="22" spans="1:14" s="141" customFormat="1" ht="20.25" customHeight="1">
      <c r="A22" s="147">
        <v>3</v>
      </c>
      <c r="B22" s="143" t="s">
        <v>1188</v>
      </c>
      <c r="C22" s="143" t="s">
        <v>1187</v>
      </c>
      <c r="D22" s="143" t="s">
        <v>1198</v>
      </c>
      <c r="E22" s="148" t="s">
        <v>1193</v>
      </c>
      <c r="F22" s="143">
        <v>1</v>
      </c>
      <c r="G22" s="149" t="s">
        <v>1194</v>
      </c>
      <c r="H22" s="149">
        <v>1</v>
      </c>
      <c r="I22" s="157">
        <f>63380/5</f>
        <v>12676</v>
      </c>
      <c r="J22" s="159">
        <f t="shared" ref="J22:J34" si="0">H22*I22</f>
        <v>12676</v>
      </c>
      <c r="K22" s="152"/>
    </row>
    <row r="23" spans="1:14" s="141" customFormat="1" ht="20.25" customHeight="1">
      <c r="A23" s="147">
        <v>4</v>
      </c>
      <c r="B23" s="143" t="s">
        <v>1188</v>
      </c>
      <c r="C23" s="143" t="s">
        <v>1187</v>
      </c>
      <c r="D23" s="143" t="s">
        <v>1013</v>
      </c>
      <c r="E23" s="148" t="s">
        <v>1034</v>
      </c>
      <c r="F23" s="143">
        <v>1</v>
      </c>
      <c r="G23" s="143" t="s">
        <v>1014</v>
      </c>
      <c r="H23" s="149">
        <v>1</v>
      </c>
      <c r="I23" s="157">
        <v>33000</v>
      </c>
      <c r="J23" s="159">
        <f t="shared" si="0"/>
        <v>33000</v>
      </c>
      <c r="K23" s="152"/>
    </row>
    <row r="24" spans="1:14" s="141" customFormat="1" ht="20.25" customHeight="1">
      <c r="A24" s="147">
        <v>5</v>
      </c>
      <c r="B24" s="143" t="s">
        <v>1188</v>
      </c>
      <c r="C24" s="143" t="s">
        <v>1187</v>
      </c>
      <c r="D24" s="143" t="s">
        <v>1015</v>
      </c>
      <c r="E24" s="148" t="s">
        <v>1044</v>
      </c>
      <c r="F24" s="143">
        <v>4</v>
      </c>
      <c r="G24" s="143" t="s">
        <v>1014</v>
      </c>
      <c r="H24" s="149">
        <v>4</v>
      </c>
      <c r="I24" s="157">
        <v>1500</v>
      </c>
      <c r="J24" s="159">
        <f t="shared" si="0"/>
        <v>6000</v>
      </c>
      <c r="K24" s="152"/>
    </row>
    <row r="25" spans="1:14" s="141" customFormat="1" ht="20.25" customHeight="1">
      <c r="A25" s="147">
        <v>6</v>
      </c>
      <c r="B25" s="143" t="s">
        <v>1188</v>
      </c>
      <c r="C25" s="143" t="s">
        <v>1187</v>
      </c>
      <c r="D25" s="143" t="s">
        <v>1020</v>
      </c>
      <c r="E25" s="143" t="s">
        <v>1196</v>
      </c>
      <c r="F25" s="143">
        <v>1</v>
      </c>
      <c r="G25" s="143" t="s">
        <v>1014</v>
      </c>
      <c r="H25" s="149">
        <v>1</v>
      </c>
      <c r="I25" s="150">
        <v>9000</v>
      </c>
      <c r="J25" s="151">
        <f t="shared" si="0"/>
        <v>9000</v>
      </c>
      <c r="K25" s="152"/>
    </row>
    <row r="26" spans="1:14" s="141" customFormat="1" ht="20.25" customHeight="1">
      <c r="A26" s="147">
        <v>7</v>
      </c>
      <c r="B26" s="143" t="s">
        <v>1188</v>
      </c>
      <c r="C26" s="143" t="s">
        <v>1187</v>
      </c>
      <c r="D26" s="143" t="s">
        <v>1021</v>
      </c>
      <c r="E26" s="143" t="s">
        <v>1196</v>
      </c>
      <c r="F26" s="143">
        <v>1</v>
      </c>
      <c r="G26" s="143" t="s">
        <v>1014</v>
      </c>
      <c r="H26" s="149">
        <v>1</v>
      </c>
      <c r="I26" s="150">
        <v>3500</v>
      </c>
      <c r="J26" s="151">
        <f t="shared" si="0"/>
        <v>3500</v>
      </c>
      <c r="K26" s="152"/>
    </row>
    <row r="27" spans="1:14" s="141" customFormat="1" ht="20.25" customHeight="1">
      <c r="A27" s="147">
        <v>8</v>
      </c>
      <c r="B27" s="143" t="s">
        <v>1188</v>
      </c>
      <c r="C27" s="143" t="s">
        <v>1187</v>
      </c>
      <c r="D27" s="143" t="s">
        <v>1129</v>
      </c>
      <c r="E27" s="143" t="s">
        <v>1195</v>
      </c>
      <c r="F27" s="143">
        <v>1</v>
      </c>
      <c r="G27" s="143" t="s">
        <v>1024</v>
      </c>
      <c r="H27" s="149">
        <v>1</v>
      </c>
      <c r="I27" s="150">
        <v>2500</v>
      </c>
      <c r="J27" s="151">
        <f t="shared" si="0"/>
        <v>2500</v>
      </c>
      <c r="K27" s="152"/>
    </row>
    <row r="28" spans="1:14" s="141" customFormat="1" ht="20.25" customHeight="1">
      <c r="A28" s="147">
        <v>9</v>
      </c>
      <c r="B28" s="143" t="s">
        <v>1188</v>
      </c>
      <c r="C28" s="143" t="s">
        <v>1187</v>
      </c>
      <c r="D28" s="143" t="s">
        <v>1016</v>
      </c>
      <c r="E28" s="143" t="s">
        <v>1195</v>
      </c>
      <c r="F28" s="143">
        <v>1</v>
      </c>
      <c r="G28" s="143" t="s">
        <v>1017</v>
      </c>
      <c r="H28" s="149">
        <v>1</v>
      </c>
      <c r="I28" s="150">
        <v>32000</v>
      </c>
      <c r="J28" s="151">
        <f t="shared" si="0"/>
        <v>32000</v>
      </c>
      <c r="K28" s="152"/>
    </row>
    <row r="29" spans="1:14" s="141" customFormat="1" ht="20.25" customHeight="1">
      <c r="A29" s="147">
        <v>10</v>
      </c>
      <c r="B29" s="143" t="s">
        <v>1188</v>
      </c>
      <c r="C29" s="143" t="s">
        <v>1187</v>
      </c>
      <c r="D29" s="143" t="s">
        <v>1018</v>
      </c>
      <c r="E29" s="143" t="s">
        <v>1196</v>
      </c>
      <c r="F29" s="143">
        <v>1</v>
      </c>
      <c r="G29" s="143" t="s">
        <v>1019</v>
      </c>
      <c r="H29" s="149">
        <v>1</v>
      </c>
      <c r="I29" s="150">
        <v>14100</v>
      </c>
      <c r="J29" s="151">
        <f t="shared" si="0"/>
        <v>14100</v>
      </c>
      <c r="K29" s="152"/>
    </row>
    <row r="30" spans="1:14" s="141" customFormat="1" ht="20.25" customHeight="1">
      <c r="A30" s="147">
        <v>11</v>
      </c>
      <c r="B30" s="143" t="s">
        <v>1188</v>
      </c>
      <c r="C30" s="143" t="s">
        <v>1187</v>
      </c>
      <c r="D30" s="143" t="s">
        <v>1022</v>
      </c>
      <c r="E30" s="143" t="s">
        <v>1259</v>
      </c>
      <c r="F30" s="143">
        <v>1</v>
      </c>
      <c r="G30" s="143" t="s">
        <v>1053</v>
      </c>
      <c r="H30" s="149">
        <v>1</v>
      </c>
      <c r="I30" s="150">
        <v>10000</v>
      </c>
      <c r="J30" s="151">
        <f t="shared" si="0"/>
        <v>10000</v>
      </c>
      <c r="K30" s="152"/>
    </row>
    <row r="31" spans="1:14" s="141" customFormat="1" ht="20.25" customHeight="1">
      <c r="A31" s="147">
        <v>12</v>
      </c>
      <c r="B31" s="143" t="s">
        <v>1188</v>
      </c>
      <c r="C31" s="143" t="s">
        <v>1187</v>
      </c>
      <c r="D31" s="143" t="s">
        <v>1025</v>
      </c>
      <c r="E31" s="143"/>
      <c r="F31" s="143">
        <v>1</v>
      </c>
      <c r="G31" s="143" t="s">
        <v>1026</v>
      </c>
      <c r="H31" s="149">
        <v>1</v>
      </c>
      <c r="I31" s="150">
        <v>5000</v>
      </c>
      <c r="J31" s="151">
        <f t="shared" si="0"/>
        <v>5000</v>
      </c>
      <c r="K31" s="152"/>
    </row>
    <row r="32" spans="1:14" s="141" customFormat="1" ht="20.25" customHeight="1">
      <c r="A32" s="147">
        <v>13</v>
      </c>
      <c r="B32" s="143" t="s">
        <v>1188</v>
      </c>
      <c r="C32" s="143" t="s">
        <v>1187</v>
      </c>
      <c r="D32" s="143" t="s">
        <v>1198</v>
      </c>
      <c r="E32" s="148" t="s">
        <v>1038</v>
      </c>
      <c r="F32" s="143">
        <v>1</v>
      </c>
      <c r="G32" s="149" t="s">
        <v>1029</v>
      </c>
      <c r="H32" s="149">
        <v>1</v>
      </c>
      <c r="I32" s="157">
        <f>19800/2</f>
        <v>9900</v>
      </c>
      <c r="J32" s="159">
        <f t="shared" si="0"/>
        <v>9900</v>
      </c>
      <c r="K32" s="152"/>
      <c r="M32" s="185">
        <v>730000</v>
      </c>
      <c r="N32" s="186" t="s">
        <v>1302</v>
      </c>
    </row>
    <row r="33" spans="1:14" s="141" customFormat="1" ht="20.25" customHeight="1">
      <c r="A33" s="147">
        <v>14</v>
      </c>
      <c r="B33" s="143" t="s">
        <v>1188</v>
      </c>
      <c r="C33" s="143" t="s">
        <v>1187</v>
      </c>
      <c r="D33" s="143" t="s">
        <v>1198</v>
      </c>
      <c r="E33" s="148" t="s">
        <v>1039</v>
      </c>
      <c r="F33" s="143">
        <v>1</v>
      </c>
      <c r="G33" s="149" t="s">
        <v>1029</v>
      </c>
      <c r="H33" s="149">
        <v>1</v>
      </c>
      <c r="I33" s="157">
        <f>9440/2</f>
        <v>4720</v>
      </c>
      <c r="J33" s="159">
        <f t="shared" si="0"/>
        <v>4720</v>
      </c>
      <c r="K33" s="152"/>
      <c r="M33" s="154">
        <f>200000+100000</f>
        <v>300000</v>
      </c>
      <c r="N33" s="210" t="s">
        <v>1562</v>
      </c>
    </row>
    <row r="34" spans="1:14" s="141" customFormat="1" ht="20.25" customHeight="1">
      <c r="A34" s="147">
        <v>15</v>
      </c>
      <c r="B34" s="143" t="s">
        <v>1188</v>
      </c>
      <c r="C34" s="143" t="s">
        <v>1187</v>
      </c>
      <c r="D34" s="143" t="s">
        <v>1050</v>
      </c>
      <c r="E34" s="148" t="s">
        <v>1051</v>
      </c>
      <c r="F34" s="143">
        <v>1</v>
      </c>
      <c r="G34" s="149" t="s">
        <v>1052</v>
      </c>
      <c r="H34" s="149">
        <v>1</v>
      </c>
      <c r="I34" s="157">
        <v>30000</v>
      </c>
      <c r="J34" s="159">
        <f t="shared" si="0"/>
        <v>30000</v>
      </c>
      <c r="K34" s="152"/>
      <c r="M34" s="183">
        <f>L37*7%</f>
        <v>20163.453333333338</v>
      </c>
      <c r="N34" s="141" t="s">
        <v>1303</v>
      </c>
    </row>
    <row r="35" spans="1:14" s="141" customFormat="1" ht="20.25" customHeight="1">
      <c r="A35" s="147">
        <v>16</v>
      </c>
      <c r="B35" s="143" t="s">
        <v>1188</v>
      </c>
      <c r="C35" s="143" t="s">
        <v>1187</v>
      </c>
      <c r="D35" s="143" t="s">
        <v>1041</v>
      </c>
      <c r="E35" s="148" t="s">
        <v>1035</v>
      </c>
      <c r="F35" s="143">
        <v>1</v>
      </c>
      <c r="G35" s="143" t="s">
        <v>1024</v>
      </c>
      <c r="H35" s="149">
        <v>1</v>
      </c>
      <c r="I35" s="150">
        <v>800</v>
      </c>
      <c r="J35" s="151">
        <f>H35*I35</f>
        <v>800</v>
      </c>
      <c r="K35" s="152"/>
      <c r="M35" s="183">
        <f>(L37+M34)*20%</f>
        <v>61642.557333333352</v>
      </c>
      <c r="N35" s="141" t="s">
        <v>1304</v>
      </c>
    </row>
    <row r="36" spans="1:14" s="141" customFormat="1" ht="20.25" customHeight="1" thickBot="1">
      <c r="A36" s="147">
        <v>17</v>
      </c>
      <c r="B36" s="177" t="s">
        <v>1188</v>
      </c>
      <c r="C36" s="177" t="s">
        <v>1187</v>
      </c>
      <c r="D36" s="177" t="s">
        <v>1262</v>
      </c>
      <c r="E36" s="143" t="s">
        <v>1263</v>
      </c>
      <c r="F36" s="177">
        <v>1</v>
      </c>
      <c r="G36" s="177" t="s">
        <v>1116</v>
      </c>
      <c r="H36" s="178">
        <v>1</v>
      </c>
      <c r="I36" s="179">
        <v>700</v>
      </c>
      <c r="J36" s="151">
        <f>H36*I36</f>
        <v>700</v>
      </c>
      <c r="K36" s="181"/>
      <c r="M36" s="183">
        <f>(L37+M34+M35)*25%</f>
        <v>92463.836000000025</v>
      </c>
      <c r="N36" s="141" t="s">
        <v>1305</v>
      </c>
    </row>
    <row r="37" spans="1:14" s="141" customFormat="1" ht="20.25" customHeight="1" thickBot="1">
      <c r="A37" s="160">
        <v>18</v>
      </c>
      <c r="B37" s="161" t="s">
        <v>1188</v>
      </c>
      <c r="C37" s="161" t="s">
        <v>1187</v>
      </c>
      <c r="D37" s="161" t="s">
        <v>1265</v>
      </c>
      <c r="E37" s="169" t="s">
        <v>1267</v>
      </c>
      <c r="F37" s="161">
        <v>1</v>
      </c>
      <c r="G37" s="161" t="s">
        <v>1024</v>
      </c>
      <c r="H37" s="162">
        <v>1</v>
      </c>
      <c r="I37" s="170">
        <v>1400</v>
      </c>
      <c r="J37" s="171">
        <f t="shared" ref="J37" si="1">H37*I37</f>
        <v>1400</v>
      </c>
      <c r="K37" s="163"/>
      <c r="L37" s="172">
        <f>SUM(J20:J37)</f>
        <v>288049.33333333337</v>
      </c>
      <c r="M37" s="184">
        <f>L37+M33+M34+M35+M36</f>
        <v>762319.18</v>
      </c>
      <c r="N37" s="141" t="s">
        <v>1307</v>
      </c>
    </row>
    <row r="38" spans="1:14" s="141" customFormat="1" ht="7.5" customHeight="1" thickBot="1">
      <c r="D38" s="164"/>
      <c r="E38" s="164"/>
      <c r="G38" s="165"/>
      <c r="H38" s="166"/>
      <c r="I38" s="167"/>
      <c r="J38" s="168"/>
    </row>
    <row r="39" spans="1:14" s="141" customFormat="1" ht="18" thickBot="1">
      <c r="A39" s="137" t="s">
        <v>80</v>
      </c>
      <c r="B39" s="138" t="s">
        <v>1003</v>
      </c>
      <c r="C39" s="138" t="s">
        <v>1004</v>
      </c>
      <c r="D39" s="138" t="s">
        <v>1005</v>
      </c>
      <c r="E39" s="138" t="s">
        <v>1006</v>
      </c>
      <c r="F39" s="138" t="s">
        <v>1007</v>
      </c>
      <c r="G39" s="138" t="s">
        <v>1008</v>
      </c>
      <c r="H39" s="138" t="s">
        <v>1009</v>
      </c>
      <c r="I39" s="139" t="s">
        <v>1010</v>
      </c>
      <c r="J39" s="138" t="s">
        <v>1030</v>
      </c>
      <c r="K39" s="140" t="s">
        <v>1031</v>
      </c>
    </row>
    <row r="40" spans="1:14" s="141" customFormat="1" ht="20.25" customHeight="1">
      <c r="A40" s="142">
        <v>1</v>
      </c>
      <c r="B40" s="144" t="s">
        <v>1223</v>
      </c>
      <c r="C40" s="144" t="s">
        <v>993</v>
      </c>
      <c r="D40" s="144" t="s">
        <v>1197</v>
      </c>
      <c r="E40" s="144" t="s">
        <v>1000</v>
      </c>
      <c r="F40" s="144">
        <v>1</v>
      </c>
      <c r="G40" s="145" t="s">
        <v>1189</v>
      </c>
      <c r="H40" s="145">
        <v>1</v>
      </c>
      <c r="I40" s="156">
        <f>141000/2</f>
        <v>70500</v>
      </c>
      <c r="J40" s="158">
        <f>H40*I40</f>
        <v>70500</v>
      </c>
      <c r="K40" s="146"/>
    </row>
    <row r="41" spans="1:14" s="141" customFormat="1" ht="20.25" customHeight="1">
      <c r="A41" s="147">
        <v>2</v>
      </c>
      <c r="B41" s="143" t="s">
        <v>1200</v>
      </c>
      <c r="C41" s="143" t="s">
        <v>1199</v>
      </c>
      <c r="D41" s="143" t="s">
        <v>1198</v>
      </c>
      <c r="E41" s="148" t="s">
        <v>1192</v>
      </c>
      <c r="F41" s="143">
        <v>1</v>
      </c>
      <c r="G41" s="149" t="s">
        <v>1194</v>
      </c>
      <c r="H41" s="149">
        <v>1</v>
      </c>
      <c r="I41" s="157">
        <f>63380/1.5</f>
        <v>42253.333333333336</v>
      </c>
      <c r="J41" s="159">
        <f>H41*I41</f>
        <v>42253.333333333336</v>
      </c>
      <c r="K41" s="152"/>
    </row>
    <row r="42" spans="1:14" s="141" customFormat="1" ht="20.25" customHeight="1">
      <c r="A42" s="147">
        <v>3</v>
      </c>
      <c r="B42" s="143" t="s">
        <v>1200</v>
      </c>
      <c r="C42" s="143" t="s">
        <v>1199</v>
      </c>
      <c r="D42" s="143" t="s">
        <v>1198</v>
      </c>
      <c r="E42" s="148" t="s">
        <v>1193</v>
      </c>
      <c r="F42" s="143">
        <v>1</v>
      </c>
      <c r="G42" s="149" t="s">
        <v>1194</v>
      </c>
      <c r="H42" s="149">
        <v>1</v>
      </c>
      <c r="I42" s="157">
        <f>63380/5</f>
        <v>12676</v>
      </c>
      <c r="J42" s="159">
        <f t="shared" ref="J42:J54" si="2">H42*I42</f>
        <v>12676</v>
      </c>
      <c r="K42" s="152"/>
    </row>
    <row r="43" spans="1:14" s="141" customFormat="1" ht="20.25" customHeight="1">
      <c r="A43" s="147">
        <v>4</v>
      </c>
      <c r="B43" s="143" t="s">
        <v>1200</v>
      </c>
      <c r="C43" s="143" t="s">
        <v>1199</v>
      </c>
      <c r="D43" s="143" t="s">
        <v>1013</v>
      </c>
      <c r="E43" s="148" t="s">
        <v>1034</v>
      </c>
      <c r="F43" s="143">
        <v>1</v>
      </c>
      <c r="G43" s="143" t="s">
        <v>1014</v>
      </c>
      <c r="H43" s="149">
        <v>1</v>
      </c>
      <c r="I43" s="157">
        <v>33000</v>
      </c>
      <c r="J43" s="159">
        <f t="shared" si="2"/>
        <v>33000</v>
      </c>
      <c r="K43" s="152"/>
    </row>
    <row r="44" spans="1:14" s="141" customFormat="1" ht="20.25" customHeight="1">
      <c r="A44" s="147">
        <v>5</v>
      </c>
      <c r="B44" s="143" t="s">
        <v>1200</v>
      </c>
      <c r="C44" s="143" t="s">
        <v>1199</v>
      </c>
      <c r="D44" s="143" t="s">
        <v>1015</v>
      </c>
      <c r="E44" s="148" t="s">
        <v>1044</v>
      </c>
      <c r="F44" s="143">
        <v>4</v>
      </c>
      <c r="G44" s="143" t="s">
        <v>1014</v>
      </c>
      <c r="H44" s="149">
        <v>4</v>
      </c>
      <c r="I44" s="157">
        <v>1500</v>
      </c>
      <c r="J44" s="159">
        <f t="shared" si="2"/>
        <v>6000</v>
      </c>
      <c r="K44" s="152"/>
    </row>
    <row r="45" spans="1:14" s="141" customFormat="1" ht="20.25" customHeight="1">
      <c r="A45" s="147">
        <v>6</v>
      </c>
      <c r="B45" s="143" t="s">
        <v>1200</v>
      </c>
      <c r="C45" s="143" t="s">
        <v>1199</v>
      </c>
      <c r="D45" s="143" t="s">
        <v>1020</v>
      </c>
      <c r="E45" s="143" t="s">
        <v>1196</v>
      </c>
      <c r="F45" s="143">
        <v>1</v>
      </c>
      <c r="G45" s="143" t="s">
        <v>1014</v>
      </c>
      <c r="H45" s="149">
        <v>1</v>
      </c>
      <c r="I45" s="150">
        <v>9000</v>
      </c>
      <c r="J45" s="151">
        <f t="shared" si="2"/>
        <v>9000</v>
      </c>
      <c r="K45" s="152"/>
    </row>
    <row r="46" spans="1:14" s="141" customFormat="1" ht="20.25" customHeight="1">
      <c r="A46" s="147">
        <v>7</v>
      </c>
      <c r="B46" s="143" t="s">
        <v>1200</v>
      </c>
      <c r="C46" s="143" t="s">
        <v>1199</v>
      </c>
      <c r="D46" s="143" t="s">
        <v>1021</v>
      </c>
      <c r="E46" s="143" t="s">
        <v>1196</v>
      </c>
      <c r="F46" s="143">
        <v>1</v>
      </c>
      <c r="G46" s="143" t="s">
        <v>1014</v>
      </c>
      <c r="H46" s="149">
        <v>1</v>
      </c>
      <c r="I46" s="150">
        <v>3500</v>
      </c>
      <c r="J46" s="151">
        <f t="shared" si="2"/>
        <v>3500</v>
      </c>
      <c r="K46" s="152"/>
    </row>
    <row r="47" spans="1:14" s="141" customFormat="1" ht="20.25" customHeight="1">
      <c r="A47" s="147">
        <v>8</v>
      </c>
      <c r="B47" s="143" t="s">
        <v>1200</v>
      </c>
      <c r="C47" s="143" t="s">
        <v>1199</v>
      </c>
      <c r="D47" s="143" t="s">
        <v>1129</v>
      </c>
      <c r="E47" s="143" t="s">
        <v>1195</v>
      </c>
      <c r="F47" s="143">
        <v>1</v>
      </c>
      <c r="G47" s="143" t="s">
        <v>1024</v>
      </c>
      <c r="H47" s="149">
        <v>1</v>
      </c>
      <c r="I47" s="150">
        <v>2500</v>
      </c>
      <c r="J47" s="151">
        <f t="shared" si="2"/>
        <v>2500</v>
      </c>
      <c r="K47" s="152"/>
    </row>
    <row r="48" spans="1:14" s="141" customFormat="1" ht="20.25" customHeight="1">
      <c r="A48" s="147">
        <v>9</v>
      </c>
      <c r="B48" s="143" t="s">
        <v>1200</v>
      </c>
      <c r="C48" s="143" t="s">
        <v>1199</v>
      </c>
      <c r="D48" s="143" t="s">
        <v>1016</v>
      </c>
      <c r="E48" s="143" t="s">
        <v>1195</v>
      </c>
      <c r="F48" s="143">
        <v>1</v>
      </c>
      <c r="G48" s="143" t="s">
        <v>1017</v>
      </c>
      <c r="H48" s="149">
        <v>1</v>
      </c>
      <c r="I48" s="150">
        <v>32000</v>
      </c>
      <c r="J48" s="151">
        <f t="shared" si="2"/>
        <v>32000</v>
      </c>
      <c r="K48" s="152"/>
    </row>
    <row r="49" spans="1:14" s="141" customFormat="1" ht="20.25" customHeight="1">
      <c r="A49" s="147">
        <v>10</v>
      </c>
      <c r="B49" s="143" t="s">
        <v>1200</v>
      </c>
      <c r="C49" s="143" t="s">
        <v>1199</v>
      </c>
      <c r="D49" s="143" t="s">
        <v>1018</v>
      </c>
      <c r="E49" s="143" t="s">
        <v>1196</v>
      </c>
      <c r="F49" s="143">
        <v>1</v>
      </c>
      <c r="G49" s="143" t="s">
        <v>1019</v>
      </c>
      <c r="H49" s="149">
        <v>1</v>
      </c>
      <c r="I49" s="150">
        <v>14100</v>
      </c>
      <c r="J49" s="151">
        <f t="shared" si="2"/>
        <v>14100</v>
      </c>
      <c r="K49" s="152"/>
    </row>
    <row r="50" spans="1:14" s="141" customFormat="1" ht="20.25" customHeight="1">
      <c r="A50" s="147">
        <v>11</v>
      </c>
      <c r="B50" s="143" t="s">
        <v>1200</v>
      </c>
      <c r="C50" s="143" t="s">
        <v>1199</v>
      </c>
      <c r="D50" s="143" t="s">
        <v>1251</v>
      </c>
      <c r="E50" s="143" t="s">
        <v>1260</v>
      </c>
      <c r="F50" s="143">
        <v>1</v>
      </c>
      <c r="G50" s="143" t="s">
        <v>643</v>
      </c>
      <c r="H50" s="149">
        <v>1</v>
      </c>
      <c r="I50" s="150">
        <v>10000</v>
      </c>
      <c r="J50" s="151">
        <f t="shared" si="2"/>
        <v>10000</v>
      </c>
      <c r="K50" s="152"/>
    </row>
    <row r="51" spans="1:14" s="141" customFormat="1" ht="20.25" customHeight="1">
      <c r="A51" s="147">
        <v>12</v>
      </c>
      <c r="B51" s="143" t="s">
        <v>1200</v>
      </c>
      <c r="C51" s="143" t="s">
        <v>1199</v>
      </c>
      <c r="D51" s="143" t="s">
        <v>1253</v>
      </c>
      <c r="E51" s="143"/>
      <c r="F51" s="143">
        <v>1</v>
      </c>
      <c r="G51" s="143" t="s">
        <v>1254</v>
      </c>
      <c r="H51" s="149">
        <v>1</v>
      </c>
      <c r="I51" s="150">
        <v>5000</v>
      </c>
      <c r="J51" s="151">
        <f t="shared" si="2"/>
        <v>5000</v>
      </c>
      <c r="K51" s="152"/>
    </row>
    <row r="52" spans="1:14" s="141" customFormat="1" ht="20.25" customHeight="1">
      <c r="A52" s="147">
        <v>13</v>
      </c>
      <c r="B52" s="143" t="s">
        <v>1200</v>
      </c>
      <c r="C52" s="143" t="s">
        <v>1199</v>
      </c>
      <c r="D52" s="143" t="s">
        <v>1198</v>
      </c>
      <c r="E52" s="148" t="s">
        <v>1038</v>
      </c>
      <c r="F52" s="143">
        <v>2</v>
      </c>
      <c r="G52" s="149" t="s">
        <v>1029</v>
      </c>
      <c r="H52" s="149">
        <v>2</v>
      </c>
      <c r="I52" s="157">
        <f>19800/2</f>
        <v>9900</v>
      </c>
      <c r="J52" s="159">
        <f t="shared" si="2"/>
        <v>19800</v>
      </c>
      <c r="K52" s="152"/>
      <c r="M52" s="185">
        <v>809091</v>
      </c>
      <c r="N52" s="186" t="s">
        <v>1302</v>
      </c>
    </row>
    <row r="53" spans="1:14" s="141" customFormat="1" ht="20.25" customHeight="1">
      <c r="A53" s="147">
        <v>14</v>
      </c>
      <c r="B53" s="143" t="s">
        <v>1200</v>
      </c>
      <c r="C53" s="143" t="s">
        <v>1199</v>
      </c>
      <c r="D53" s="143" t="s">
        <v>1198</v>
      </c>
      <c r="E53" s="148" t="s">
        <v>1039</v>
      </c>
      <c r="F53" s="143">
        <v>2</v>
      </c>
      <c r="G53" s="149" t="s">
        <v>1029</v>
      </c>
      <c r="H53" s="149">
        <v>2</v>
      </c>
      <c r="I53" s="157">
        <f>9440/2</f>
        <v>4720</v>
      </c>
      <c r="J53" s="159">
        <f t="shared" si="2"/>
        <v>9440</v>
      </c>
      <c r="K53" s="152"/>
      <c r="M53" s="154">
        <f>200000+100000</f>
        <v>300000</v>
      </c>
      <c r="N53" s="210" t="s">
        <v>1562</v>
      </c>
    </row>
    <row r="54" spans="1:14" s="141" customFormat="1" ht="20.25" customHeight="1">
      <c r="A54" s="147">
        <v>15</v>
      </c>
      <c r="B54" s="143" t="s">
        <v>1200</v>
      </c>
      <c r="C54" s="143" t="s">
        <v>1199</v>
      </c>
      <c r="D54" s="143" t="s">
        <v>1050</v>
      </c>
      <c r="E54" s="148" t="s">
        <v>1051</v>
      </c>
      <c r="F54" s="143">
        <v>2</v>
      </c>
      <c r="G54" s="149" t="s">
        <v>1052</v>
      </c>
      <c r="H54" s="149">
        <v>2</v>
      </c>
      <c r="I54" s="157">
        <v>30000</v>
      </c>
      <c r="J54" s="159">
        <f t="shared" si="2"/>
        <v>60000</v>
      </c>
      <c r="K54" s="152"/>
      <c r="M54" s="183">
        <f>L57*7%</f>
        <v>23293.85333333334</v>
      </c>
      <c r="N54" s="141" t="s">
        <v>1303</v>
      </c>
    </row>
    <row r="55" spans="1:14" s="141" customFormat="1" ht="20.25" customHeight="1">
      <c r="A55" s="147">
        <v>16</v>
      </c>
      <c r="B55" s="143" t="s">
        <v>1200</v>
      </c>
      <c r="C55" s="143" t="s">
        <v>1199</v>
      </c>
      <c r="D55" s="143" t="s">
        <v>1041</v>
      </c>
      <c r="E55" s="148" t="s">
        <v>1035</v>
      </c>
      <c r="F55" s="143">
        <v>2</v>
      </c>
      <c r="G55" s="143" t="s">
        <v>1024</v>
      </c>
      <c r="H55" s="149">
        <v>2</v>
      </c>
      <c r="I55" s="150">
        <v>800</v>
      </c>
      <c r="J55" s="151">
        <f>H55*I55</f>
        <v>1600</v>
      </c>
      <c r="K55" s="152"/>
      <c r="M55" s="183">
        <f>(L57+M54)*20%</f>
        <v>71212.637333333347</v>
      </c>
      <c r="N55" s="141" t="s">
        <v>1304</v>
      </c>
    </row>
    <row r="56" spans="1:14" s="141" customFormat="1" ht="20.25" customHeight="1" thickBot="1">
      <c r="A56" s="147">
        <v>17</v>
      </c>
      <c r="B56" s="177" t="s">
        <v>1200</v>
      </c>
      <c r="C56" s="177" t="s">
        <v>1199</v>
      </c>
      <c r="D56" s="177" t="s">
        <v>1262</v>
      </c>
      <c r="E56" s="143" t="s">
        <v>1263</v>
      </c>
      <c r="F56" s="177">
        <v>2</v>
      </c>
      <c r="G56" s="177" t="s">
        <v>1116</v>
      </c>
      <c r="H56" s="178">
        <v>2</v>
      </c>
      <c r="I56" s="179">
        <v>700</v>
      </c>
      <c r="J56" s="180"/>
      <c r="K56" s="181"/>
      <c r="M56" s="183">
        <f>(L57+M54+M55)*25%</f>
        <v>106818.95600000001</v>
      </c>
      <c r="N56" s="141" t="s">
        <v>1305</v>
      </c>
    </row>
    <row r="57" spans="1:14" s="141" customFormat="1" ht="20.25" customHeight="1" thickBot="1">
      <c r="A57" s="160">
        <v>18</v>
      </c>
      <c r="B57" s="161" t="s">
        <v>1200</v>
      </c>
      <c r="C57" s="161" t="s">
        <v>1199</v>
      </c>
      <c r="D57" s="161" t="s">
        <v>1264</v>
      </c>
      <c r="E57" s="169" t="s">
        <v>1267</v>
      </c>
      <c r="F57" s="161">
        <v>1</v>
      </c>
      <c r="G57" s="161" t="s">
        <v>1116</v>
      </c>
      <c r="H57" s="162">
        <v>1</v>
      </c>
      <c r="I57" s="170">
        <v>1400</v>
      </c>
      <c r="J57" s="171">
        <f t="shared" ref="J57" si="3">H57*I57</f>
        <v>1400</v>
      </c>
      <c r="K57" s="163"/>
      <c r="L57" s="172">
        <f>SUM(J40:J57)</f>
        <v>332769.33333333337</v>
      </c>
      <c r="M57" s="184">
        <f>L57+M53+M54+M55+M56</f>
        <v>834094.78000000014</v>
      </c>
      <c r="N57" s="141" t="s">
        <v>1307</v>
      </c>
    </row>
    <row r="58" spans="1:14" ht="6.75" customHeight="1" thickBot="1"/>
    <row r="59" spans="1:14" s="141" customFormat="1" ht="18" thickBot="1">
      <c r="A59" s="137" t="s">
        <v>80</v>
      </c>
      <c r="B59" s="138" t="s">
        <v>1003</v>
      </c>
      <c r="C59" s="138" t="s">
        <v>1004</v>
      </c>
      <c r="D59" s="138" t="s">
        <v>1005</v>
      </c>
      <c r="E59" s="138" t="s">
        <v>1006</v>
      </c>
      <c r="F59" s="138" t="s">
        <v>1007</v>
      </c>
      <c r="G59" s="138" t="s">
        <v>1008</v>
      </c>
      <c r="H59" s="138" t="s">
        <v>1009</v>
      </c>
      <c r="I59" s="139" t="s">
        <v>1010</v>
      </c>
      <c r="J59" s="138" t="s">
        <v>1030</v>
      </c>
      <c r="K59" s="140" t="s">
        <v>1031</v>
      </c>
    </row>
    <row r="60" spans="1:14" s="141" customFormat="1" ht="20.25" customHeight="1">
      <c r="A60" s="142">
        <v>1</v>
      </c>
      <c r="B60" s="144" t="s">
        <v>1224</v>
      </c>
      <c r="C60" s="144" t="s">
        <v>994</v>
      </c>
      <c r="D60" s="144" t="s">
        <v>1197</v>
      </c>
      <c r="E60" s="144" t="s">
        <v>1000</v>
      </c>
      <c r="F60" s="144">
        <v>1</v>
      </c>
      <c r="G60" s="145" t="s">
        <v>1189</v>
      </c>
      <c r="H60" s="145">
        <v>1</v>
      </c>
      <c r="I60" s="156">
        <f>141000/2</f>
        <v>70500</v>
      </c>
      <c r="J60" s="158">
        <f>H60*I60</f>
        <v>70500</v>
      </c>
      <c r="K60" s="146"/>
    </row>
    <row r="61" spans="1:14" s="141" customFormat="1" ht="20.25" customHeight="1">
      <c r="A61" s="147">
        <v>2</v>
      </c>
      <c r="B61" s="143" t="s">
        <v>1202</v>
      </c>
      <c r="C61" s="143" t="s">
        <v>1201</v>
      </c>
      <c r="D61" s="143" t="s">
        <v>1198</v>
      </c>
      <c r="E61" s="148" t="s">
        <v>1225</v>
      </c>
      <c r="F61" s="143">
        <v>1</v>
      </c>
      <c r="G61" s="149" t="s">
        <v>1194</v>
      </c>
      <c r="H61" s="149">
        <v>1</v>
      </c>
      <c r="I61" s="157">
        <f>63380</f>
        <v>63380</v>
      </c>
      <c r="J61" s="159">
        <f>H61*I61</f>
        <v>63380</v>
      </c>
      <c r="K61" s="152"/>
    </row>
    <row r="62" spans="1:14" s="141" customFormat="1" ht="20.25" customHeight="1">
      <c r="A62" s="147">
        <v>3</v>
      </c>
      <c r="B62" s="143" t="s">
        <v>1202</v>
      </c>
      <c r="C62" s="143" t="s">
        <v>1201</v>
      </c>
      <c r="D62" s="143" t="s">
        <v>1198</v>
      </c>
      <c r="E62" s="148" t="s">
        <v>1193</v>
      </c>
      <c r="F62" s="143">
        <v>1</v>
      </c>
      <c r="G62" s="149" t="s">
        <v>1194</v>
      </c>
      <c r="H62" s="149">
        <v>1</v>
      </c>
      <c r="I62" s="157">
        <f>63380/5</f>
        <v>12676</v>
      </c>
      <c r="J62" s="159">
        <f t="shared" ref="J62:J74" si="4">H62*I62</f>
        <v>12676</v>
      </c>
      <c r="K62" s="152"/>
    </row>
    <row r="63" spans="1:14" s="141" customFormat="1" ht="20.25" customHeight="1">
      <c r="A63" s="147">
        <v>4</v>
      </c>
      <c r="B63" s="143" t="s">
        <v>1202</v>
      </c>
      <c r="C63" s="143" t="s">
        <v>1201</v>
      </c>
      <c r="D63" s="143" t="s">
        <v>1013</v>
      </c>
      <c r="E63" s="148" t="s">
        <v>1034</v>
      </c>
      <c r="F63" s="143">
        <v>1</v>
      </c>
      <c r="G63" s="143" t="s">
        <v>1014</v>
      </c>
      <c r="H63" s="149">
        <v>1</v>
      </c>
      <c r="I63" s="157">
        <v>33000</v>
      </c>
      <c r="J63" s="159">
        <f t="shared" si="4"/>
        <v>33000</v>
      </c>
      <c r="K63" s="152"/>
    </row>
    <row r="64" spans="1:14" s="141" customFormat="1" ht="20.25" customHeight="1">
      <c r="A64" s="147">
        <v>5</v>
      </c>
      <c r="B64" s="143" t="s">
        <v>1202</v>
      </c>
      <c r="C64" s="143" t="s">
        <v>1201</v>
      </c>
      <c r="D64" s="143" t="s">
        <v>1015</v>
      </c>
      <c r="E64" s="148" t="s">
        <v>1044</v>
      </c>
      <c r="F64" s="143">
        <v>4</v>
      </c>
      <c r="G64" s="143" t="s">
        <v>1014</v>
      </c>
      <c r="H64" s="149">
        <v>4</v>
      </c>
      <c r="I64" s="157">
        <v>1500</v>
      </c>
      <c r="J64" s="159">
        <f t="shared" si="4"/>
        <v>6000</v>
      </c>
      <c r="K64" s="152"/>
    </row>
    <row r="65" spans="1:14" s="141" customFormat="1" ht="20.25" customHeight="1">
      <c r="A65" s="147">
        <v>6</v>
      </c>
      <c r="B65" s="143" t="s">
        <v>1202</v>
      </c>
      <c r="C65" s="143" t="s">
        <v>1201</v>
      </c>
      <c r="D65" s="143" t="s">
        <v>1020</v>
      </c>
      <c r="E65" s="143" t="s">
        <v>1196</v>
      </c>
      <c r="F65" s="143">
        <v>1</v>
      </c>
      <c r="G65" s="143" t="s">
        <v>1014</v>
      </c>
      <c r="H65" s="149">
        <v>1</v>
      </c>
      <c r="I65" s="150">
        <v>9000</v>
      </c>
      <c r="J65" s="151">
        <f t="shared" si="4"/>
        <v>9000</v>
      </c>
      <c r="K65" s="152"/>
    </row>
    <row r="66" spans="1:14" s="141" customFormat="1" ht="20.25" customHeight="1">
      <c r="A66" s="147">
        <v>7</v>
      </c>
      <c r="B66" s="143" t="s">
        <v>1202</v>
      </c>
      <c r="C66" s="143" t="s">
        <v>1201</v>
      </c>
      <c r="D66" s="143" t="s">
        <v>1021</v>
      </c>
      <c r="E66" s="143" t="s">
        <v>1196</v>
      </c>
      <c r="F66" s="143">
        <v>1</v>
      </c>
      <c r="G66" s="143" t="s">
        <v>1014</v>
      </c>
      <c r="H66" s="149">
        <v>1</v>
      </c>
      <c r="I66" s="150">
        <v>3500</v>
      </c>
      <c r="J66" s="151">
        <f t="shared" si="4"/>
        <v>3500</v>
      </c>
      <c r="K66" s="152"/>
    </row>
    <row r="67" spans="1:14" s="141" customFormat="1" ht="20.25" customHeight="1">
      <c r="A67" s="147">
        <v>8</v>
      </c>
      <c r="B67" s="143" t="s">
        <v>1202</v>
      </c>
      <c r="C67" s="143" t="s">
        <v>1201</v>
      </c>
      <c r="D67" s="143" t="s">
        <v>1129</v>
      </c>
      <c r="E67" s="143" t="s">
        <v>1195</v>
      </c>
      <c r="F67" s="143">
        <v>1</v>
      </c>
      <c r="G67" s="143" t="s">
        <v>1024</v>
      </c>
      <c r="H67" s="149">
        <v>1</v>
      </c>
      <c r="I67" s="150">
        <v>2500</v>
      </c>
      <c r="J67" s="151">
        <f t="shared" si="4"/>
        <v>2500</v>
      </c>
      <c r="K67" s="152"/>
    </row>
    <row r="68" spans="1:14" s="141" customFormat="1" ht="20.25" customHeight="1">
      <c r="A68" s="147">
        <v>9</v>
      </c>
      <c r="B68" s="143" t="s">
        <v>1202</v>
      </c>
      <c r="C68" s="143" t="s">
        <v>1201</v>
      </c>
      <c r="D68" s="143" t="s">
        <v>1016</v>
      </c>
      <c r="E68" s="143" t="s">
        <v>1195</v>
      </c>
      <c r="F68" s="143">
        <v>1</v>
      </c>
      <c r="G68" s="143" t="s">
        <v>1017</v>
      </c>
      <c r="H68" s="149">
        <v>1</v>
      </c>
      <c r="I68" s="150">
        <v>32000</v>
      </c>
      <c r="J68" s="151">
        <f t="shared" si="4"/>
        <v>32000</v>
      </c>
      <c r="K68" s="152"/>
    </row>
    <row r="69" spans="1:14" s="141" customFormat="1" ht="20.25" customHeight="1">
      <c r="A69" s="147">
        <v>10</v>
      </c>
      <c r="B69" s="143" t="s">
        <v>1202</v>
      </c>
      <c r="C69" s="143" t="s">
        <v>1201</v>
      </c>
      <c r="D69" s="143" t="s">
        <v>1018</v>
      </c>
      <c r="E69" s="143" t="s">
        <v>1196</v>
      </c>
      <c r="F69" s="143">
        <v>1</v>
      </c>
      <c r="G69" s="143" t="s">
        <v>1019</v>
      </c>
      <c r="H69" s="149">
        <v>1</v>
      </c>
      <c r="I69" s="150">
        <v>14100</v>
      </c>
      <c r="J69" s="151">
        <f t="shared" si="4"/>
        <v>14100</v>
      </c>
      <c r="K69" s="152"/>
    </row>
    <row r="70" spans="1:14" s="141" customFormat="1" ht="20.25" customHeight="1">
      <c r="A70" s="147">
        <v>11</v>
      </c>
      <c r="B70" s="143" t="s">
        <v>1202</v>
      </c>
      <c r="C70" s="143" t="s">
        <v>1201</v>
      </c>
      <c r="D70" s="143" t="s">
        <v>1251</v>
      </c>
      <c r="E70" s="143" t="s">
        <v>1260</v>
      </c>
      <c r="F70" s="143">
        <v>1</v>
      </c>
      <c r="G70" s="143" t="s">
        <v>643</v>
      </c>
      <c r="H70" s="149">
        <v>1</v>
      </c>
      <c r="I70" s="150">
        <v>10000</v>
      </c>
      <c r="J70" s="151">
        <f t="shared" si="4"/>
        <v>10000</v>
      </c>
      <c r="K70" s="152"/>
    </row>
    <row r="71" spans="1:14" s="141" customFormat="1" ht="20.25" customHeight="1">
      <c r="A71" s="147">
        <v>12</v>
      </c>
      <c r="B71" s="143" t="s">
        <v>1202</v>
      </c>
      <c r="C71" s="143" t="s">
        <v>1201</v>
      </c>
      <c r="D71" s="143" t="s">
        <v>1253</v>
      </c>
      <c r="E71" s="143"/>
      <c r="F71" s="143">
        <v>1</v>
      </c>
      <c r="G71" s="143" t="s">
        <v>1254</v>
      </c>
      <c r="H71" s="149">
        <v>1</v>
      </c>
      <c r="I71" s="150">
        <v>5000</v>
      </c>
      <c r="J71" s="151">
        <f t="shared" si="4"/>
        <v>5000</v>
      </c>
      <c r="K71" s="152"/>
    </row>
    <row r="72" spans="1:14" s="141" customFormat="1" ht="20.25" customHeight="1">
      <c r="A72" s="147">
        <v>13</v>
      </c>
      <c r="B72" s="143" t="s">
        <v>1202</v>
      </c>
      <c r="C72" s="143" t="s">
        <v>1201</v>
      </c>
      <c r="D72" s="143" t="s">
        <v>1198</v>
      </c>
      <c r="E72" s="148" t="s">
        <v>1038</v>
      </c>
      <c r="F72" s="143">
        <v>1</v>
      </c>
      <c r="G72" s="149" t="s">
        <v>1029</v>
      </c>
      <c r="H72" s="149">
        <v>1</v>
      </c>
      <c r="I72" s="157">
        <f>19800/2</f>
        <v>9900</v>
      </c>
      <c r="J72" s="159">
        <f t="shared" si="4"/>
        <v>9900</v>
      </c>
      <c r="K72" s="152"/>
      <c r="M72" s="185">
        <v>809091</v>
      </c>
      <c r="N72" s="186" t="s">
        <v>1302</v>
      </c>
    </row>
    <row r="73" spans="1:14" s="141" customFormat="1" ht="20.25" customHeight="1">
      <c r="A73" s="147">
        <v>14</v>
      </c>
      <c r="B73" s="143" t="s">
        <v>1202</v>
      </c>
      <c r="C73" s="143" t="s">
        <v>1201</v>
      </c>
      <c r="D73" s="143" t="s">
        <v>1198</v>
      </c>
      <c r="E73" s="148" t="s">
        <v>1039</v>
      </c>
      <c r="F73" s="143">
        <v>1</v>
      </c>
      <c r="G73" s="149" t="s">
        <v>1029</v>
      </c>
      <c r="H73" s="149">
        <v>1</v>
      </c>
      <c r="I73" s="157">
        <f>9440/2</f>
        <v>4720</v>
      </c>
      <c r="J73" s="159">
        <f t="shared" si="4"/>
        <v>4720</v>
      </c>
      <c r="K73" s="152"/>
      <c r="M73" s="154">
        <f>200000+100000</f>
        <v>300000</v>
      </c>
      <c r="N73" s="210" t="s">
        <v>1562</v>
      </c>
    </row>
    <row r="74" spans="1:14" s="141" customFormat="1" ht="20.25" customHeight="1">
      <c r="A74" s="147">
        <v>15</v>
      </c>
      <c r="B74" s="143" t="s">
        <v>1202</v>
      </c>
      <c r="C74" s="143" t="s">
        <v>1201</v>
      </c>
      <c r="D74" s="143" t="s">
        <v>1050</v>
      </c>
      <c r="E74" s="148" t="s">
        <v>1051</v>
      </c>
      <c r="F74" s="143">
        <v>1</v>
      </c>
      <c r="G74" s="149" t="s">
        <v>1052</v>
      </c>
      <c r="H74" s="149">
        <v>1</v>
      </c>
      <c r="I74" s="157">
        <v>30000</v>
      </c>
      <c r="J74" s="159">
        <f t="shared" si="4"/>
        <v>30000</v>
      </c>
      <c r="K74" s="152"/>
      <c r="M74" s="183">
        <f>L77*7%</f>
        <v>21642.320000000003</v>
      </c>
      <c r="N74" s="141" t="s">
        <v>1303</v>
      </c>
    </row>
    <row r="75" spans="1:14" s="141" customFormat="1" ht="20.25" customHeight="1">
      <c r="A75" s="147">
        <v>16</v>
      </c>
      <c r="B75" s="143" t="s">
        <v>1202</v>
      </c>
      <c r="C75" s="143" t="s">
        <v>1201</v>
      </c>
      <c r="D75" s="143" t="s">
        <v>1041</v>
      </c>
      <c r="E75" s="148" t="s">
        <v>1035</v>
      </c>
      <c r="F75" s="143">
        <v>1</v>
      </c>
      <c r="G75" s="143" t="s">
        <v>1024</v>
      </c>
      <c r="H75" s="149">
        <v>1</v>
      </c>
      <c r="I75" s="150">
        <v>800</v>
      </c>
      <c r="J75" s="151">
        <f>H75*I75</f>
        <v>800</v>
      </c>
      <c r="K75" s="152"/>
      <c r="M75" s="183">
        <f>(L77+M74)*20%</f>
        <v>66163.664000000004</v>
      </c>
      <c r="N75" s="141" t="s">
        <v>1304</v>
      </c>
    </row>
    <row r="76" spans="1:14" s="141" customFormat="1" ht="20.25" customHeight="1" thickBot="1">
      <c r="A76" s="147">
        <v>17</v>
      </c>
      <c r="B76" s="177" t="s">
        <v>1202</v>
      </c>
      <c r="C76" s="177" t="s">
        <v>1201</v>
      </c>
      <c r="D76" s="177" t="s">
        <v>1262</v>
      </c>
      <c r="E76" s="143" t="s">
        <v>1263</v>
      </c>
      <c r="F76" s="177">
        <v>1</v>
      </c>
      <c r="G76" s="177" t="s">
        <v>1116</v>
      </c>
      <c r="H76" s="178">
        <v>1</v>
      </c>
      <c r="I76" s="179">
        <v>700</v>
      </c>
      <c r="J76" s="151">
        <f>H76*I76</f>
        <v>700</v>
      </c>
      <c r="K76" s="181"/>
      <c r="M76" s="183">
        <f>(L77+M74+M75)*25%</f>
        <v>99245.495999999999</v>
      </c>
      <c r="N76" s="141" t="s">
        <v>1305</v>
      </c>
    </row>
    <row r="77" spans="1:14" s="141" customFormat="1" ht="20.25" customHeight="1" thickBot="1">
      <c r="A77" s="160">
        <v>18</v>
      </c>
      <c r="B77" s="161" t="s">
        <v>1202</v>
      </c>
      <c r="C77" s="161" t="s">
        <v>1201</v>
      </c>
      <c r="D77" s="161" t="s">
        <v>1264</v>
      </c>
      <c r="E77" s="169" t="s">
        <v>1267</v>
      </c>
      <c r="F77" s="161">
        <v>1</v>
      </c>
      <c r="G77" s="161" t="s">
        <v>1116</v>
      </c>
      <c r="H77" s="162">
        <v>1</v>
      </c>
      <c r="I77" s="170">
        <v>1400</v>
      </c>
      <c r="J77" s="171">
        <f t="shared" ref="J77" si="5">H77*I77</f>
        <v>1400</v>
      </c>
      <c r="K77" s="163"/>
      <c r="L77" s="172">
        <f>SUM(J60:J77)</f>
        <v>309176</v>
      </c>
      <c r="M77" s="184">
        <f>L77+M73+M74+M75+M76</f>
        <v>796227.48</v>
      </c>
      <c r="N77" s="141" t="s">
        <v>1307</v>
      </c>
    </row>
    <row r="78" spans="1:14" s="141" customFormat="1" ht="7.5" customHeight="1" thickBot="1">
      <c r="D78" s="164"/>
      <c r="E78" s="164"/>
      <c r="G78" s="165"/>
      <c r="H78" s="166"/>
      <c r="I78" s="167"/>
      <c r="J78" s="168"/>
    </row>
    <row r="79" spans="1:14" s="141" customFormat="1" ht="18" thickBot="1">
      <c r="A79" s="137" t="s">
        <v>80</v>
      </c>
      <c r="B79" s="138" t="s">
        <v>1003</v>
      </c>
      <c r="C79" s="138" t="s">
        <v>1004</v>
      </c>
      <c r="D79" s="138" t="s">
        <v>1005</v>
      </c>
      <c r="E79" s="138" t="s">
        <v>1006</v>
      </c>
      <c r="F79" s="138" t="s">
        <v>1007</v>
      </c>
      <c r="G79" s="138" t="s">
        <v>1008</v>
      </c>
      <c r="H79" s="138" t="s">
        <v>1009</v>
      </c>
      <c r="I79" s="139" t="s">
        <v>1010</v>
      </c>
      <c r="J79" s="138" t="s">
        <v>1030</v>
      </c>
      <c r="K79" s="140" t="s">
        <v>1031</v>
      </c>
    </row>
    <row r="80" spans="1:14" s="141" customFormat="1" ht="20.25" customHeight="1">
      <c r="A80" s="142">
        <v>1</v>
      </c>
      <c r="B80" s="144" t="s">
        <v>1226</v>
      </c>
      <c r="C80" s="144" t="s">
        <v>995</v>
      </c>
      <c r="D80" s="144" t="s">
        <v>1197</v>
      </c>
      <c r="E80" s="144" t="s">
        <v>1000</v>
      </c>
      <c r="F80" s="144">
        <v>1</v>
      </c>
      <c r="G80" s="145" t="s">
        <v>1189</v>
      </c>
      <c r="H80" s="145">
        <v>1</v>
      </c>
      <c r="I80" s="156">
        <f>141000/2</f>
        <v>70500</v>
      </c>
      <c r="J80" s="158">
        <f>H80*I80</f>
        <v>70500</v>
      </c>
      <c r="K80" s="146"/>
    </row>
    <row r="81" spans="1:14" s="141" customFormat="1" ht="20.25" customHeight="1">
      <c r="A81" s="147">
        <v>2</v>
      </c>
      <c r="B81" s="143" t="s">
        <v>1204</v>
      </c>
      <c r="C81" s="143" t="s">
        <v>1203</v>
      </c>
      <c r="D81" s="143" t="s">
        <v>1198</v>
      </c>
      <c r="E81" s="148" t="s">
        <v>1225</v>
      </c>
      <c r="F81" s="143">
        <v>1</v>
      </c>
      <c r="G81" s="149" t="s">
        <v>1194</v>
      </c>
      <c r="H81" s="149">
        <v>1</v>
      </c>
      <c r="I81" s="157">
        <f>63380</f>
        <v>63380</v>
      </c>
      <c r="J81" s="159">
        <f>H81*I81</f>
        <v>63380</v>
      </c>
      <c r="K81" s="152"/>
    </row>
    <row r="82" spans="1:14" s="141" customFormat="1" ht="20.25" customHeight="1">
      <c r="A82" s="147">
        <v>3</v>
      </c>
      <c r="B82" s="143" t="s">
        <v>1204</v>
      </c>
      <c r="C82" s="143" t="s">
        <v>1203</v>
      </c>
      <c r="D82" s="143" t="s">
        <v>1198</v>
      </c>
      <c r="E82" s="148" t="s">
        <v>1193</v>
      </c>
      <c r="F82" s="143">
        <v>1</v>
      </c>
      <c r="G82" s="149" t="s">
        <v>1194</v>
      </c>
      <c r="H82" s="149">
        <v>1</v>
      </c>
      <c r="I82" s="157">
        <f>63380/5</f>
        <v>12676</v>
      </c>
      <c r="J82" s="159">
        <f t="shared" ref="J82:J94" si="6">H82*I82</f>
        <v>12676</v>
      </c>
      <c r="K82" s="152"/>
    </row>
    <row r="83" spans="1:14" s="141" customFormat="1" ht="20.25" customHeight="1">
      <c r="A83" s="147">
        <v>4</v>
      </c>
      <c r="B83" s="143" t="s">
        <v>1204</v>
      </c>
      <c r="C83" s="143" t="s">
        <v>1203</v>
      </c>
      <c r="D83" s="143" t="s">
        <v>1013</v>
      </c>
      <c r="E83" s="148" t="s">
        <v>1034</v>
      </c>
      <c r="F83" s="143">
        <v>1</v>
      </c>
      <c r="G83" s="143" t="s">
        <v>1014</v>
      </c>
      <c r="H83" s="149">
        <v>1</v>
      </c>
      <c r="I83" s="157">
        <v>33000</v>
      </c>
      <c r="J83" s="159">
        <f t="shared" si="6"/>
        <v>33000</v>
      </c>
      <c r="K83" s="152"/>
    </row>
    <row r="84" spans="1:14" s="141" customFormat="1" ht="20.25" customHeight="1">
      <c r="A84" s="147">
        <v>5</v>
      </c>
      <c r="B84" s="143" t="s">
        <v>1204</v>
      </c>
      <c r="C84" s="143" t="s">
        <v>1203</v>
      </c>
      <c r="D84" s="143" t="s">
        <v>1015</v>
      </c>
      <c r="E84" s="148" t="s">
        <v>1044</v>
      </c>
      <c r="F84" s="143">
        <v>4</v>
      </c>
      <c r="G84" s="143" t="s">
        <v>1014</v>
      </c>
      <c r="H84" s="149">
        <v>4</v>
      </c>
      <c r="I84" s="157">
        <v>1500</v>
      </c>
      <c r="J84" s="159">
        <f t="shared" si="6"/>
        <v>6000</v>
      </c>
      <c r="K84" s="152"/>
    </row>
    <row r="85" spans="1:14" s="141" customFormat="1" ht="20.25" customHeight="1">
      <c r="A85" s="147">
        <v>6</v>
      </c>
      <c r="B85" s="143" t="s">
        <v>1204</v>
      </c>
      <c r="C85" s="143" t="s">
        <v>1203</v>
      </c>
      <c r="D85" s="143" t="s">
        <v>1020</v>
      </c>
      <c r="E85" s="143" t="s">
        <v>1196</v>
      </c>
      <c r="F85" s="143">
        <v>1</v>
      </c>
      <c r="G85" s="143" t="s">
        <v>1014</v>
      </c>
      <c r="H85" s="149">
        <v>1</v>
      </c>
      <c r="I85" s="150">
        <v>9000</v>
      </c>
      <c r="J85" s="151">
        <f t="shared" si="6"/>
        <v>9000</v>
      </c>
      <c r="K85" s="152"/>
    </row>
    <row r="86" spans="1:14" s="141" customFormat="1" ht="20.25" customHeight="1">
      <c r="A86" s="147">
        <v>7</v>
      </c>
      <c r="B86" s="143" t="s">
        <v>1204</v>
      </c>
      <c r="C86" s="143" t="s">
        <v>1203</v>
      </c>
      <c r="D86" s="143" t="s">
        <v>1021</v>
      </c>
      <c r="E86" s="143" t="s">
        <v>1196</v>
      </c>
      <c r="F86" s="143">
        <v>1</v>
      </c>
      <c r="G86" s="143" t="s">
        <v>1014</v>
      </c>
      <c r="H86" s="149">
        <v>1</v>
      </c>
      <c r="I86" s="150">
        <v>3500</v>
      </c>
      <c r="J86" s="151">
        <f t="shared" si="6"/>
        <v>3500</v>
      </c>
      <c r="K86" s="152"/>
    </row>
    <row r="87" spans="1:14" s="141" customFormat="1" ht="20.25" customHeight="1">
      <c r="A87" s="147">
        <v>8</v>
      </c>
      <c r="B87" s="143" t="s">
        <v>1204</v>
      </c>
      <c r="C87" s="143" t="s">
        <v>1203</v>
      </c>
      <c r="D87" s="143" t="s">
        <v>1129</v>
      </c>
      <c r="E87" s="143" t="s">
        <v>1195</v>
      </c>
      <c r="F87" s="143">
        <v>1</v>
      </c>
      <c r="G87" s="143" t="s">
        <v>1024</v>
      </c>
      <c r="H87" s="149">
        <v>1</v>
      </c>
      <c r="I87" s="150">
        <v>2500</v>
      </c>
      <c r="J87" s="151">
        <f t="shared" si="6"/>
        <v>2500</v>
      </c>
      <c r="K87" s="152"/>
    </row>
    <row r="88" spans="1:14" s="141" customFormat="1" ht="20.25" customHeight="1">
      <c r="A88" s="147">
        <v>9</v>
      </c>
      <c r="B88" s="143" t="s">
        <v>1204</v>
      </c>
      <c r="C88" s="143" t="s">
        <v>1203</v>
      </c>
      <c r="D88" s="143" t="s">
        <v>1016</v>
      </c>
      <c r="E88" s="143" t="s">
        <v>1195</v>
      </c>
      <c r="F88" s="143">
        <v>1</v>
      </c>
      <c r="G88" s="143" t="s">
        <v>1017</v>
      </c>
      <c r="H88" s="149">
        <v>1</v>
      </c>
      <c r="I88" s="150">
        <v>32000</v>
      </c>
      <c r="J88" s="151">
        <f t="shared" si="6"/>
        <v>32000</v>
      </c>
      <c r="K88" s="152"/>
    </row>
    <row r="89" spans="1:14" s="141" customFormat="1" ht="20.25" customHeight="1">
      <c r="A89" s="147">
        <v>10</v>
      </c>
      <c r="B89" s="143" t="s">
        <v>1204</v>
      </c>
      <c r="C89" s="143" t="s">
        <v>1203</v>
      </c>
      <c r="D89" s="143" t="s">
        <v>1018</v>
      </c>
      <c r="E89" s="143" t="s">
        <v>1196</v>
      </c>
      <c r="F89" s="143">
        <v>1</v>
      </c>
      <c r="G89" s="143" t="s">
        <v>1019</v>
      </c>
      <c r="H89" s="149">
        <v>1</v>
      </c>
      <c r="I89" s="150">
        <v>14100</v>
      </c>
      <c r="J89" s="151">
        <f t="shared" si="6"/>
        <v>14100</v>
      </c>
      <c r="K89" s="152"/>
    </row>
    <row r="90" spans="1:14" s="141" customFormat="1" ht="20.25" customHeight="1">
      <c r="A90" s="147">
        <v>11</v>
      </c>
      <c r="B90" s="143" t="s">
        <v>1204</v>
      </c>
      <c r="C90" s="143" t="s">
        <v>1203</v>
      </c>
      <c r="D90" s="143" t="s">
        <v>1251</v>
      </c>
      <c r="E90" s="143" t="s">
        <v>1260</v>
      </c>
      <c r="F90" s="143">
        <v>1</v>
      </c>
      <c r="G90" s="143" t="s">
        <v>643</v>
      </c>
      <c r="H90" s="149">
        <v>1</v>
      </c>
      <c r="I90" s="150">
        <v>10000</v>
      </c>
      <c r="J90" s="151">
        <f t="shared" si="6"/>
        <v>10000</v>
      </c>
      <c r="K90" s="152"/>
    </row>
    <row r="91" spans="1:14" s="141" customFormat="1" ht="20.25" customHeight="1">
      <c r="A91" s="147">
        <v>12</v>
      </c>
      <c r="B91" s="143" t="s">
        <v>1204</v>
      </c>
      <c r="C91" s="143" t="s">
        <v>1203</v>
      </c>
      <c r="D91" s="143" t="s">
        <v>1253</v>
      </c>
      <c r="E91" s="143"/>
      <c r="F91" s="143">
        <v>1</v>
      </c>
      <c r="G91" s="143" t="s">
        <v>1254</v>
      </c>
      <c r="H91" s="149">
        <v>1</v>
      </c>
      <c r="I91" s="150">
        <v>5000</v>
      </c>
      <c r="J91" s="151">
        <f t="shared" si="6"/>
        <v>5000</v>
      </c>
      <c r="K91" s="152"/>
    </row>
    <row r="92" spans="1:14" s="141" customFormat="1" ht="20.25" customHeight="1">
      <c r="A92" s="147">
        <v>13</v>
      </c>
      <c r="B92" s="143" t="s">
        <v>1204</v>
      </c>
      <c r="C92" s="143" t="s">
        <v>1203</v>
      </c>
      <c r="D92" s="143" t="s">
        <v>1198</v>
      </c>
      <c r="E92" s="148" t="s">
        <v>1038</v>
      </c>
      <c r="F92" s="143">
        <v>2</v>
      </c>
      <c r="G92" s="149" t="s">
        <v>1029</v>
      </c>
      <c r="H92" s="149">
        <v>2</v>
      </c>
      <c r="I92" s="157">
        <f>19800/2</f>
        <v>9900</v>
      </c>
      <c r="J92" s="159">
        <f t="shared" si="6"/>
        <v>19800</v>
      </c>
      <c r="K92" s="152"/>
      <c r="M92" s="185">
        <v>881818</v>
      </c>
      <c r="N92" s="186" t="s">
        <v>1302</v>
      </c>
    </row>
    <row r="93" spans="1:14" s="141" customFormat="1" ht="20.25" customHeight="1">
      <c r="A93" s="147">
        <v>14</v>
      </c>
      <c r="B93" s="143" t="s">
        <v>1204</v>
      </c>
      <c r="C93" s="143" t="s">
        <v>1203</v>
      </c>
      <c r="D93" s="143" t="s">
        <v>1198</v>
      </c>
      <c r="E93" s="148" t="s">
        <v>1039</v>
      </c>
      <c r="F93" s="143">
        <v>2</v>
      </c>
      <c r="G93" s="149" t="s">
        <v>1029</v>
      </c>
      <c r="H93" s="149">
        <v>2</v>
      </c>
      <c r="I93" s="157">
        <f>9440/2</f>
        <v>4720</v>
      </c>
      <c r="J93" s="159">
        <f t="shared" si="6"/>
        <v>9440</v>
      </c>
      <c r="K93" s="152"/>
      <c r="M93" s="154">
        <f>200000+100000</f>
        <v>300000</v>
      </c>
      <c r="N93" s="210" t="s">
        <v>1562</v>
      </c>
    </row>
    <row r="94" spans="1:14" s="141" customFormat="1" ht="20.25" customHeight="1">
      <c r="A94" s="147">
        <v>15</v>
      </c>
      <c r="B94" s="143" t="s">
        <v>1204</v>
      </c>
      <c r="C94" s="143" t="s">
        <v>1203</v>
      </c>
      <c r="D94" s="143" t="s">
        <v>1050</v>
      </c>
      <c r="E94" s="148" t="s">
        <v>1051</v>
      </c>
      <c r="F94" s="143">
        <v>2</v>
      </c>
      <c r="G94" s="149" t="s">
        <v>1052</v>
      </c>
      <c r="H94" s="149">
        <v>2</v>
      </c>
      <c r="I94" s="157">
        <v>30000</v>
      </c>
      <c r="J94" s="159">
        <f t="shared" si="6"/>
        <v>60000</v>
      </c>
      <c r="K94" s="152"/>
      <c r="M94" s="183">
        <f>L97*7%</f>
        <v>24772.720000000001</v>
      </c>
      <c r="N94" s="141" t="s">
        <v>1303</v>
      </c>
    </row>
    <row r="95" spans="1:14" s="141" customFormat="1" ht="20.25" customHeight="1">
      <c r="A95" s="147">
        <v>16</v>
      </c>
      <c r="B95" s="143" t="s">
        <v>1204</v>
      </c>
      <c r="C95" s="143" t="s">
        <v>1203</v>
      </c>
      <c r="D95" s="143" t="s">
        <v>1041</v>
      </c>
      <c r="E95" s="148" t="s">
        <v>1035</v>
      </c>
      <c r="F95" s="143">
        <v>2</v>
      </c>
      <c r="G95" s="143" t="s">
        <v>1024</v>
      </c>
      <c r="H95" s="149">
        <v>2</v>
      </c>
      <c r="I95" s="150">
        <v>800</v>
      </c>
      <c r="J95" s="151">
        <f>H95*I95</f>
        <v>1600</v>
      </c>
      <c r="K95" s="152"/>
      <c r="M95" s="183">
        <f>(L97+M94)*20%</f>
        <v>75733.743999999992</v>
      </c>
      <c r="N95" s="141" t="s">
        <v>1304</v>
      </c>
    </row>
    <row r="96" spans="1:14" s="141" customFormat="1" ht="20.25" customHeight="1" thickBot="1">
      <c r="A96" s="147">
        <v>17</v>
      </c>
      <c r="B96" s="177" t="s">
        <v>1204</v>
      </c>
      <c r="C96" s="177" t="s">
        <v>1203</v>
      </c>
      <c r="D96" s="177" t="s">
        <v>1262</v>
      </c>
      <c r="E96" s="143" t="s">
        <v>1263</v>
      </c>
      <c r="F96" s="177">
        <v>2</v>
      </c>
      <c r="G96" s="177" t="s">
        <v>1116</v>
      </c>
      <c r="H96" s="178">
        <v>2</v>
      </c>
      <c r="I96" s="179">
        <v>700</v>
      </c>
      <c r="J96" s="180"/>
      <c r="K96" s="181"/>
      <c r="M96" s="183">
        <f>(L97+M94+M95)*25%</f>
        <v>113600.61599999999</v>
      </c>
      <c r="N96" s="141" t="s">
        <v>1305</v>
      </c>
    </row>
    <row r="97" spans="1:14" s="141" customFormat="1" ht="20.25" customHeight="1" thickBot="1">
      <c r="A97" s="160">
        <v>18</v>
      </c>
      <c r="B97" s="161" t="s">
        <v>1204</v>
      </c>
      <c r="C97" s="161" t="s">
        <v>1203</v>
      </c>
      <c r="D97" s="161" t="s">
        <v>1264</v>
      </c>
      <c r="E97" s="169" t="s">
        <v>1267</v>
      </c>
      <c r="F97" s="161">
        <v>1</v>
      </c>
      <c r="G97" s="161" t="s">
        <v>1116</v>
      </c>
      <c r="H97" s="162">
        <v>1</v>
      </c>
      <c r="I97" s="170">
        <v>1400</v>
      </c>
      <c r="J97" s="171">
        <f t="shared" ref="J97" si="7">H97*I97</f>
        <v>1400</v>
      </c>
      <c r="K97" s="163"/>
      <c r="L97" s="172">
        <f>SUM(J80:J97)</f>
        <v>353896</v>
      </c>
      <c r="M97" s="184">
        <f>L97+M93+M94+M95+M96</f>
        <v>868003.08</v>
      </c>
      <c r="N97" s="141" t="s">
        <v>1307</v>
      </c>
    </row>
    <row r="98" spans="1:14" ht="6.75" customHeight="1" thickBot="1"/>
    <row r="99" spans="1:14" s="141" customFormat="1" ht="18" thickBot="1">
      <c r="A99" s="137" t="s">
        <v>80</v>
      </c>
      <c r="B99" s="138" t="s">
        <v>1003</v>
      </c>
      <c r="C99" s="138" t="s">
        <v>1004</v>
      </c>
      <c r="D99" s="138" t="s">
        <v>1005</v>
      </c>
      <c r="E99" s="138" t="s">
        <v>1006</v>
      </c>
      <c r="F99" s="138" t="s">
        <v>1007</v>
      </c>
      <c r="G99" s="138" t="s">
        <v>1008</v>
      </c>
      <c r="H99" s="138" t="s">
        <v>1009</v>
      </c>
      <c r="I99" s="139" t="s">
        <v>1010</v>
      </c>
      <c r="J99" s="138" t="s">
        <v>1030</v>
      </c>
      <c r="K99" s="140" t="s">
        <v>1031</v>
      </c>
    </row>
    <row r="100" spans="1:14" s="141" customFormat="1" ht="20.25" customHeight="1">
      <c r="A100" s="142">
        <v>1</v>
      </c>
      <c r="B100" s="144" t="s">
        <v>1227</v>
      </c>
      <c r="C100" s="144" t="s">
        <v>996</v>
      </c>
      <c r="D100" s="144" t="s">
        <v>1197</v>
      </c>
      <c r="E100" s="144" t="s">
        <v>1000</v>
      </c>
      <c r="F100" s="144">
        <v>1</v>
      </c>
      <c r="G100" s="145" t="s">
        <v>1189</v>
      </c>
      <c r="H100" s="145">
        <v>1</v>
      </c>
      <c r="I100" s="156"/>
      <c r="J100" s="158">
        <f>H100*I100</f>
        <v>0</v>
      </c>
      <c r="K100" s="146"/>
    </row>
    <row r="101" spans="1:14" s="141" customFormat="1" ht="20.25" customHeight="1">
      <c r="A101" s="147">
        <v>2</v>
      </c>
      <c r="B101" s="143" t="s">
        <v>1206</v>
      </c>
      <c r="C101" s="143" t="s">
        <v>1205</v>
      </c>
      <c r="D101" s="143" t="s">
        <v>1198</v>
      </c>
      <c r="E101" s="148" t="s">
        <v>1228</v>
      </c>
      <c r="F101" s="143">
        <v>1</v>
      </c>
      <c r="G101" s="149" t="s">
        <v>1194</v>
      </c>
      <c r="H101" s="149">
        <v>1</v>
      </c>
      <c r="I101" s="157"/>
      <c r="J101" s="159">
        <f>H101*I101</f>
        <v>0</v>
      </c>
      <c r="K101" s="152"/>
    </row>
    <row r="102" spans="1:14" s="141" customFormat="1" ht="20.25" customHeight="1">
      <c r="A102" s="147">
        <v>3</v>
      </c>
      <c r="B102" s="143" t="s">
        <v>1206</v>
      </c>
      <c r="C102" s="143" t="s">
        <v>1205</v>
      </c>
      <c r="D102" s="143" t="s">
        <v>1198</v>
      </c>
      <c r="E102" s="148" t="s">
        <v>1193</v>
      </c>
      <c r="F102" s="143">
        <v>1</v>
      </c>
      <c r="G102" s="149" t="s">
        <v>1194</v>
      </c>
      <c r="H102" s="149">
        <v>1</v>
      </c>
      <c r="I102" s="157"/>
      <c r="J102" s="159">
        <f t="shared" ref="J102:J114" si="8">H102*I102</f>
        <v>0</v>
      </c>
      <c r="K102" s="152"/>
    </row>
    <row r="103" spans="1:14" s="141" customFormat="1" ht="20.25" customHeight="1">
      <c r="A103" s="147">
        <v>4</v>
      </c>
      <c r="B103" s="143" t="s">
        <v>1206</v>
      </c>
      <c r="C103" s="143" t="s">
        <v>1205</v>
      </c>
      <c r="D103" s="143" t="s">
        <v>1013</v>
      </c>
      <c r="E103" s="148" t="s">
        <v>1034</v>
      </c>
      <c r="F103" s="143">
        <v>1</v>
      </c>
      <c r="G103" s="143" t="s">
        <v>1014</v>
      </c>
      <c r="H103" s="149">
        <v>1</v>
      </c>
      <c r="I103" s="157">
        <v>33000</v>
      </c>
      <c r="J103" s="159">
        <f t="shared" si="8"/>
        <v>33000</v>
      </c>
      <c r="K103" s="152"/>
    </row>
    <row r="104" spans="1:14" s="141" customFormat="1" ht="20.25" customHeight="1">
      <c r="A104" s="147">
        <v>5</v>
      </c>
      <c r="B104" s="143" t="s">
        <v>1206</v>
      </c>
      <c r="C104" s="143" t="s">
        <v>1205</v>
      </c>
      <c r="D104" s="143" t="s">
        <v>1015</v>
      </c>
      <c r="E104" s="148" t="s">
        <v>1044</v>
      </c>
      <c r="F104" s="143">
        <v>4</v>
      </c>
      <c r="G104" s="143" t="s">
        <v>1014</v>
      </c>
      <c r="H104" s="149">
        <v>4</v>
      </c>
      <c r="I104" s="157">
        <v>1500</v>
      </c>
      <c r="J104" s="159">
        <f t="shared" si="8"/>
        <v>6000</v>
      </c>
      <c r="K104" s="152"/>
    </row>
    <row r="105" spans="1:14" s="141" customFormat="1" ht="20.25" customHeight="1">
      <c r="A105" s="147">
        <v>6</v>
      </c>
      <c r="B105" s="143" t="s">
        <v>1206</v>
      </c>
      <c r="C105" s="143" t="s">
        <v>1205</v>
      </c>
      <c r="D105" s="143" t="s">
        <v>1020</v>
      </c>
      <c r="E105" s="143" t="s">
        <v>1196</v>
      </c>
      <c r="F105" s="143">
        <v>1</v>
      </c>
      <c r="G105" s="143" t="s">
        <v>1014</v>
      </c>
      <c r="H105" s="149">
        <v>1</v>
      </c>
      <c r="I105" s="150">
        <v>9000</v>
      </c>
      <c r="J105" s="151">
        <f t="shared" si="8"/>
        <v>9000</v>
      </c>
      <c r="K105" s="152"/>
    </row>
    <row r="106" spans="1:14" s="141" customFormat="1" ht="20.25" customHeight="1">
      <c r="A106" s="147">
        <v>7</v>
      </c>
      <c r="B106" s="143" t="s">
        <v>1206</v>
      </c>
      <c r="C106" s="143" t="s">
        <v>1205</v>
      </c>
      <c r="D106" s="143" t="s">
        <v>1021</v>
      </c>
      <c r="E106" s="143" t="s">
        <v>1196</v>
      </c>
      <c r="F106" s="143">
        <v>1</v>
      </c>
      <c r="G106" s="143" t="s">
        <v>1014</v>
      </c>
      <c r="H106" s="149">
        <v>1</v>
      </c>
      <c r="I106" s="150">
        <v>3500</v>
      </c>
      <c r="J106" s="151">
        <f t="shared" si="8"/>
        <v>3500</v>
      </c>
      <c r="K106" s="152"/>
    </row>
    <row r="107" spans="1:14" s="141" customFormat="1" ht="20.25" customHeight="1">
      <c r="A107" s="147">
        <v>8</v>
      </c>
      <c r="B107" s="143" t="s">
        <v>1206</v>
      </c>
      <c r="C107" s="143" t="s">
        <v>1205</v>
      </c>
      <c r="D107" s="143" t="s">
        <v>1129</v>
      </c>
      <c r="E107" s="143" t="s">
        <v>1195</v>
      </c>
      <c r="F107" s="143">
        <v>1</v>
      </c>
      <c r="G107" s="143" t="s">
        <v>1024</v>
      </c>
      <c r="H107" s="149">
        <v>1</v>
      </c>
      <c r="I107" s="150">
        <v>2500</v>
      </c>
      <c r="J107" s="151">
        <f t="shared" si="8"/>
        <v>2500</v>
      </c>
      <c r="K107" s="152"/>
    </row>
    <row r="108" spans="1:14" s="141" customFormat="1" ht="20.25" customHeight="1">
      <c r="A108" s="147">
        <v>9</v>
      </c>
      <c r="B108" s="143" t="s">
        <v>1206</v>
      </c>
      <c r="C108" s="143" t="s">
        <v>1205</v>
      </c>
      <c r="D108" s="143" t="s">
        <v>1016</v>
      </c>
      <c r="E108" s="143" t="s">
        <v>1195</v>
      </c>
      <c r="F108" s="143">
        <v>1</v>
      </c>
      <c r="G108" s="143" t="s">
        <v>1017</v>
      </c>
      <c r="H108" s="149">
        <v>1</v>
      </c>
      <c r="I108" s="150">
        <v>32000</v>
      </c>
      <c r="J108" s="151">
        <f t="shared" si="8"/>
        <v>32000</v>
      </c>
      <c r="K108" s="152"/>
    </row>
    <row r="109" spans="1:14" s="141" customFormat="1" ht="20.25" customHeight="1">
      <c r="A109" s="147">
        <v>10</v>
      </c>
      <c r="B109" s="143" t="s">
        <v>1206</v>
      </c>
      <c r="C109" s="143" t="s">
        <v>1205</v>
      </c>
      <c r="D109" s="143" t="s">
        <v>1018</v>
      </c>
      <c r="E109" s="143" t="s">
        <v>1196</v>
      </c>
      <c r="F109" s="143">
        <v>1</v>
      </c>
      <c r="G109" s="143" t="s">
        <v>1019</v>
      </c>
      <c r="H109" s="149">
        <v>1</v>
      </c>
      <c r="I109" s="150">
        <v>14100</v>
      </c>
      <c r="J109" s="151">
        <f t="shared" si="8"/>
        <v>14100</v>
      </c>
      <c r="K109" s="152"/>
    </row>
    <row r="110" spans="1:14" s="141" customFormat="1" ht="20.25" customHeight="1">
      <c r="A110" s="147">
        <v>11</v>
      </c>
      <c r="B110" s="143" t="s">
        <v>1206</v>
      </c>
      <c r="C110" s="143" t="s">
        <v>1205</v>
      </c>
      <c r="D110" s="143" t="s">
        <v>1251</v>
      </c>
      <c r="E110" s="143" t="s">
        <v>1260</v>
      </c>
      <c r="F110" s="143">
        <v>1</v>
      </c>
      <c r="G110" s="143" t="s">
        <v>643</v>
      </c>
      <c r="H110" s="149">
        <v>1</v>
      </c>
      <c r="I110" s="150">
        <v>10000</v>
      </c>
      <c r="J110" s="151">
        <f t="shared" si="8"/>
        <v>10000</v>
      </c>
      <c r="K110" s="152"/>
    </row>
    <row r="111" spans="1:14" s="141" customFormat="1" ht="20.25" customHeight="1">
      <c r="A111" s="147">
        <v>12</v>
      </c>
      <c r="B111" s="143" t="s">
        <v>1206</v>
      </c>
      <c r="C111" s="143" t="s">
        <v>1205</v>
      </c>
      <c r="D111" s="143" t="s">
        <v>1253</v>
      </c>
      <c r="E111" s="143"/>
      <c r="F111" s="143">
        <v>1</v>
      </c>
      <c r="G111" s="143" t="s">
        <v>1254</v>
      </c>
      <c r="H111" s="149">
        <v>1</v>
      </c>
      <c r="I111" s="150">
        <v>5000</v>
      </c>
      <c r="J111" s="151">
        <f t="shared" si="8"/>
        <v>5000</v>
      </c>
      <c r="K111" s="152"/>
    </row>
    <row r="112" spans="1:14" s="141" customFormat="1" ht="20.25" customHeight="1">
      <c r="A112" s="147">
        <v>13</v>
      </c>
      <c r="B112" s="143" t="s">
        <v>1206</v>
      </c>
      <c r="C112" s="143" t="s">
        <v>1205</v>
      </c>
      <c r="D112" s="143" t="s">
        <v>1198</v>
      </c>
      <c r="E112" s="148" t="s">
        <v>1038</v>
      </c>
      <c r="F112" s="143">
        <v>1</v>
      </c>
      <c r="G112" s="149" t="s">
        <v>1029</v>
      </c>
      <c r="H112" s="149">
        <v>1</v>
      </c>
      <c r="I112" s="157">
        <f>19800/2</f>
        <v>9900</v>
      </c>
      <c r="J112" s="159">
        <f t="shared" si="8"/>
        <v>9900</v>
      </c>
      <c r="K112" s="152"/>
      <c r="M112" s="185">
        <v>875455</v>
      </c>
      <c r="N112" s="186" t="s">
        <v>1302</v>
      </c>
    </row>
    <row r="113" spans="1:14" s="141" customFormat="1" ht="20.25" customHeight="1">
      <c r="A113" s="147">
        <v>14</v>
      </c>
      <c r="B113" s="143" t="s">
        <v>1206</v>
      </c>
      <c r="C113" s="143" t="s">
        <v>1205</v>
      </c>
      <c r="D113" s="143" t="s">
        <v>1198</v>
      </c>
      <c r="E113" s="148" t="s">
        <v>1039</v>
      </c>
      <c r="F113" s="143">
        <v>1</v>
      </c>
      <c r="G113" s="149" t="s">
        <v>1029</v>
      </c>
      <c r="H113" s="149">
        <v>1</v>
      </c>
      <c r="I113" s="157">
        <f>9440/2</f>
        <v>4720</v>
      </c>
      <c r="J113" s="159">
        <f t="shared" si="8"/>
        <v>4720</v>
      </c>
      <c r="K113" s="152"/>
      <c r="M113" s="154">
        <f>200000+100000</f>
        <v>300000</v>
      </c>
      <c r="N113" s="210" t="s">
        <v>1562</v>
      </c>
    </row>
    <row r="114" spans="1:14" s="141" customFormat="1" ht="20.25" customHeight="1">
      <c r="A114" s="147">
        <v>15</v>
      </c>
      <c r="B114" s="143" t="s">
        <v>1206</v>
      </c>
      <c r="C114" s="143" t="s">
        <v>1205</v>
      </c>
      <c r="D114" s="143" t="s">
        <v>1050</v>
      </c>
      <c r="E114" s="148" t="s">
        <v>1051</v>
      </c>
      <c r="F114" s="143">
        <v>1</v>
      </c>
      <c r="G114" s="149" t="s">
        <v>1052</v>
      </c>
      <c r="H114" s="149">
        <v>1</v>
      </c>
      <c r="I114" s="157">
        <v>30000</v>
      </c>
      <c r="J114" s="159">
        <f t="shared" si="8"/>
        <v>30000</v>
      </c>
      <c r="K114" s="152"/>
      <c r="M114" s="183">
        <f>L117*7%</f>
        <v>11383.400000000001</v>
      </c>
      <c r="N114" s="141" t="s">
        <v>1303</v>
      </c>
    </row>
    <row r="115" spans="1:14" s="141" customFormat="1" ht="20.25" customHeight="1">
      <c r="A115" s="147">
        <v>16</v>
      </c>
      <c r="B115" s="143" t="s">
        <v>1206</v>
      </c>
      <c r="C115" s="143" t="s">
        <v>1205</v>
      </c>
      <c r="D115" s="143" t="s">
        <v>1041</v>
      </c>
      <c r="E115" s="148" t="s">
        <v>1035</v>
      </c>
      <c r="F115" s="143">
        <v>1</v>
      </c>
      <c r="G115" s="143" t="s">
        <v>1024</v>
      </c>
      <c r="H115" s="149">
        <v>1</v>
      </c>
      <c r="I115" s="150">
        <v>800</v>
      </c>
      <c r="J115" s="151">
        <f>H115*I115</f>
        <v>800</v>
      </c>
      <c r="K115" s="152"/>
      <c r="M115" s="183">
        <f>(L117+M114)*20%</f>
        <v>34800.68</v>
      </c>
      <c r="N115" s="141" t="s">
        <v>1304</v>
      </c>
    </row>
    <row r="116" spans="1:14" s="141" customFormat="1" ht="20.25" customHeight="1" thickBot="1">
      <c r="A116" s="147">
        <v>17</v>
      </c>
      <c r="B116" s="177" t="s">
        <v>1206</v>
      </c>
      <c r="C116" s="177" t="s">
        <v>1205</v>
      </c>
      <c r="D116" s="177" t="s">
        <v>1262</v>
      </c>
      <c r="E116" s="143" t="s">
        <v>1263</v>
      </c>
      <c r="F116" s="177">
        <v>1</v>
      </c>
      <c r="G116" s="177" t="s">
        <v>1116</v>
      </c>
      <c r="H116" s="178">
        <v>1</v>
      </c>
      <c r="I116" s="179">
        <v>700</v>
      </c>
      <c r="J116" s="151">
        <f>H116*I116</f>
        <v>700</v>
      </c>
      <c r="K116" s="181"/>
      <c r="M116" s="183">
        <f>(L117+M114+M115)*25%</f>
        <v>52201.02</v>
      </c>
      <c r="N116" s="141" t="s">
        <v>1305</v>
      </c>
    </row>
    <row r="117" spans="1:14" s="141" customFormat="1" ht="20.25" customHeight="1" thickBot="1">
      <c r="A117" s="160">
        <v>18</v>
      </c>
      <c r="B117" s="161" t="s">
        <v>1206</v>
      </c>
      <c r="C117" s="161" t="s">
        <v>1205</v>
      </c>
      <c r="D117" s="161" t="s">
        <v>1264</v>
      </c>
      <c r="E117" s="169" t="s">
        <v>1267</v>
      </c>
      <c r="F117" s="161">
        <v>1</v>
      </c>
      <c r="G117" s="161" t="s">
        <v>1116</v>
      </c>
      <c r="H117" s="162">
        <v>1</v>
      </c>
      <c r="I117" s="170">
        <v>1400</v>
      </c>
      <c r="J117" s="171">
        <f t="shared" ref="J117" si="9">H117*I117</f>
        <v>1400</v>
      </c>
      <c r="K117" s="163"/>
      <c r="L117" s="172">
        <f>SUM(J100:J117)</f>
        <v>162620</v>
      </c>
      <c r="M117" s="184">
        <f>L117+M113+M114+M115+M116</f>
        <v>561005.1</v>
      </c>
      <c r="N117" s="141" t="s">
        <v>1307</v>
      </c>
    </row>
    <row r="118" spans="1:14" ht="6.75" customHeight="1" thickBot="1"/>
    <row r="119" spans="1:14" s="141" customFormat="1" ht="18" thickBot="1">
      <c r="A119" s="137" t="s">
        <v>80</v>
      </c>
      <c r="B119" s="138" t="s">
        <v>1003</v>
      </c>
      <c r="C119" s="138" t="s">
        <v>1004</v>
      </c>
      <c r="D119" s="138" t="s">
        <v>1005</v>
      </c>
      <c r="E119" s="138" t="s">
        <v>1006</v>
      </c>
      <c r="F119" s="138" t="s">
        <v>1007</v>
      </c>
      <c r="G119" s="138" t="s">
        <v>1008</v>
      </c>
      <c r="H119" s="138" t="s">
        <v>1009</v>
      </c>
      <c r="I119" s="139" t="s">
        <v>1010</v>
      </c>
      <c r="J119" s="138" t="s">
        <v>1030</v>
      </c>
      <c r="K119" s="140" t="s">
        <v>1031</v>
      </c>
    </row>
    <row r="120" spans="1:14" s="141" customFormat="1" ht="20.25" customHeight="1">
      <c r="A120" s="142">
        <v>1</v>
      </c>
      <c r="B120" s="144" t="s">
        <v>1229</v>
      </c>
      <c r="C120" s="144" t="s">
        <v>997</v>
      </c>
      <c r="D120" s="144" t="s">
        <v>1197</v>
      </c>
      <c r="E120" s="144" t="s">
        <v>1000</v>
      </c>
      <c r="F120" s="144">
        <v>1</v>
      </c>
      <c r="G120" s="145" t="s">
        <v>1189</v>
      </c>
      <c r="H120" s="145">
        <v>1</v>
      </c>
      <c r="I120" s="156">
        <f>141000/2</f>
        <v>70500</v>
      </c>
      <c r="J120" s="158">
        <f>H120*I120</f>
        <v>70500</v>
      </c>
      <c r="K120" s="146"/>
    </row>
    <row r="121" spans="1:14" s="141" customFormat="1" ht="20.25" customHeight="1">
      <c r="A121" s="147">
        <v>2</v>
      </c>
      <c r="B121" s="143" t="s">
        <v>1208</v>
      </c>
      <c r="C121" s="143" t="s">
        <v>1207</v>
      </c>
      <c r="D121" s="143" t="s">
        <v>1198</v>
      </c>
      <c r="E121" s="148" t="s">
        <v>1228</v>
      </c>
      <c r="F121" s="143">
        <v>1</v>
      </c>
      <c r="G121" s="149" t="s">
        <v>1194</v>
      </c>
      <c r="H121" s="149">
        <v>1</v>
      </c>
      <c r="I121" s="157">
        <f>63380</f>
        <v>63380</v>
      </c>
      <c r="J121" s="159">
        <f>H121*I121</f>
        <v>63380</v>
      </c>
      <c r="K121" s="152"/>
    </row>
    <row r="122" spans="1:14" s="141" customFormat="1" ht="20.25" customHeight="1">
      <c r="A122" s="147">
        <v>3</v>
      </c>
      <c r="B122" s="143" t="s">
        <v>1208</v>
      </c>
      <c r="C122" s="143" t="s">
        <v>1207</v>
      </c>
      <c r="D122" s="143" t="s">
        <v>1198</v>
      </c>
      <c r="E122" s="148" t="s">
        <v>1193</v>
      </c>
      <c r="F122" s="143">
        <v>1</v>
      </c>
      <c r="G122" s="149" t="s">
        <v>1194</v>
      </c>
      <c r="H122" s="149">
        <v>1</v>
      </c>
      <c r="I122" s="157">
        <f>63380/5</f>
        <v>12676</v>
      </c>
      <c r="J122" s="159">
        <f t="shared" ref="J122:J134" si="10">H122*I122</f>
        <v>12676</v>
      </c>
      <c r="K122" s="152"/>
    </row>
    <row r="123" spans="1:14" s="141" customFormat="1" ht="20.25" customHeight="1">
      <c r="A123" s="147">
        <v>4</v>
      </c>
      <c r="B123" s="143" t="s">
        <v>1208</v>
      </c>
      <c r="C123" s="143" t="s">
        <v>1207</v>
      </c>
      <c r="D123" s="143" t="s">
        <v>1013</v>
      </c>
      <c r="E123" s="148" t="s">
        <v>1034</v>
      </c>
      <c r="F123" s="143">
        <v>1</v>
      </c>
      <c r="G123" s="143" t="s">
        <v>1014</v>
      </c>
      <c r="H123" s="149">
        <v>1</v>
      </c>
      <c r="I123" s="157">
        <v>33000</v>
      </c>
      <c r="J123" s="159">
        <f t="shared" si="10"/>
        <v>33000</v>
      </c>
      <c r="K123" s="152"/>
    </row>
    <row r="124" spans="1:14" s="141" customFormat="1" ht="20.25" customHeight="1">
      <c r="A124" s="147">
        <v>5</v>
      </c>
      <c r="B124" s="143" t="s">
        <v>1208</v>
      </c>
      <c r="C124" s="143" t="s">
        <v>1207</v>
      </c>
      <c r="D124" s="143" t="s">
        <v>1015</v>
      </c>
      <c r="E124" s="148" t="s">
        <v>1044</v>
      </c>
      <c r="F124" s="143">
        <v>4</v>
      </c>
      <c r="G124" s="143" t="s">
        <v>1014</v>
      </c>
      <c r="H124" s="149">
        <v>4</v>
      </c>
      <c r="I124" s="157">
        <v>1500</v>
      </c>
      <c r="J124" s="159">
        <f t="shared" si="10"/>
        <v>6000</v>
      </c>
      <c r="K124" s="152"/>
    </row>
    <row r="125" spans="1:14" s="141" customFormat="1" ht="20.25" customHeight="1">
      <c r="A125" s="147">
        <v>6</v>
      </c>
      <c r="B125" s="143" t="s">
        <v>1208</v>
      </c>
      <c r="C125" s="143" t="s">
        <v>1207</v>
      </c>
      <c r="D125" s="143" t="s">
        <v>1020</v>
      </c>
      <c r="E125" s="143" t="s">
        <v>1196</v>
      </c>
      <c r="F125" s="143">
        <v>1</v>
      </c>
      <c r="G125" s="143" t="s">
        <v>1014</v>
      </c>
      <c r="H125" s="149">
        <v>1</v>
      </c>
      <c r="I125" s="150">
        <v>9000</v>
      </c>
      <c r="J125" s="151">
        <f t="shared" si="10"/>
        <v>9000</v>
      </c>
      <c r="K125" s="152"/>
    </row>
    <row r="126" spans="1:14" s="141" customFormat="1" ht="20.25" customHeight="1">
      <c r="A126" s="147">
        <v>7</v>
      </c>
      <c r="B126" s="143" t="s">
        <v>1208</v>
      </c>
      <c r="C126" s="143" t="s">
        <v>1207</v>
      </c>
      <c r="D126" s="143" t="s">
        <v>1021</v>
      </c>
      <c r="E126" s="143" t="s">
        <v>1196</v>
      </c>
      <c r="F126" s="143">
        <v>1</v>
      </c>
      <c r="G126" s="143" t="s">
        <v>1014</v>
      </c>
      <c r="H126" s="149">
        <v>1</v>
      </c>
      <c r="I126" s="150">
        <v>3500</v>
      </c>
      <c r="J126" s="151">
        <f t="shared" si="10"/>
        <v>3500</v>
      </c>
      <c r="K126" s="152"/>
    </row>
    <row r="127" spans="1:14" s="141" customFormat="1" ht="20.25" customHeight="1">
      <c r="A127" s="147">
        <v>8</v>
      </c>
      <c r="B127" s="143" t="s">
        <v>1208</v>
      </c>
      <c r="C127" s="143" t="s">
        <v>1207</v>
      </c>
      <c r="D127" s="143" t="s">
        <v>1129</v>
      </c>
      <c r="E127" s="143" t="s">
        <v>1195</v>
      </c>
      <c r="F127" s="143">
        <v>1</v>
      </c>
      <c r="G127" s="143" t="s">
        <v>1024</v>
      </c>
      <c r="H127" s="149">
        <v>1</v>
      </c>
      <c r="I127" s="150">
        <v>2500</v>
      </c>
      <c r="J127" s="151">
        <f t="shared" si="10"/>
        <v>2500</v>
      </c>
      <c r="K127" s="152"/>
    </row>
    <row r="128" spans="1:14" s="141" customFormat="1" ht="20.25" customHeight="1">
      <c r="A128" s="147">
        <v>9</v>
      </c>
      <c r="B128" s="143" t="s">
        <v>1208</v>
      </c>
      <c r="C128" s="143" t="s">
        <v>1207</v>
      </c>
      <c r="D128" s="143" t="s">
        <v>1016</v>
      </c>
      <c r="E128" s="143" t="s">
        <v>1195</v>
      </c>
      <c r="F128" s="143">
        <v>1</v>
      </c>
      <c r="G128" s="143" t="s">
        <v>1017</v>
      </c>
      <c r="H128" s="149">
        <v>1</v>
      </c>
      <c r="I128" s="150">
        <v>32000</v>
      </c>
      <c r="J128" s="151">
        <f t="shared" si="10"/>
        <v>32000</v>
      </c>
      <c r="K128" s="152"/>
    </row>
    <row r="129" spans="1:14" s="141" customFormat="1" ht="20.25" customHeight="1">
      <c r="A129" s="147">
        <v>10</v>
      </c>
      <c r="B129" s="143" t="s">
        <v>1208</v>
      </c>
      <c r="C129" s="143" t="s">
        <v>1207</v>
      </c>
      <c r="D129" s="143" t="s">
        <v>1018</v>
      </c>
      <c r="E129" s="143" t="s">
        <v>1196</v>
      </c>
      <c r="F129" s="143">
        <v>1</v>
      </c>
      <c r="G129" s="143" t="s">
        <v>1019</v>
      </c>
      <c r="H129" s="149">
        <v>1</v>
      </c>
      <c r="I129" s="150">
        <v>14100</v>
      </c>
      <c r="J129" s="151">
        <f t="shared" si="10"/>
        <v>14100</v>
      </c>
      <c r="K129" s="152"/>
    </row>
    <row r="130" spans="1:14" s="141" customFormat="1" ht="20.25" customHeight="1">
      <c r="A130" s="147">
        <v>11</v>
      </c>
      <c r="B130" s="143" t="s">
        <v>1208</v>
      </c>
      <c r="C130" s="143" t="s">
        <v>1207</v>
      </c>
      <c r="D130" s="143" t="s">
        <v>1251</v>
      </c>
      <c r="E130" s="143" t="s">
        <v>1260</v>
      </c>
      <c r="F130" s="143">
        <v>1</v>
      </c>
      <c r="G130" s="143" t="s">
        <v>643</v>
      </c>
      <c r="H130" s="149">
        <v>1</v>
      </c>
      <c r="I130" s="150">
        <v>10000</v>
      </c>
      <c r="J130" s="151">
        <f t="shared" si="10"/>
        <v>10000</v>
      </c>
      <c r="K130" s="152"/>
    </row>
    <row r="131" spans="1:14" s="141" customFormat="1" ht="20.25" customHeight="1">
      <c r="A131" s="147">
        <v>12</v>
      </c>
      <c r="B131" s="143" t="s">
        <v>1208</v>
      </c>
      <c r="C131" s="143" t="s">
        <v>1207</v>
      </c>
      <c r="D131" s="143" t="s">
        <v>1253</v>
      </c>
      <c r="E131" s="143"/>
      <c r="F131" s="143">
        <v>1</v>
      </c>
      <c r="G131" s="143" t="s">
        <v>1254</v>
      </c>
      <c r="H131" s="149">
        <v>1</v>
      </c>
      <c r="I131" s="150">
        <v>5000</v>
      </c>
      <c r="J131" s="151">
        <f t="shared" si="10"/>
        <v>5000</v>
      </c>
      <c r="K131" s="152"/>
    </row>
    <row r="132" spans="1:14" s="141" customFormat="1" ht="20.25" customHeight="1">
      <c r="A132" s="147">
        <v>13</v>
      </c>
      <c r="B132" s="143" t="s">
        <v>1208</v>
      </c>
      <c r="C132" s="143" t="s">
        <v>1207</v>
      </c>
      <c r="D132" s="143" t="s">
        <v>1198</v>
      </c>
      <c r="E132" s="148" t="s">
        <v>1038</v>
      </c>
      <c r="F132" s="143">
        <v>2</v>
      </c>
      <c r="G132" s="149" t="s">
        <v>1029</v>
      </c>
      <c r="H132" s="149">
        <v>2</v>
      </c>
      <c r="I132" s="157">
        <f>19800/2</f>
        <v>9900</v>
      </c>
      <c r="J132" s="159">
        <f t="shared" si="10"/>
        <v>19800</v>
      </c>
      <c r="K132" s="152"/>
      <c r="M132" s="185">
        <v>955454</v>
      </c>
      <c r="N132" s="186" t="s">
        <v>1302</v>
      </c>
    </row>
    <row r="133" spans="1:14" s="141" customFormat="1" ht="20.25" customHeight="1">
      <c r="A133" s="147">
        <v>14</v>
      </c>
      <c r="B133" s="143" t="s">
        <v>1208</v>
      </c>
      <c r="C133" s="143" t="s">
        <v>1207</v>
      </c>
      <c r="D133" s="143" t="s">
        <v>1198</v>
      </c>
      <c r="E133" s="148" t="s">
        <v>1039</v>
      </c>
      <c r="F133" s="143">
        <v>2</v>
      </c>
      <c r="G133" s="149" t="s">
        <v>1029</v>
      </c>
      <c r="H133" s="149">
        <v>2</v>
      </c>
      <c r="I133" s="157">
        <f>9440/2</f>
        <v>4720</v>
      </c>
      <c r="J133" s="159">
        <f t="shared" si="10"/>
        <v>9440</v>
      </c>
      <c r="K133" s="152"/>
      <c r="M133" s="154">
        <f>200000+100000</f>
        <v>300000</v>
      </c>
      <c r="N133" s="210" t="s">
        <v>1562</v>
      </c>
    </row>
    <row r="134" spans="1:14" s="141" customFormat="1" ht="20.25" customHeight="1">
      <c r="A134" s="147">
        <v>15</v>
      </c>
      <c r="B134" s="143" t="s">
        <v>1208</v>
      </c>
      <c r="C134" s="143" t="s">
        <v>1207</v>
      </c>
      <c r="D134" s="143" t="s">
        <v>1050</v>
      </c>
      <c r="E134" s="148" t="s">
        <v>1051</v>
      </c>
      <c r="F134" s="143">
        <v>2</v>
      </c>
      <c r="G134" s="149" t="s">
        <v>1052</v>
      </c>
      <c r="H134" s="149">
        <v>2</v>
      </c>
      <c r="I134" s="157">
        <v>30000</v>
      </c>
      <c r="J134" s="159">
        <f t="shared" si="10"/>
        <v>60000</v>
      </c>
      <c r="K134" s="152"/>
      <c r="M134" s="183">
        <f>L137*7%</f>
        <v>24870.720000000001</v>
      </c>
      <c r="N134" s="141" t="s">
        <v>1303</v>
      </c>
    </row>
    <row r="135" spans="1:14" s="141" customFormat="1" ht="20.25" customHeight="1">
      <c r="A135" s="147">
        <v>16</v>
      </c>
      <c r="B135" s="143" t="s">
        <v>1208</v>
      </c>
      <c r="C135" s="143" t="s">
        <v>1207</v>
      </c>
      <c r="D135" s="143" t="s">
        <v>1041</v>
      </c>
      <c r="E135" s="148" t="s">
        <v>1035</v>
      </c>
      <c r="F135" s="143">
        <v>2</v>
      </c>
      <c r="G135" s="143" t="s">
        <v>1024</v>
      </c>
      <c r="H135" s="149">
        <v>2</v>
      </c>
      <c r="I135" s="150">
        <v>800</v>
      </c>
      <c r="J135" s="151">
        <f>H135*I135</f>
        <v>1600</v>
      </c>
      <c r="K135" s="152"/>
      <c r="M135" s="183">
        <f>(L137+M134)*20%</f>
        <v>76033.343999999997</v>
      </c>
      <c r="N135" s="141" t="s">
        <v>1304</v>
      </c>
    </row>
    <row r="136" spans="1:14" s="141" customFormat="1" ht="20.25" customHeight="1" thickBot="1">
      <c r="A136" s="147">
        <v>17</v>
      </c>
      <c r="B136" s="177" t="s">
        <v>1208</v>
      </c>
      <c r="C136" s="177" t="s">
        <v>1207</v>
      </c>
      <c r="D136" s="177" t="s">
        <v>1262</v>
      </c>
      <c r="E136" s="143" t="s">
        <v>1263</v>
      </c>
      <c r="F136" s="177">
        <v>2</v>
      </c>
      <c r="G136" s="177" t="s">
        <v>1116</v>
      </c>
      <c r="H136" s="178">
        <v>2</v>
      </c>
      <c r="I136" s="179">
        <v>700</v>
      </c>
      <c r="J136" s="151">
        <f>H136*I136</f>
        <v>1400</v>
      </c>
      <c r="K136" s="181"/>
      <c r="M136" s="183">
        <f>(L137+M134+M135)*25%</f>
        <v>114050.01599999999</v>
      </c>
      <c r="N136" s="141" t="s">
        <v>1305</v>
      </c>
    </row>
    <row r="137" spans="1:14" s="141" customFormat="1" ht="20.25" customHeight="1" thickBot="1">
      <c r="A137" s="160">
        <v>18</v>
      </c>
      <c r="B137" s="161" t="s">
        <v>1208</v>
      </c>
      <c r="C137" s="161" t="s">
        <v>1207</v>
      </c>
      <c r="D137" s="161" t="s">
        <v>1264</v>
      </c>
      <c r="E137" s="169" t="s">
        <v>1267</v>
      </c>
      <c r="F137" s="161">
        <v>1</v>
      </c>
      <c r="G137" s="161" t="s">
        <v>1116</v>
      </c>
      <c r="H137" s="162">
        <v>1</v>
      </c>
      <c r="I137" s="170">
        <v>1400</v>
      </c>
      <c r="J137" s="171">
        <f t="shared" ref="J137" si="11">H137*I137</f>
        <v>1400</v>
      </c>
      <c r="K137" s="163"/>
      <c r="L137" s="172">
        <f>SUM(J120:J137)</f>
        <v>355296</v>
      </c>
      <c r="M137" s="184">
        <f>L137+M133+M134+M135+M136</f>
        <v>870250.08</v>
      </c>
      <c r="N137" s="141" t="s">
        <v>1307</v>
      </c>
    </row>
    <row r="138" spans="1:14" ht="6.75" customHeight="1" thickBot="1"/>
    <row r="139" spans="1:14" s="141" customFormat="1" ht="18" thickBot="1">
      <c r="A139" s="137" t="s">
        <v>80</v>
      </c>
      <c r="B139" s="138" t="s">
        <v>1003</v>
      </c>
      <c r="C139" s="138" t="s">
        <v>1004</v>
      </c>
      <c r="D139" s="138" t="s">
        <v>1005</v>
      </c>
      <c r="E139" s="138" t="s">
        <v>1006</v>
      </c>
      <c r="F139" s="138" t="s">
        <v>1007</v>
      </c>
      <c r="G139" s="138" t="s">
        <v>1008</v>
      </c>
      <c r="H139" s="138" t="s">
        <v>1009</v>
      </c>
      <c r="I139" s="139" t="s">
        <v>1010</v>
      </c>
      <c r="J139" s="138" t="s">
        <v>1030</v>
      </c>
      <c r="K139" s="140" t="s">
        <v>1031</v>
      </c>
    </row>
    <row r="140" spans="1:14" s="141" customFormat="1" ht="20.25" customHeight="1">
      <c r="A140" s="142">
        <v>1</v>
      </c>
      <c r="B140" s="144" t="s">
        <v>1230</v>
      </c>
      <c r="C140" s="144" t="s">
        <v>998</v>
      </c>
      <c r="D140" s="144" t="s">
        <v>1197</v>
      </c>
      <c r="E140" s="144" t="s">
        <v>1000</v>
      </c>
      <c r="F140" s="144">
        <v>1</v>
      </c>
      <c r="G140" s="145" t="s">
        <v>1189</v>
      </c>
      <c r="H140" s="145">
        <v>1</v>
      </c>
      <c r="I140" s="156">
        <f>141000/2</f>
        <v>70500</v>
      </c>
      <c r="J140" s="158">
        <f>H140*I140</f>
        <v>70500</v>
      </c>
      <c r="K140" s="146"/>
    </row>
    <row r="141" spans="1:14" s="141" customFormat="1" ht="20.25" customHeight="1">
      <c r="A141" s="147">
        <v>2</v>
      </c>
      <c r="B141" s="143" t="s">
        <v>1210</v>
      </c>
      <c r="C141" s="143" t="s">
        <v>1209</v>
      </c>
      <c r="D141" s="143" t="s">
        <v>1198</v>
      </c>
      <c r="E141" s="148" t="s">
        <v>1231</v>
      </c>
      <c r="F141" s="143">
        <v>1</v>
      </c>
      <c r="G141" s="149" t="s">
        <v>1194</v>
      </c>
      <c r="H141" s="149">
        <v>1</v>
      </c>
      <c r="I141" s="157">
        <f>84500</f>
        <v>84500</v>
      </c>
      <c r="J141" s="159">
        <f>H141*I141</f>
        <v>84500</v>
      </c>
      <c r="K141" s="152"/>
    </row>
    <row r="142" spans="1:14" s="141" customFormat="1" ht="20.25" customHeight="1">
      <c r="A142" s="147">
        <v>3</v>
      </c>
      <c r="B142" s="143" t="s">
        <v>1210</v>
      </c>
      <c r="C142" s="143" t="s">
        <v>1209</v>
      </c>
      <c r="D142" s="143" t="s">
        <v>1198</v>
      </c>
      <c r="E142" s="148" t="s">
        <v>1193</v>
      </c>
      <c r="F142" s="143">
        <v>1</v>
      </c>
      <c r="G142" s="149" t="s">
        <v>1194</v>
      </c>
      <c r="H142" s="149">
        <v>1</v>
      </c>
      <c r="I142" s="157">
        <f>63380/5</f>
        <v>12676</v>
      </c>
      <c r="J142" s="159">
        <f t="shared" ref="J142:J154" si="12">H142*I142</f>
        <v>12676</v>
      </c>
      <c r="K142" s="152"/>
    </row>
    <row r="143" spans="1:14" s="141" customFormat="1" ht="20.25" customHeight="1">
      <c r="A143" s="147">
        <v>4</v>
      </c>
      <c r="B143" s="143" t="s">
        <v>1210</v>
      </c>
      <c r="C143" s="143" t="s">
        <v>1209</v>
      </c>
      <c r="D143" s="143" t="s">
        <v>1013</v>
      </c>
      <c r="E143" s="148" t="s">
        <v>1034</v>
      </c>
      <c r="F143" s="143">
        <v>1</v>
      </c>
      <c r="G143" s="143" t="s">
        <v>1014</v>
      </c>
      <c r="H143" s="149">
        <v>1</v>
      </c>
      <c r="I143" s="157">
        <v>33000</v>
      </c>
      <c r="J143" s="159">
        <f t="shared" si="12"/>
        <v>33000</v>
      </c>
      <c r="K143" s="152"/>
    </row>
    <row r="144" spans="1:14" s="141" customFormat="1" ht="20.25" customHeight="1">
      <c r="A144" s="147">
        <v>5</v>
      </c>
      <c r="B144" s="143" t="s">
        <v>1210</v>
      </c>
      <c r="C144" s="143" t="s">
        <v>1209</v>
      </c>
      <c r="D144" s="143" t="s">
        <v>1015</v>
      </c>
      <c r="E144" s="148" t="s">
        <v>1044</v>
      </c>
      <c r="F144" s="143">
        <v>4</v>
      </c>
      <c r="G144" s="143" t="s">
        <v>1014</v>
      </c>
      <c r="H144" s="149">
        <v>4</v>
      </c>
      <c r="I144" s="157">
        <v>1500</v>
      </c>
      <c r="J144" s="159">
        <f t="shared" si="12"/>
        <v>6000</v>
      </c>
      <c r="K144" s="152"/>
    </row>
    <row r="145" spans="1:14" s="141" customFormat="1" ht="20.25" customHeight="1">
      <c r="A145" s="147">
        <v>6</v>
      </c>
      <c r="B145" s="143" t="s">
        <v>1210</v>
      </c>
      <c r="C145" s="143" t="s">
        <v>1209</v>
      </c>
      <c r="D145" s="143" t="s">
        <v>1020</v>
      </c>
      <c r="E145" s="143" t="s">
        <v>1196</v>
      </c>
      <c r="F145" s="143">
        <v>1</v>
      </c>
      <c r="G145" s="143" t="s">
        <v>1014</v>
      </c>
      <c r="H145" s="149">
        <v>1</v>
      </c>
      <c r="I145" s="150">
        <v>9000</v>
      </c>
      <c r="J145" s="151">
        <f t="shared" si="12"/>
        <v>9000</v>
      </c>
      <c r="K145" s="152"/>
    </row>
    <row r="146" spans="1:14" s="141" customFormat="1" ht="20.25" customHeight="1">
      <c r="A146" s="147">
        <v>7</v>
      </c>
      <c r="B146" s="143" t="s">
        <v>1210</v>
      </c>
      <c r="C146" s="143" t="s">
        <v>1209</v>
      </c>
      <c r="D146" s="143" t="s">
        <v>1021</v>
      </c>
      <c r="E146" s="143" t="s">
        <v>1196</v>
      </c>
      <c r="F146" s="143">
        <v>1</v>
      </c>
      <c r="G146" s="143" t="s">
        <v>1014</v>
      </c>
      <c r="H146" s="149">
        <v>1</v>
      </c>
      <c r="I146" s="150">
        <v>3500</v>
      </c>
      <c r="J146" s="151">
        <f t="shared" si="12"/>
        <v>3500</v>
      </c>
      <c r="K146" s="152"/>
      <c r="N146" s="229">
        <f>L157+297000+100000+40000</f>
        <v>767296</v>
      </c>
    </row>
    <row r="147" spans="1:14" s="141" customFormat="1" ht="20.25" customHeight="1">
      <c r="A147" s="147">
        <v>8</v>
      </c>
      <c r="B147" s="143" t="s">
        <v>1210</v>
      </c>
      <c r="C147" s="143" t="s">
        <v>1209</v>
      </c>
      <c r="D147" s="143" t="s">
        <v>1129</v>
      </c>
      <c r="E147" s="143" t="s">
        <v>1195</v>
      </c>
      <c r="F147" s="143">
        <v>1</v>
      </c>
      <c r="G147" s="143" t="s">
        <v>1024</v>
      </c>
      <c r="H147" s="149">
        <v>1</v>
      </c>
      <c r="I147" s="150">
        <v>2500</v>
      </c>
      <c r="J147" s="151">
        <f t="shared" si="12"/>
        <v>2500</v>
      </c>
      <c r="K147" s="152"/>
    </row>
    <row r="148" spans="1:14" s="141" customFormat="1" ht="20.25" customHeight="1">
      <c r="A148" s="147">
        <v>9</v>
      </c>
      <c r="B148" s="143" t="s">
        <v>1210</v>
      </c>
      <c r="C148" s="143" t="s">
        <v>1209</v>
      </c>
      <c r="D148" s="143" t="s">
        <v>1016</v>
      </c>
      <c r="E148" s="143" t="s">
        <v>1195</v>
      </c>
      <c r="F148" s="143">
        <v>1</v>
      </c>
      <c r="G148" s="143" t="s">
        <v>1017</v>
      </c>
      <c r="H148" s="149">
        <v>1</v>
      </c>
      <c r="I148" s="150">
        <v>32000</v>
      </c>
      <c r="J148" s="151">
        <f t="shared" si="12"/>
        <v>32000</v>
      </c>
      <c r="K148" s="152"/>
    </row>
    <row r="149" spans="1:14" s="141" customFormat="1" ht="20.25" customHeight="1">
      <c r="A149" s="147">
        <v>10</v>
      </c>
      <c r="B149" s="143" t="s">
        <v>1210</v>
      </c>
      <c r="C149" s="143" t="s">
        <v>1209</v>
      </c>
      <c r="D149" s="143" t="s">
        <v>1018</v>
      </c>
      <c r="E149" s="143" t="s">
        <v>1196</v>
      </c>
      <c r="F149" s="143">
        <v>1</v>
      </c>
      <c r="G149" s="143" t="s">
        <v>1019</v>
      </c>
      <c r="H149" s="149">
        <v>1</v>
      </c>
      <c r="I149" s="150">
        <v>14100</v>
      </c>
      <c r="J149" s="151">
        <f t="shared" si="12"/>
        <v>14100</v>
      </c>
      <c r="K149" s="152"/>
    </row>
    <row r="150" spans="1:14" s="141" customFormat="1" ht="20.25" customHeight="1">
      <c r="A150" s="147">
        <v>11</v>
      </c>
      <c r="B150" s="143" t="s">
        <v>1210</v>
      </c>
      <c r="C150" s="143" t="s">
        <v>1209</v>
      </c>
      <c r="D150" s="143" t="s">
        <v>1251</v>
      </c>
      <c r="E150" s="143" t="s">
        <v>1260</v>
      </c>
      <c r="F150" s="143">
        <v>1</v>
      </c>
      <c r="G150" s="143" t="s">
        <v>643</v>
      </c>
      <c r="H150" s="149">
        <v>1</v>
      </c>
      <c r="I150" s="150">
        <v>10000</v>
      </c>
      <c r="J150" s="151">
        <f t="shared" si="12"/>
        <v>10000</v>
      </c>
      <c r="K150" s="152"/>
    </row>
    <row r="151" spans="1:14" s="141" customFormat="1" ht="20.25" customHeight="1">
      <c r="A151" s="147">
        <v>12</v>
      </c>
      <c r="B151" s="143" t="s">
        <v>1210</v>
      </c>
      <c r="C151" s="143" t="s">
        <v>1209</v>
      </c>
      <c r="D151" s="143" t="s">
        <v>1253</v>
      </c>
      <c r="E151" s="143"/>
      <c r="F151" s="143">
        <v>1</v>
      </c>
      <c r="G151" s="143" t="s">
        <v>1254</v>
      </c>
      <c r="H151" s="149">
        <v>1</v>
      </c>
      <c r="I151" s="150">
        <v>5000</v>
      </c>
      <c r="J151" s="151">
        <f t="shared" si="12"/>
        <v>5000</v>
      </c>
      <c r="K151" s="152"/>
    </row>
    <row r="152" spans="1:14" s="141" customFormat="1" ht="20.25" customHeight="1">
      <c r="A152" s="147">
        <v>13</v>
      </c>
      <c r="B152" s="143" t="s">
        <v>1210</v>
      </c>
      <c r="C152" s="143" t="s">
        <v>1209</v>
      </c>
      <c r="D152" s="143" t="s">
        <v>1198</v>
      </c>
      <c r="E152" s="148" t="s">
        <v>1038</v>
      </c>
      <c r="F152" s="143">
        <v>1</v>
      </c>
      <c r="G152" s="149" t="s">
        <v>1029</v>
      </c>
      <c r="H152" s="149">
        <v>1</v>
      </c>
      <c r="I152" s="157">
        <f>19800/2</f>
        <v>9900</v>
      </c>
      <c r="J152" s="159">
        <f t="shared" si="12"/>
        <v>9900</v>
      </c>
      <c r="K152" s="152"/>
      <c r="M152" s="185">
        <v>994545</v>
      </c>
      <c r="N152" s="186" t="s">
        <v>1302</v>
      </c>
    </row>
    <row r="153" spans="1:14" s="141" customFormat="1" ht="20.25" customHeight="1">
      <c r="A153" s="147">
        <v>14</v>
      </c>
      <c r="B153" s="143" t="s">
        <v>1210</v>
      </c>
      <c r="C153" s="143" t="s">
        <v>1209</v>
      </c>
      <c r="D153" s="143" t="s">
        <v>1198</v>
      </c>
      <c r="E153" s="148" t="s">
        <v>1039</v>
      </c>
      <c r="F153" s="143">
        <v>1</v>
      </c>
      <c r="G153" s="149" t="s">
        <v>1029</v>
      </c>
      <c r="H153" s="149">
        <v>1</v>
      </c>
      <c r="I153" s="157">
        <f>9440/2</f>
        <v>4720</v>
      </c>
      <c r="J153" s="159">
        <f t="shared" si="12"/>
        <v>4720</v>
      </c>
      <c r="K153" s="152"/>
      <c r="M153" s="154">
        <f>200000+100000</f>
        <v>300000</v>
      </c>
      <c r="N153" s="210" t="s">
        <v>1562</v>
      </c>
    </row>
    <row r="154" spans="1:14" s="141" customFormat="1" ht="20.25" customHeight="1">
      <c r="A154" s="147">
        <v>15</v>
      </c>
      <c r="B154" s="143" t="s">
        <v>1210</v>
      </c>
      <c r="C154" s="143" t="s">
        <v>1209</v>
      </c>
      <c r="D154" s="143" t="s">
        <v>1050</v>
      </c>
      <c r="E154" s="148" t="s">
        <v>1051</v>
      </c>
      <c r="F154" s="143">
        <v>1</v>
      </c>
      <c r="G154" s="149" t="s">
        <v>1052</v>
      </c>
      <c r="H154" s="149">
        <v>1</v>
      </c>
      <c r="I154" s="157">
        <v>30000</v>
      </c>
      <c r="J154" s="159">
        <f t="shared" si="12"/>
        <v>30000</v>
      </c>
      <c r="K154" s="152"/>
      <c r="M154" s="183">
        <f>L157*7%</f>
        <v>23120.720000000001</v>
      </c>
      <c r="N154" s="141" t="s">
        <v>1303</v>
      </c>
    </row>
    <row r="155" spans="1:14" s="141" customFormat="1" ht="20.25" customHeight="1">
      <c r="A155" s="147">
        <v>16</v>
      </c>
      <c r="B155" s="143" t="s">
        <v>1210</v>
      </c>
      <c r="C155" s="143" t="s">
        <v>1209</v>
      </c>
      <c r="D155" s="143" t="s">
        <v>1041</v>
      </c>
      <c r="E155" s="148" t="s">
        <v>1035</v>
      </c>
      <c r="F155" s="143">
        <v>1</v>
      </c>
      <c r="G155" s="143" t="s">
        <v>1024</v>
      </c>
      <c r="H155" s="149">
        <v>1</v>
      </c>
      <c r="I155" s="150">
        <v>800</v>
      </c>
      <c r="J155" s="151">
        <f>H155*I155</f>
        <v>800</v>
      </c>
      <c r="K155" s="152"/>
      <c r="M155" s="183">
        <f>(L157+M154)*20%</f>
        <v>70683.343999999997</v>
      </c>
      <c r="N155" s="141" t="s">
        <v>1304</v>
      </c>
    </row>
    <row r="156" spans="1:14" s="141" customFormat="1" ht="20.25" customHeight="1" thickBot="1">
      <c r="A156" s="147">
        <v>17</v>
      </c>
      <c r="B156" s="177" t="s">
        <v>1210</v>
      </c>
      <c r="C156" s="177" t="s">
        <v>1209</v>
      </c>
      <c r="D156" s="177" t="s">
        <v>1262</v>
      </c>
      <c r="E156" s="143" t="s">
        <v>1263</v>
      </c>
      <c r="F156" s="177">
        <v>1</v>
      </c>
      <c r="G156" s="177" t="s">
        <v>1116</v>
      </c>
      <c r="H156" s="178">
        <v>1</v>
      </c>
      <c r="I156" s="179">
        <v>700</v>
      </c>
      <c r="J156" s="151">
        <f>H156*I156</f>
        <v>700</v>
      </c>
      <c r="K156" s="181"/>
      <c r="M156" s="183">
        <f>(L157+M154+M155)*25%</f>
        <v>106025.01599999999</v>
      </c>
      <c r="N156" s="141" t="s">
        <v>1305</v>
      </c>
    </row>
    <row r="157" spans="1:14" s="141" customFormat="1" ht="20.25" customHeight="1" thickBot="1">
      <c r="A157" s="160">
        <v>18</v>
      </c>
      <c r="B157" s="161" t="s">
        <v>1210</v>
      </c>
      <c r="C157" s="161" t="s">
        <v>1209</v>
      </c>
      <c r="D157" s="161" t="s">
        <v>1264</v>
      </c>
      <c r="E157" s="169" t="s">
        <v>1267</v>
      </c>
      <c r="F157" s="161">
        <v>1</v>
      </c>
      <c r="G157" s="161" t="s">
        <v>1116</v>
      </c>
      <c r="H157" s="162">
        <v>1</v>
      </c>
      <c r="I157" s="170">
        <v>1400</v>
      </c>
      <c r="J157" s="171">
        <f t="shared" ref="J157" si="13">H157*I157</f>
        <v>1400</v>
      </c>
      <c r="K157" s="163"/>
      <c r="L157" s="172">
        <f>SUM(J140:J157)</f>
        <v>330296</v>
      </c>
      <c r="M157" s="184">
        <f>L157+M153+M154+M155+M156</f>
        <v>830125.08</v>
      </c>
      <c r="N157" s="141" t="s">
        <v>1307</v>
      </c>
    </row>
    <row r="158" spans="1:14" ht="6.75" customHeight="1" thickBot="1"/>
    <row r="159" spans="1:14" s="141" customFormat="1" ht="18" thickBot="1">
      <c r="A159" s="137" t="s">
        <v>80</v>
      </c>
      <c r="B159" s="138" t="s">
        <v>1003</v>
      </c>
      <c r="C159" s="138" t="s">
        <v>1004</v>
      </c>
      <c r="D159" s="138" t="s">
        <v>1005</v>
      </c>
      <c r="E159" s="138" t="s">
        <v>1006</v>
      </c>
      <c r="F159" s="138" t="s">
        <v>1007</v>
      </c>
      <c r="G159" s="138" t="s">
        <v>1008</v>
      </c>
      <c r="H159" s="138" t="s">
        <v>1009</v>
      </c>
      <c r="I159" s="139" t="s">
        <v>1010</v>
      </c>
      <c r="J159" s="138" t="s">
        <v>1030</v>
      </c>
      <c r="K159" s="140" t="s">
        <v>1031</v>
      </c>
    </row>
    <row r="160" spans="1:14" s="141" customFormat="1" ht="20.25" customHeight="1">
      <c r="A160" s="142">
        <v>1</v>
      </c>
      <c r="B160" s="144" t="s">
        <v>1232</v>
      </c>
      <c r="C160" s="144" t="s">
        <v>999</v>
      </c>
      <c r="D160" s="144" t="s">
        <v>1197</v>
      </c>
      <c r="E160" s="144" t="s">
        <v>1000</v>
      </c>
      <c r="F160" s="144">
        <v>1</v>
      </c>
      <c r="G160" s="145" t="s">
        <v>1189</v>
      </c>
      <c r="H160" s="145">
        <v>1</v>
      </c>
      <c r="I160" s="156">
        <f>141000/2</f>
        <v>70500</v>
      </c>
      <c r="J160" s="158">
        <f>H160*I160</f>
        <v>70500</v>
      </c>
      <c r="K160" s="146"/>
    </row>
    <row r="161" spans="1:14" s="141" customFormat="1" ht="20.25" customHeight="1">
      <c r="A161" s="147">
        <v>2</v>
      </c>
      <c r="B161" s="143" t="s">
        <v>1212</v>
      </c>
      <c r="C161" s="143" t="s">
        <v>1211</v>
      </c>
      <c r="D161" s="143" t="s">
        <v>1198</v>
      </c>
      <c r="E161" s="148" t="s">
        <v>1231</v>
      </c>
      <c r="F161" s="143">
        <v>1</v>
      </c>
      <c r="G161" s="149" t="s">
        <v>1194</v>
      </c>
      <c r="H161" s="149">
        <v>1</v>
      </c>
      <c r="I161" s="157">
        <f>84500</f>
        <v>84500</v>
      </c>
      <c r="J161" s="159">
        <f>H161*I161</f>
        <v>84500</v>
      </c>
      <c r="K161" s="152"/>
    </row>
    <row r="162" spans="1:14" s="141" customFormat="1" ht="20.25" customHeight="1">
      <c r="A162" s="147">
        <v>3</v>
      </c>
      <c r="B162" s="143" t="s">
        <v>1212</v>
      </c>
      <c r="C162" s="143" t="s">
        <v>1211</v>
      </c>
      <c r="D162" s="143" t="s">
        <v>1198</v>
      </c>
      <c r="E162" s="148" t="s">
        <v>1193</v>
      </c>
      <c r="F162" s="143">
        <v>1</v>
      </c>
      <c r="G162" s="149" t="s">
        <v>1194</v>
      </c>
      <c r="H162" s="149">
        <v>1</v>
      </c>
      <c r="I162" s="157">
        <f>63380/5</f>
        <v>12676</v>
      </c>
      <c r="J162" s="159">
        <f t="shared" ref="J162:J174" si="14">H162*I162</f>
        <v>12676</v>
      </c>
      <c r="K162" s="152"/>
    </row>
    <row r="163" spans="1:14" s="141" customFormat="1" ht="20.25" customHeight="1">
      <c r="A163" s="147">
        <v>4</v>
      </c>
      <c r="B163" s="143" t="s">
        <v>1212</v>
      </c>
      <c r="C163" s="143" t="s">
        <v>1211</v>
      </c>
      <c r="D163" s="143" t="s">
        <v>1013</v>
      </c>
      <c r="E163" s="148" t="s">
        <v>1034</v>
      </c>
      <c r="F163" s="143">
        <v>1</v>
      </c>
      <c r="G163" s="143" t="s">
        <v>1014</v>
      </c>
      <c r="H163" s="149">
        <v>1</v>
      </c>
      <c r="I163" s="157">
        <v>33000</v>
      </c>
      <c r="J163" s="159">
        <f t="shared" si="14"/>
        <v>33000</v>
      </c>
      <c r="K163" s="152"/>
    </row>
    <row r="164" spans="1:14" s="141" customFormat="1" ht="20.25" customHeight="1">
      <c r="A164" s="147">
        <v>5</v>
      </c>
      <c r="B164" s="143" t="s">
        <v>1212</v>
      </c>
      <c r="C164" s="143" t="s">
        <v>1211</v>
      </c>
      <c r="D164" s="143" t="s">
        <v>1015</v>
      </c>
      <c r="E164" s="148" t="s">
        <v>1044</v>
      </c>
      <c r="F164" s="143">
        <v>4</v>
      </c>
      <c r="G164" s="143" t="s">
        <v>1014</v>
      </c>
      <c r="H164" s="149">
        <v>4</v>
      </c>
      <c r="I164" s="157">
        <v>1500</v>
      </c>
      <c r="J164" s="159">
        <f t="shared" si="14"/>
        <v>6000</v>
      </c>
      <c r="K164" s="152"/>
    </row>
    <row r="165" spans="1:14" s="141" customFormat="1" ht="20.25" customHeight="1">
      <c r="A165" s="147">
        <v>6</v>
      </c>
      <c r="B165" s="143" t="s">
        <v>1212</v>
      </c>
      <c r="C165" s="143" t="s">
        <v>1211</v>
      </c>
      <c r="D165" s="143" t="s">
        <v>1020</v>
      </c>
      <c r="E165" s="143" t="s">
        <v>1196</v>
      </c>
      <c r="F165" s="143">
        <v>1</v>
      </c>
      <c r="G165" s="143" t="s">
        <v>1014</v>
      </c>
      <c r="H165" s="149">
        <v>1</v>
      </c>
      <c r="I165" s="150">
        <v>9000</v>
      </c>
      <c r="J165" s="151">
        <f t="shared" si="14"/>
        <v>9000</v>
      </c>
      <c r="K165" s="152"/>
    </row>
    <row r="166" spans="1:14" s="141" customFormat="1" ht="20.25" customHeight="1">
      <c r="A166" s="147">
        <v>7</v>
      </c>
      <c r="B166" s="143" t="s">
        <v>1212</v>
      </c>
      <c r="C166" s="143" t="s">
        <v>1211</v>
      </c>
      <c r="D166" s="143" t="s">
        <v>1021</v>
      </c>
      <c r="E166" s="143" t="s">
        <v>1196</v>
      </c>
      <c r="F166" s="143">
        <v>1</v>
      </c>
      <c r="G166" s="143" t="s">
        <v>1014</v>
      </c>
      <c r="H166" s="149">
        <v>1</v>
      </c>
      <c r="I166" s="150">
        <v>3500</v>
      </c>
      <c r="J166" s="151">
        <f t="shared" si="14"/>
        <v>3500</v>
      </c>
      <c r="K166" s="152"/>
    </row>
    <row r="167" spans="1:14" s="141" customFormat="1" ht="20.25" customHeight="1">
      <c r="A167" s="147">
        <v>8</v>
      </c>
      <c r="B167" s="143" t="s">
        <v>1212</v>
      </c>
      <c r="C167" s="143" t="s">
        <v>1211</v>
      </c>
      <c r="D167" s="143" t="s">
        <v>1129</v>
      </c>
      <c r="E167" s="143" t="s">
        <v>1195</v>
      </c>
      <c r="F167" s="143">
        <v>1</v>
      </c>
      <c r="G167" s="143" t="s">
        <v>1024</v>
      </c>
      <c r="H167" s="149">
        <v>1</v>
      </c>
      <c r="I167" s="150">
        <v>2500</v>
      </c>
      <c r="J167" s="151">
        <f t="shared" si="14"/>
        <v>2500</v>
      </c>
      <c r="K167" s="152"/>
    </row>
    <row r="168" spans="1:14" s="141" customFormat="1" ht="20.25" customHeight="1">
      <c r="A168" s="147">
        <v>9</v>
      </c>
      <c r="B168" s="143" t="s">
        <v>1212</v>
      </c>
      <c r="C168" s="143" t="s">
        <v>1211</v>
      </c>
      <c r="D168" s="143" t="s">
        <v>1016</v>
      </c>
      <c r="E168" s="143" t="s">
        <v>1195</v>
      </c>
      <c r="F168" s="143">
        <v>1</v>
      </c>
      <c r="G168" s="143" t="s">
        <v>1017</v>
      </c>
      <c r="H168" s="149">
        <v>1</v>
      </c>
      <c r="I168" s="150">
        <v>32000</v>
      </c>
      <c r="J168" s="151">
        <f t="shared" si="14"/>
        <v>32000</v>
      </c>
      <c r="K168" s="152"/>
    </row>
    <row r="169" spans="1:14" s="141" customFormat="1" ht="20.25" customHeight="1">
      <c r="A169" s="147">
        <v>10</v>
      </c>
      <c r="B169" s="143" t="s">
        <v>1212</v>
      </c>
      <c r="C169" s="143" t="s">
        <v>1211</v>
      </c>
      <c r="D169" s="143" t="s">
        <v>1018</v>
      </c>
      <c r="E169" s="143" t="s">
        <v>1196</v>
      </c>
      <c r="F169" s="143">
        <v>1</v>
      </c>
      <c r="G169" s="143" t="s">
        <v>1019</v>
      </c>
      <c r="H169" s="149">
        <v>1</v>
      </c>
      <c r="I169" s="150">
        <v>14100</v>
      </c>
      <c r="J169" s="151">
        <f t="shared" si="14"/>
        <v>14100</v>
      </c>
      <c r="K169" s="152"/>
    </row>
    <row r="170" spans="1:14" s="141" customFormat="1" ht="20.25" customHeight="1">
      <c r="A170" s="147">
        <v>11</v>
      </c>
      <c r="B170" s="143" t="s">
        <v>1212</v>
      </c>
      <c r="C170" s="143" t="s">
        <v>1211</v>
      </c>
      <c r="D170" s="143" t="s">
        <v>1251</v>
      </c>
      <c r="E170" s="143" t="s">
        <v>1260</v>
      </c>
      <c r="F170" s="143">
        <v>1</v>
      </c>
      <c r="G170" s="143" t="s">
        <v>643</v>
      </c>
      <c r="H170" s="149">
        <v>1</v>
      </c>
      <c r="I170" s="150">
        <v>10000</v>
      </c>
      <c r="J170" s="151">
        <f t="shared" si="14"/>
        <v>10000</v>
      </c>
      <c r="K170" s="152"/>
    </row>
    <row r="171" spans="1:14" s="141" customFormat="1" ht="20.25" customHeight="1">
      <c r="A171" s="147">
        <v>12</v>
      </c>
      <c r="B171" s="143" t="s">
        <v>1212</v>
      </c>
      <c r="C171" s="143" t="s">
        <v>1211</v>
      </c>
      <c r="D171" s="143" t="s">
        <v>1253</v>
      </c>
      <c r="E171" s="143"/>
      <c r="F171" s="143">
        <v>1</v>
      </c>
      <c r="G171" s="143" t="s">
        <v>1254</v>
      </c>
      <c r="H171" s="149">
        <v>1</v>
      </c>
      <c r="I171" s="150">
        <v>5000</v>
      </c>
      <c r="J171" s="151">
        <f t="shared" si="14"/>
        <v>5000</v>
      </c>
      <c r="K171" s="152"/>
    </row>
    <row r="172" spans="1:14" s="141" customFormat="1" ht="20.25" customHeight="1">
      <c r="A172" s="147">
        <v>13</v>
      </c>
      <c r="B172" s="143" t="s">
        <v>1212</v>
      </c>
      <c r="C172" s="143" t="s">
        <v>1211</v>
      </c>
      <c r="D172" s="143" t="s">
        <v>1198</v>
      </c>
      <c r="E172" s="148" t="s">
        <v>1038</v>
      </c>
      <c r="F172" s="143">
        <v>2</v>
      </c>
      <c r="G172" s="149" t="s">
        <v>1029</v>
      </c>
      <c r="H172" s="149">
        <v>2</v>
      </c>
      <c r="I172" s="157">
        <f>19800/2</f>
        <v>9900</v>
      </c>
      <c r="J172" s="159">
        <f t="shared" si="14"/>
        <v>19800</v>
      </c>
      <c r="K172" s="152"/>
      <c r="M172" s="185">
        <v>1060909</v>
      </c>
      <c r="N172" s="186" t="s">
        <v>1302</v>
      </c>
    </row>
    <row r="173" spans="1:14" s="141" customFormat="1" ht="20.25" customHeight="1">
      <c r="A173" s="147">
        <v>14</v>
      </c>
      <c r="B173" s="143" t="s">
        <v>1212</v>
      </c>
      <c r="C173" s="143" t="s">
        <v>1211</v>
      </c>
      <c r="D173" s="143" t="s">
        <v>1198</v>
      </c>
      <c r="E173" s="148" t="s">
        <v>1039</v>
      </c>
      <c r="F173" s="143">
        <v>2</v>
      </c>
      <c r="G173" s="149" t="s">
        <v>1029</v>
      </c>
      <c r="H173" s="149">
        <v>2</v>
      </c>
      <c r="I173" s="157">
        <f>9440/2</f>
        <v>4720</v>
      </c>
      <c r="J173" s="159">
        <f t="shared" si="14"/>
        <v>9440</v>
      </c>
      <c r="K173" s="152"/>
      <c r="M173" s="154">
        <f>200000+100000</f>
        <v>300000</v>
      </c>
      <c r="N173" s="210" t="s">
        <v>1562</v>
      </c>
    </row>
    <row r="174" spans="1:14" s="141" customFormat="1" ht="20.25" customHeight="1">
      <c r="A174" s="147">
        <v>15</v>
      </c>
      <c r="B174" s="143" t="s">
        <v>1212</v>
      </c>
      <c r="C174" s="143" t="s">
        <v>1211</v>
      </c>
      <c r="D174" s="143" t="s">
        <v>1050</v>
      </c>
      <c r="E174" s="148" t="s">
        <v>1051</v>
      </c>
      <c r="F174" s="143">
        <v>2</v>
      </c>
      <c r="G174" s="149" t="s">
        <v>1052</v>
      </c>
      <c r="H174" s="149">
        <v>2</v>
      </c>
      <c r="I174" s="157">
        <v>30000</v>
      </c>
      <c r="J174" s="159">
        <f t="shared" si="14"/>
        <v>60000</v>
      </c>
      <c r="K174" s="152"/>
      <c r="M174" s="183">
        <f>L177*7%</f>
        <v>26349.120000000003</v>
      </c>
      <c r="N174" s="141" t="s">
        <v>1303</v>
      </c>
    </row>
    <row r="175" spans="1:14" s="141" customFormat="1" ht="20.25" customHeight="1">
      <c r="A175" s="147">
        <v>16</v>
      </c>
      <c r="B175" s="143" t="s">
        <v>1212</v>
      </c>
      <c r="C175" s="143" t="s">
        <v>1211</v>
      </c>
      <c r="D175" s="143" t="s">
        <v>1041</v>
      </c>
      <c r="E175" s="148" t="s">
        <v>1035</v>
      </c>
      <c r="F175" s="143">
        <v>2</v>
      </c>
      <c r="G175" s="143" t="s">
        <v>1024</v>
      </c>
      <c r="H175" s="149">
        <v>2</v>
      </c>
      <c r="I175" s="150">
        <v>800</v>
      </c>
      <c r="J175" s="151">
        <f>H175*I175</f>
        <v>1600</v>
      </c>
      <c r="K175" s="152"/>
      <c r="M175" s="183">
        <f>(L177+M174)*20%</f>
        <v>80553.024000000005</v>
      </c>
      <c r="N175" s="141" t="s">
        <v>1304</v>
      </c>
    </row>
    <row r="176" spans="1:14" s="141" customFormat="1" ht="20.25" customHeight="1" thickBot="1">
      <c r="A176" s="147">
        <v>17</v>
      </c>
      <c r="B176" s="177" t="s">
        <v>1212</v>
      </c>
      <c r="C176" s="177" t="s">
        <v>1211</v>
      </c>
      <c r="D176" s="177" t="s">
        <v>1262</v>
      </c>
      <c r="E176" s="143" t="s">
        <v>1263</v>
      </c>
      <c r="F176" s="177">
        <v>2</v>
      </c>
      <c r="G176" s="177" t="s">
        <v>1116</v>
      </c>
      <c r="H176" s="178">
        <v>2</v>
      </c>
      <c r="I176" s="179">
        <v>700</v>
      </c>
      <c r="J176" s="151">
        <f>H176*I176</f>
        <v>1400</v>
      </c>
      <c r="K176" s="181"/>
      <c r="M176" s="183">
        <f>(L177+M174+M175)*25%</f>
        <v>120829.53599999999</v>
      </c>
      <c r="N176" s="141" t="s">
        <v>1305</v>
      </c>
    </row>
    <row r="177" spans="1:14" s="141" customFormat="1" ht="20.25" customHeight="1" thickBot="1">
      <c r="A177" s="160">
        <v>18</v>
      </c>
      <c r="B177" s="161" t="s">
        <v>1212</v>
      </c>
      <c r="C177" s="161" t="s">
        <v>1211</v>
      </c>
      <c r="D177" s="161" t="s">
        <v>1264</v>
      </c>
      <c r="E177" s="169" t="s">
        <v>1267</v>
      </c>
      <c r="F177" s="161">
        <v>1</v>
      </c>
      <c r="G177" s="161" t="s">
        <v>1116</v>
      </c>
      <c r="H177" s="162">
        <v>1</v>
      </c>
      <c r="I177" s="170">
        <v>1400</v>
      </c>
      <c r="J177" s="171">
        <f t="shared" ref="J177" si="15">H177*I177</f>
        <v>1400</v>
      </c>
      <c r="K177" s="163"/>
      <c r="L177" s="172">
        <f>SUM(J160:J177)</f>
        <v>376416</v>
      </c>
      <c r="M177" s="184">
        <f>L177+M173+M174+M175+M176</f>
        <v>904147.67999999993</v>
      </c>
      <c r="N177" s="141" t="s">
        <v>1307</v>
      </c>
    </row>
    <row r="178" spans="1:14" ht="7.5" customHeight="1" thickBot="1"/>
    <row r="179" spans="1:14" s="141" customFormat="1" ht="18" thickBot="1">
      <c r="A179" s="137" t="s">
        <v>80</v>
      </c>
      <c r="B179" s="138" t="s">
        <v>1003</v>
      </c>
      <c r="C179" s="138" t="s">
        <v>1004</v>
      </c>
      <c r="D179" s="138" t="s">
        <v>1005</v>
      </c>
      <c r="E179" s="138" t="s">
        <v>1006</v>
      </c>
      <c r="F179" s="138" t="s">
        <v>1007</v>
      </c>
      <c r="G179" s="138" t="s">
        <v>1008</v>
      </c>
      <c r="H179" s="138" t="s">
        <v>1009</v>
      </c>
      <c r="I179" s="139" t="s">
        <v>1010</v>
      </c>
      <c r="J179" s="138" t="s">
        <v>1030</v>
      </c>
      <c r="K179" s="140" t="s">
        <v>1031</v>
      </c>
    </row>
    <row r="180" spans="1:14" s="141" customFormat="1" ht="20.25" customHeight="1">
      <c r="A180" s="142">
        <v>1</v>
      </c>
      <c r="B180" s="144" t="s">
        <v>1233</v>
      </c>
      <c r="C180" s="144" t="s">
        <v>988</v>
      </c>
      <c r="D180" s="144" t="s">
        <v>1197</v>
      </c>
      <c r="E180" s="144" t="s">
        <v>1234</v>
      </c>
      <c r="F180" s="144">
        <v>1</v>
      </c>
      <c r="G180" s="145" t="s">
        <v>1189</v>
      </c>
      <c r="H180" s="145">
        <v>1</v>
      </c>
      <c r="I180" s="156">
        <f>73610/4</f>
        <v>18402.5</v>
      </c>
      <c r="J180" s="158">
        <f>H180*I180</f>
        <v>18402.5</v>
      </c>
      <c r="K180" s="146"/>
    </row>
    <row r="181" spans="1:14" s="141" customFormat="1" ht="20.25" customHeight="1">
      <c r="A181" s="147">
        <v>2</v>
      </c>
      <c r="B181" s="143" t="s">
        <v>1214</v>
      </c>
      <c r="C181" s="143" t="s">
        <v>1213</v>
      </c>
      <c r="D181" s="143" t="s">
        <v>1198</v>
      </c>
      <c r="E181" s="148" t="s">
        <v>1235</v>
      </c>
      <c r="F181" s="143">
        <v>1</v>
      </c>
      <c r="G181" s="149" t="s">
        <v>1194</v>
      </c>
      <c r="H181" s="149">
        <v>1</v>
      </c>
      <c r="I181" s="157">
        <f>32420/3</f>
        <v>10806.666666666666</v>
      </c>
      <c r="J181" s="159">
        <f>H181*I181</f>
        <v>10806.666666666666</v>
      </c>
      <c r="K181" s="152"/>
    </row>
    <row r="182" spans="1:14" s="141" customFormat="1" ht="20.25" customHeight="1">
      <c r="A182" s="147">
        <v>3</v>
      </c>
      <c r="B182" s="143" t="s">
        <v>1214</v>
      </c>
      <c r="C182" s="143" t="s">
        <v>1213</v>
      </c>
      <c r="D182" s="143" t="s">
        <v>1198</v>
      </c>
      <c r="E182" s="148" t="s">
        <v>1141</v>
      </c>
      <c r="F182" s="143">
        <v>1</v>
      </c>
      <c r="G182" s="149" t="s">
        <v>1194</v>
      </c>
      <c r="H182" s="149">
        <v>1</v>
      </c>
      <c r="I182" s="157">
        <f>32420/7</f>
        <v>4631.4285714285716</v>
      </c>
      <c r="J182" s="159">
        <f t="shared" ref="J182:J195" si="16">H182*I182</f>
        <v>4631.4285714285716</v>
      </c>
      <c r="K182" s="152"/>
    </row>
    <row r="183" spans="1:14" s="141" customFormat="1" ht="20.25" customHeight="1">
      <c r="A183" s="147">
        <v>4</v>
      </c>
      <c r="B183" s="143" t="s">
        <v>1214</v>
      </c>
      <c r="C183" s="143" t="s">
        <v>1213</v>
      </c>
      <c r="D183" s="143" t="s">
        <v>1013</v>
      </c>
      <c r="E183" s="148" t="s">
        <v>1143</v>
      </c>
      <c r="F183" s="143">
        <v>1</v>
      </c>
      <c r="G183" s="143" t="s">
        <v>1014</v>
      </c>
      <c r="H183" s="149">
        <v>1</v>
      </c>
      <c r="I183" s="157">
        <v>13000</v>
      </c>
      <c r="J183" s="159">
        <f t="shared" si="16"/>
        <v>13000</v>
      </c>
      <c r="K183" s="152"/>
    </row>
    <row r="184" spans="1:14" s="141" customFormat="1" ht="20.25" customHeight="1">
      <c r="A184" s="147">
        <v>5</v>
      </c>
      <c r="B184" s="143" t="s">
        <v>1214</v>
      </c>
      <c r="C184" s="143" t="s">
        <v>1213</v>
      </c>
      <c r="D184" s="143" t="s">
        <v>1015</v>
      </c>
      <c r="E184" s="148" t="s">
        <v>1144</v>
      </c>
      <c r="F184" s="143">
        <v>4</v>
      </c>
      <c r="G184" s="143" t="s">
        <v>1014</v>
      </c>
      <c r="H184" s="149">
        <v>4</v>
      </c>
      <c r="I184" s="157">
        <v>1200</v>
      </c>
      <c r="J184" s="159">
        <f t="shared" si="16"/>
        <v>4800</v>
      </c>
      <c r="K184" s="152"/>
    </row>
    <row r="185" spans="1:14" s="141" customFormat="1" ht="20.25" customHeight="1">
      <c r="A185" s="147">
        <v>6</v>
      </c>
      <c r="B185" s="143" t="s">
        <v>1214</v>
      </c>
      <c r="C185" s="143" t="s">
        <v>1213</v>
      </c>
      <c r="D185" s="143" t="s">
        <v>1020</v>
      </c>
      <c r="E185" s="143" t="s">
        <v>1236</v>
      </c>
      <c r="F185" s="143">
        <v>1</v>
      </c>
      <c r="G185" s="143" t="s">
        <v>1014</v>
      </c>
      <c r="H185" s="149">
        <v>1</v>
      </c>
      <c r="I185" s="150">
        <v>7000</v>
      </c>
      <c r="J185" s="151">
        <f t="shared" si="16"/>
        <v>7000</v>
      </c>
      <c r="K185" s="152"/>
    </row>
    <row r="186" spans="1:14" s="141" customFormat="1" ht="20.25" customHeight="1">
      <c r="A186" s="147">
        <v>7</v>
      </c>
      <c r="B186" s="143" t="s">
        <v>1214</v>
      </c>
      <c r="C186" s="143" t="s">
        <v>1213</v>
      </c>
      <c r="D186" s="143" t="s">
        <v>1021</v>
      </c>
      <c r="E186" s="143" t="s">
        <v>1236</v>
      </c>
      <c r="F186" s="143">
        <v>1</v>
      </c>
      <c r="G186" s="143" t="s">
        <v>1014</v>
      </c>
      <c r="H186" s="149">
        <v>1</v>
      </c>
      <c r="I186" s="150">
        <v>2500</v>
      </c>
      <c r="J186" s="151">
        <f t="shared" si="16"/>
        <v>2500</v>
      </c>
      <c r="K186" s="152"/>
    </row>
    <row r="187" spans="1:14" s="141" customFormat="1" ht="20.25" customHeight="1">
      <c r="A187" s="147">
        <v>8</v>
      </c>
      <c r="B187" s="143" t="s">
        <v>1214</v>
      </c>
      <c r="C187" s="143" t="s">
        <v>1213</v>
      </c>
      <c r="D187" s="143" t="s">
        <v>1145</v>
      </c>
      <c r="E187" s="143" t="s">
        <v>1146</v>
      </c>
      <c r="F187" s="143">
        <v>1</v>
      </c>
      <c r="G187" s="143" t="s">
        <v>1147</v>
      </c>
      <c r="H187" s="149">
        <v>1</v>
      </c>
      <c r="I187" s="150">
        <v>16000</v>
      </c>
      <c r="J187" s="151"/>
      <c r="K187" s="152"/>
    </row>
    <row r="188" spans="1:14" s="141" customFormat="1" ht="20.25" customHeight="1">
      <c r="A188" s="147">
        <v>9</v>
      </c>
      <c r="B188" s="143" t="s">
        <v>1214</v>
      </c>
      <c r="C188" s="143" t="s">
        <v>1213</v>
      </c>
      <c r="D188" s="143" t="s">
        <v>1129</v>
      </c>
      <c r="E188" s="143" t="s">
        <v>1148</v>
      </c>
      <c r="F188" s="143">
        <v>1</v>
      </c>
      <c r="G188" s="143" t="s">
        <v>1024</v>
      </c>
      <c r="H188" s="149">
        <v>1</v>
      </c>
      <c r="I188" s="150">
        <v>2000</v>
      </c>
      <c r="J188" s="151">
        <f t="shared" si="16"/>
        <v>2000</v>
      </c>
      <c r="K188" s="152"/>
    </row>
    <row r="189" spans="1:14" s="141" customFormat="1" ht="20.25" customHeight="1">
      <c r="A189" s="147">
        <v>10</v>
      </c>
      <c r="B189" s="143" t="s">
        <v>1214</v>
      </c>
      <c r="C189" s="143" t="s">
        <v>1213</v>
      </c>
      <c r="D189" s="143" t="s">
        <v>1023</v>
      </c>
      <c r="E189" s="143" t="s">
        <v>1150</v>
      </c>
      <c r="F189" s="143">
        <v>1</v>
      </c>
      <c r="G189" s="143" t="s">
        <v>1024</v>
      </c>
      <c r="H189" s="149">
        <v>1</v>
      </c>
      <c r="I189" s="150">
        <v>4000</v>
      </c>
      <c r="J189" s="151">
        <f t="shared" si="16"/>
        <v>4000</v>
      </c>
      <c r="K189" s="152"/>
    </row>
    <row r="190" spans="1:14" s="141" customFormat="1" ht="20.25" customHeight="1">
      <c r="A190" s="147">
        <v>11</v>
      </c>
      <c r="B190" s="143" t="s">
        <v>1214</v>
      </c>
      <c r="C190" s="143" t="s">
        <v>1213</v>
      </c>
      <c r="D190" s="143" t="s">
        <v>1251</v>
      </c>
      <c r="E190" s="143" t="s">
        <v>1261</v>
      </c>
      <c r="F190" s="143">
        <v>1</v>
      </c>
      <c r="G190" s="143" t="s">
        <v>643</v>
      </c>
      <c r="H190" s="149">
        <v>1</v>
      </c>
      <c r="I190" s="150">
        <v>10000</v>
      </c>
      <c r="J190" s="151">
        <f t="shared" si="16"/>
        <v>10000</v>
      </c>
      <c r="K190" s="152"/>
    </row>
    <row r="191" spans="1:14" s="141" customFormat="1" ht="20.25" customHeight="1">
      <c r="A191" s="147">
        <v>12</v>
      </c>
      <c r="B191" s="143" t="s">
        <v>1214</v>
      </c>
      <c r="C191" s="143" t="s">
        <v>1213</v>
      </c>
      <c r="D191" s="143" t="s">
        <v>1253</v>
      </c>
      <c r="E191" s="143"/>
      <c r="F191" s="143">
        <v>1</v>
      </c>
      <c r="G191" s="143" t="s">
        <v>1254</v>
      </c>
      <c r="H191" s="149">
        <v>1</v>
      </c>
      <c r="I191" s="150">
        <v>5000</v>
      </c>
      <c r="J191" s="151">
        <f t="shared" si="16"/>
        <v>5000</v>
      </c>
      <c r="K191" s="152"/>
    </row>
    <row r="192" spans="1:14" s="141" customFormat="1" ht="20.25" customHeight="1">
      <c r="A192" s="147">
        <v>13</v>
      </c>
      <c r="B192" s="143" t="s">
        <v>1214</v>
      </c>
      <c r="C192" s="143" t="s">
        <v>1213</v>
      </c>
      <c r="D192" s="143" t="s">
        <v>1198</v>
      </c>
      <c r="E192" s="148" t="s">
        <v>1215</v>
      </c>
      <c r="F192" s="143">
        <v>1</v>
      </c>
      <c r="G192" s="149" t="s">
        <v>1194</v>
      </c>
      <c r="H192" s="149">
        <v>1</v>
      </c>
      <c r="I192" s="157">
        <f>13190/2</f>
        <v>6595</v>
      </c>
      <c r="J192" s="159">
        <f t="shared" si="16"/>
        <v>6595</v>
      </c>
      <c r="K192" s="152"/>
    </row>
    <row r="193" spans="1:14" s="141" customFormat="1" ht="20.25" customHeight="1">
      <c r="A193" s="147">
        <v>14</v>
      </c>
      <c r="B193" s="143" t="s">
        <v>1214</v>
      </c>
      <c r="C193" s="143" t="s">
        <v>1213</v>
      </c>
      <c r="D193" s="143" t="s">
        <v>1198</v>
      </c>
      <c r="E193" s="148" t="s">
        <v>1216</v>
      </c>
      <c r="F193" s="143">
        <v>1</v>
      </c>
      <c r="G193" s="149" t="s">
        <v>1194</v>
      </c>
      <c r="H193" s="149">
        <v>1</v>
      </c>
      <c r="I193" s="157">
        <f>6330/2</f>
        <v>3165</v>
      </c>
      <c r="J193" s="159">
        <f t="shared" si="16"/>
        <v>3165</v>
      </c>
      <c r="K193" s="152"/>
    </row>
    <row r="194" spans="1:14" s="141" customFormat="1" ht="20.25" customHeight="1">
      <c r="A194" s="147">
        <v>15</v>
      </c>
      <c r="B194" s="143" t="s">
        <v>1214</v>
      </c>
      <c r="C194" s="143" t="s">
        <v>1213</v>
      </c>
      <c r="D194" s="143" t="s">
        <v>1198</v>
      </c>
      <c r="E194" s="148" t="s">
        <v>1160</v>
      </c>
      <c r="F194" s="143">
        <v>1</v>
      </c>
      <c r="G194" s="149" t="s">
        <v>1026</v>
      </c>
      <c r="H194" s="149">
        <v>1</v>
      </c>
      <c r="I194" s="157">
        <v>5000</v>
      </c>
      <c r="J194" s="159">
        <f t="shared" si="16"/>
        <v>5000</v>
      </c>
      <c r="K194" s="152"/>
      <c r="M194" s="185">
        <v>550000</v>
      </c>
      <c r="N194" s="186" t="s">
        <v>1302</v>
      </c>
    </row>
    <row r="195" spans="1:14" s="141" customFormat="1" ht="20.25" customHeight="1">
      <c r="A195" s="147">
        <v>16</v>
      </c>
      <c r="B195" s="143" t="s">
        <v>1214</v>
      </c>
      <c r="C195" s="143" t="s">
        <v>1213</v>
      </c>
      <c r="D195" s="143" t="s">
        <v>1050</v>
      </c>
      <c r="E195" s="148" t="s">
        <v>1051</v>
      </c>
      <c r="F195" s="143">
        <v>1</v>
      </c>
      <c r="G195" s="149" t="s">
        <v>1052</v>
      </c>
      <c r="H195" s="149">
        <v>1</v>
      </c>
      <c r="I195" s="157">
        <v>30000</v>
      </c>
      <c r="J195" s="159">
        <f t="shared" si="16"/>
        <v>30000</v>
      </c>
      <c r="K195" s="152"/>
      <c r="M195" s="154">
        <f>150000+100000</f>
        <v>250000</v>
      </c>
      <c r="N195" s="210" t="s">
        <v>1562</v>
      </c>
    </row>
    <row r="196" spans="1:14" s="141" customFormat="1" ht="20.25" customHeight="1">
      <c r="A196" s="147">
        <v>17</v>
      </c>
      <c r="B196" s="143" t="s">
        <v>1214</v>
      </c>
      <c r="C196" s="143" t="s">
        <v>1213</v>
      </c>
      <c r="D196" s="143" t="s">
        <v>1041</v>
      </c>
      <c r="E196" s="148" t="s">
        <v>1035</v>
      </c>
      <c r="F196" s="143">
        <v>1</v>
      </c>
      <c r="G196" s="143" t="s">
        <v>1024</v>
      </c>
      <c r="H196" s="149">
        <v>1</v>
      </c>
      <c r="I196" s="150">
        <v>800</v>
      </c>
      <c r="J196" s="151">
        <f>H196*I196</f>
        <v>800</v>
      </c>
      <c r="K196" s="152"/>
      <c r="M196" s="183">
        <f>L199*7%</f>
        <v>9135.0416666666679</v>
      </c>
      <c r="N196" s="141" t="s">
        <v>1303</v>
      </c>
    </row>
    <row r="197" spans="1:14" s="141" customFormat="1" ht="20.25" customHeight="1">
      <c r="A197" s="147">
        <v>18</v>
      </c>
      <c r="B197" s="177" t="s">
        <v>1214</v>
      </c>
      <c r="C197" s="177" t="s">
        <v>1213</v>
      </c>
      <c r="D197" s="177" t="s">
        <v>1262</v>
      </c>
      <c r="E197" s="143" t="s">
        <v>1263</v>
      </c>
      <c r="F197" s="177">
        <v>1</v>
      </c>
      <c r="G197" s="177" t="s">
        <v>1116</v>
      </c>
      <c r="H197" s="178">
        <v>1</v>
      </c>
      <c r="I197" s="179">
        <v>700</v>
      </c>
      <c r="J197" s="151">
        <f>H197*I197</f>
        <v>700</v>
      </c>
      <c r="K197" s="181"/>
      <c r="M197" s="183">
        <f>(L199+M196)*20%</f>
        <v>27927.127380952381</v>
      </c>
      <c r="N197" s="141" t="s">
        <v>1304</v>
      </c>
    </row>
    <row r="198" spans="1:14" s="141" customFormat="1" ht="20.25" customHeight="1" thickBot="1">
      <c r="A198" s="147">
        <v>19</v>
      </c>
      <c r="B198" s="177" t="s">
        <v>1214</v>
      </c>
      <c r="C198" s="177" t="s">
        <v>1213</v>
      </c>
      <c r="D198" s="177" t="s">
        <v>1262</v>
      </c>
      <c r="E198" s="143" t="s">
        <v>1263</v>
      </c>
      <c r="F198" s="177">
        <v>1</v>
      </c>
      <c r="G198" s="177" t="s">
        <v>1116</v>
      </c>
      <c r="H198" s="178">
        <v>1</v>
      </c>
      <c r="I198" s="179">
        <v>700</v>
      </c>
      <c r="J198" s="151">
        <f>H198*I198</f>
        <v>700</v>
      </c>
      <c r="K198" s="181"/>
      <c r="M198" s="183">
        <f>(L199+M196+M197)*25%</f>
        <v>41890.69107142857</v>
      </c>
      <c r="N198" s="141" t="s">
        <v>1305</v>
      </c>
    </row>
    <row r="199" spans="1:14" s="141" customFormat="1" ht="20.25" customHeight="1" thickBot="1">
      <c r="A199" s="160">
        <v>20</v>
      </c>
      <c r="B199" s="161" t="s">
        <v>1214</v>
      </c>
      <c r="C199" s="161" t="s">
        <v>1213</v>
      </c>
      <c r="D199" s="161" t="s">
        <v>1264</v>
      </c>
      <c r="E199" s="169" t="s">
        <v>1267</v>
      </c>
      <c r="F199" s="161">
        <v>1</v>
      </c>
      <c r="G199" s="161" t="s">
        <v>1116</v>
      </c>
      <c r="H199" s="162">
        <v>1</v>
      </c>
      <c r="I199" s="170">
        <v>1400</v>
      </c>
      <c r="J199" s="171">
        <f t="shared" ref="J199" si="17">H199*I199</f>
        <v>1400</v>
      </c>
      <c r="K199" s="163"/>
      <c r="L199" s="172">
        <f>SUM(J180:J199)</f>
        <v>130500.59523809524</v>
      </c>
      <c r="M199" s="184">
        <f>L199+M195+M196+M197+M198</f>
        <v>459453.4553571429</v>
      </c>
      <c r="N199" s="141" t="s">
        <v>1307</v>
      </c>
    </row>
    <row r="200" spans="1:14" ht="7.5" customHeight="1" thickBot="1"/>
    <row r="201" spans="1:14" s="141" customFormat="1" ht="18" thickBot="1">
      <c r="A201" s="137" t="s">
        <v>80</v>
      </c>
      <c r="B201" s="138" t="s">
        <v>1003</v>
      </c>
      <c r="C201" s="138" t="s">
        <v>1004</v>
      </c>
      <c r="D201" s="138" t="s">
        <v>1005</v>
      </c>
      <c r="E201" s="138" t="s">
        <v>1006</v>
      </c>
      <c r="F201" s="138" t="s">
        <v>1007</v>
      </c>
      <c r="G201" s="138" t="s">
        <v>1008</v>
      </c>
      <c r="H201" s="138" t="s">
        <v>1009</v>
      </c>
      <c r="I201" s="139" t="s">
        <v>1010</v>
      </c>
      <c r="J201" s="138" t="s">
        <v>1030</v>
      </c>
      <c r="K201" s="140" t="s">
        <v>1031</v>
      </c>
    </row>
    <row r="202" spans="1:14" s="141" customFormat="1" ht="20.25" customHeight="1">
      <c r="A202" s="142">
        <v>1</v>
      </c>
      <c r="B202" s="144" t="s">
        <v>1237</v>
      </c>
      <c r="C202" s="144" t="s">
        <v>989</v>
      </c>
      <c r="D202" s="144" t="s">
        <v>1197</v>
      </c>
      <c r="E202" s="144" t="s">
        <v>1234</v>
      </c>
      <c r="F202" s="144">
        <v>1</v>
      </c>
      <c r="G202" s="145" t="s">
        <v>1189</v>
      </c>
      <c r="H202" s="145">
        <v>1</v>
      </c>
      <c r="I202" s="156">
        <f>73610/4</f>
        <v>18402.5</v>
      </c>
      <c r="J202" s="158">
        <f>H202*I202</f>
        <v>18402.5</v>
      </c>
      <c r="K202" s="146"/>
    </row>
    <row r="203" spans="1:14" s="141" customFormat="1" ht="20.25" customHeight="1">
      <c r="A203" s="147">
        <v>2</v>
      </c>
      <c r="B203" s="143" t="s">
        <v>1219</v>
      </c>
      <c r="C203" s="143" t="s">
        <v>989</v>
      </c>
      <c r="D203" s="143" t="s">
        <v>1198</v>
      </c>
      <c r="E203" s="148" t="s">
        <v>1235</v>
      </c>
      <c r="F203" s="143">
        <v>1</v>
      </c>
      <c r="G203" s="149" t="s">
        <v>1194</v>
      </c>
      <c r="H203" s="149">
        <v>1</v>
      </c>
      <c r="I203" s="157">
        <f>32420/3</f>
        <v>10806.666666666666</v>
      </c>
      <c r="J203" s="159">
        <f>H203*I203</f>
        <v>10806.666666666666</v>
      </c>
      <c r="K203" s="152"/>
    </row>
    <row r="204" spans="1:14" s="141" customFormat="1" ht="20.25" customHeight="1">
      <c r="A204" s="147">
        <v>3</v>
      </c>
      <c r="B204" s="143" t="s">
        <v>1219</v>
      </c>
      <c r="C204" s="143" t="s">
        <v>1218</v>
      </c>
      <c r="D204" s="143" t="s">
        <v>1198</v>
      </c>
      <c r="E204" s="148" t="s">
        <v>1141</v>
      </c>
      <c r="F204" s="143">
        <v>1</v>
      </c>
      <c r="G204" s="149" t="s">
        <v>1194</v>
      </c>
      <c r="H204" s="149">
        <v>1</v>
      </c>
      <c r="I204" s="157">
        <f>32420/7</f>
        <v>4631.4285714285716</v>
      </c>
      <c r="J204" s="159">
        <f t="shared" ref="J204:J208" si="18">H204*I204</f>
        <v>4631.4285714285716</v>
      </c>
      <c r="K204" s="152"/>
    </row>
    <row r="205" spans="1:14" s="141" customFormat="1" ht="20.25" customHeight="1">
      <c r="A205" s="147">
        <v>4</v>
      </c>
      <c r="B205" s="143" t="s">
        <v>1219</v>
      </c>
      <c r="C205" s="143" t="s">
        <v>1218</v>
      </c>
      <c r="D205" s="143" t="s">
        <v>1013</v>
      </c>
      <c r="E205" s="148" t="s">
        <v>1143</v>
      </c>
      <c r="F205" s="143">
        <v>1</v>
      </c>
      <c r="G205" s="143" t="s">
        <v>1014</v>
      </c>
      <c r="H205" s="149">
        <v>1</v>
      </c>
      <c r="I205" s="157">
        <v>13000</v>
      </c>
      <c r="J205" s="159">
        <f t="shared" si="18"/>
        <v>13000</v>
      </c>
      <c r="K205" s="152"/>
    </row>
    <row r="206" spans="1:14" s="141" customFormat="1" ht="20.25" customHeight="1">
      <c r="A206" s="147">
        <v>5</v>
      </c>
      <c r="B206" s="143" t="s">
        <v>1219</v>
      </c>
      <c r="C206" s="143" t="s">
        <v>1218</v>
      </c>
      <c r="D206" s="143" t="s">
        <v>1015</v>
      </c>
      <c r="E206" s="148" t="s">
        <v>1144</v>
      </c>
      <c r="F206" s="143">
        <v>4</v>
      </c>
      <c r="G206" s="143" t="s">
        <v>1014</v>
      </c>
      <c r="H206" s="149">
        <v>4</v>
      </c>
      <c r="I206" s="157">
        <v>1200</v>
      </c>
      <c r="J206" s="159">
        <f t="shared" si="18"/>
        <v>4800</v>
      </c>
      <c r="K206" s="152"/>
    </row>
    <row r="207" spans="1:14" s="141" customFormat="1" ht="20.25" customHeight="1">
      <c r="A207" s="147">
        <v>6</v>
      </c>
      <c r="B207" s="143" t="s">
        <v>1219</v>
      </c>
      <c r="C207" s="143" t="s">
        <v>1218</v>
      </c>
      <c r="D207" s="143" t="s">
        <v>1020</v>
      </c>
      <c r="E207" s="143" t="s">
        <v>1236</v>
      </c>
      <c r="F207" s="143">
        <v>1</v>
      </c>
      <c r="G207" s="143" t="s">
        <v>1014</v>
      </c>
      <c r="H207" s="149">
        <v>1</v>
      </c>
      <c r="I207" s="150">
        <v>7000</v>
      </c>
      <c r="J207" s="151">
        <f t="shared" si="18"/>
        <v>7000</v>
      </c>
      <c r="K207" s="152"/>
    </row>
    <row r="208" spans="1:14" s="141" customFormat="1" ht="20.25" customHeight="1">
      <c r="A208" s="147">
        <v>7</v>
      </c>
      <c r="B208" s="143" t="s">
        <v>1219</v>
      </c>
      <c r="C208" s="143" t="s">
        <v>1218</v>
      </c>
      <c r="D208" s="143" t="s">
        <v>1021</v>
      </c>
      <c r="E208" s="143" t="s">
        <v>1236</v>
      </c>
      <c r="F208" s="143">
        <v>1</v>
      </c>
      <c r="G208" s="143" t="s">
        <v>1014</v>
      </c>
      <c r="H208" s="149">
        <v>1</v>
      </c>
      <c r="I208" s="150">
        <v>2500</v>
      </c>
      <c r="J208" s="151">
        <f t="shared" si="18"/>
        <v>2500</v>
      </c>
      <c r="K208" s="152"/>
    </row>
    <row r="209" spans="1:14" s="141" customFormat="1" ht="20.25" customHeight="1">
      <c r="A209" s="147">
        <v>8</v>
      </c>
      <c r="B209" s="143" t="s">
        <v>1219</v>
      </c>
      <c r="C209" s="143" t="s">
        <v>1218</v>
      </c>
      <c r="D209" s="143" t="s">
        <v>1145</v>
      </c>
      <c r="E209" s="143" t="s">
        <v>1146</v>
      </c>
      <c r="F209" s="143">
        <v>1</v>
      </c>
      <c r="G209" s="143" t="s">
        <v>1147</v>
      </c>
      <c r="H209" s="149">
        <v>1</v>
      </c>
      <c r="I209" s="150">
        <v>16000</v>
      </c>
      <c r="J209" s="151"/>
      <c r="K209" s="152"/>
    </row>
    <row r="210" spans="1:14" s="141" customFormat="1" ht="20.25" customHeight="1">
      <c r="A210" s="147">
        <v>9</v>
      </c>
      <c r="B210" s="143" t="s">
        <v>1219</v>
      </c>
      <c r="C210" s="143" t="s">
        <v>1218</v>
      </c>
      <c r="D210" s="143" t="s">
        <v>1129</v>
      </c>
      <c r="E210" s="143" t="s">
        <v>1148</v>
      </c>
      <c r="F210" s="143">
        <v>1</v>
      </c>
      <c r="G210" s="143" t="s">
        <v>1024</v>
      </c>
      <c r="H210" s="149">
        <v>1</v>
      </c>
      <c r="I210" s="150">
        <v>2000</v>
      </c>
      <c r="J210" s="151">
        <f t="shared" ref="J210:J217" si="19">H210*I210</f>
        <v>2000</v>
      </c>
      <c r="K210" s="152"/>
    </row>
    <row r="211" spans="1:14" s="141" customFormat="1" ht="20.25" customHeight="1">
      <c r="A211" s="147">
        <v>10</v>
      </c>
      <c r="B211" s="143" t="s">
        <v>1219</v>
      </c>
      <c r="C211" s="143" t="s">
        <v>1218</v>
      </c>
      <c r="D211" s="143" t="s">
        <v>1023</v>
      </c>
      <c r="E211" s="143" t="s">
        <v>1150</v>
      </c>
      <c r="F211" s="143">
        <v>1</v>
      </c>
      <c r="G211" s="143" t="s">
        <v>1024</v>
      </c>
      <c r="H211" s="149">
        <v>1</v>
      </c>
      <c r="I211" s="150">
        <v>4000</v>
      </c>
      <c r="J211" s="151">
        <f t="shared" si="19"/>
        <v>4000</v>
      </c>
      <c r="K211" s="152"/>
    </row>
    <row r="212" spans="1:14" s="141" customFormat="1" ht="20.25" customHeight="1">
      <c r="A212" s="147">
        <v>11</v>
      </c>
      <c r="B212" s="143" t="s">
        <v>1219</v>
      </c>
      <c r="C212" s="143" t="s">
        <v>1218</v>
      </c>
      <c r="D212" s="143" t="s">
        <v>1251</v>
      </c>
      <c r="E212" s="143" t="s">
        <v>1257</v>
      </c>
      <c r="F212" s="143">
        <v>1</v>
      </c>
      <c r="G212" s="143" t="s">
        <v>643</v>
      </c>
      <c r="H212" s="149">
        <v>1</v>
      </c>
      <c r="I212" s="150">
        <v>10000</v>
      </c>
      <c r="J212" s="151">
        <f t="shared" si="19"/>
        <v>10000</v>
      </c>
      <c r="K212" s="152"/>
    </row>
    <row r="213" spans="1:14" s="141" customFormat="1" ht="20.25" customHeight="1">
      <c r="A213" s="147">
        <v>12</v>
      </c>
      <c r="B213" s="143" t="s">
        <v>1219</v>
      </c>
      <c r="C213" s="143" t="s">
        <v>1218</v>
      </c>
      <c r="D213" s="143" t="s">
        <v>1253</v>
      </c>
      <c r="E213" s="143"/>
      <c r="F213" s="143">
        <v>1</v>
      </c>
      <c r="G213" s="143" t="s">
        <v>1254</v>
      </c>
      <c r="H213" s="149">
        <v>1</v>
      </c>
      <c r="I213" s="150">
        <v>5000</v>
      </c>
      <c r="J213" s="151">
        <f t="shared" si="19"/>
        <v>5000</v>
      </c>
      <c r="K213" s="152"/>
    </row>
    <row r="214" spans="1:14" s="141" customFormat="1" ht="20.25" customHeight="1">
      <c r="A214" s="147">
        <v>13</v>
      </c>
      <c r="B214" s="143" t="s">
        <v>1219</v>
      </c>
      <c r="C214" s="143" t="s">
        <v>1218</v>
      </c>
      <c r="D214" s="143" t="s">
        <v>1198</v>
      </c>
      <c r="E214" s="148" t="s">
        <v>1215</v>
      </c>
      <c r="F214" s="143">
        <v>2</v>
      </c>
      <c r="G214" s="149" t="s">
        <v>1194</v>
      </c>
      <c r="H214" s="149">
        <v>2</v>
      </c>
      <c r="I214" s="157">
        <f>13190/2</f>
        <v>6595</v>
      </c>
      <c r="J214" s="159">
        <f t="shared" si="19"/>
        <v>13190</v>
      </c>
      <c r="K214" s="152"/>
    </row>
    <row r="215" spans="1:14" s="141" customFormat="1" ht="20.25" customHeight="1">
      <c r="A215" s="147">
        <v>14</v>
      </c>
      <c r="B215" s="143" t="s">
        <v>1219</v>
      </c>
      <c r="C215" s="143" t="s">
        <v>1218</v>
      </c>
      <c r="D215" s="143" t="s">
        <v>1198</v>
      </c>
      <c r="E215" s="148" t="s">
        <v>1216</v>
      </c>
      <c r="F215" s="143">
        <v>2</v>
      </c>
      <c r="G215" s="149" t="s">
        <v>1194</v>
      </c>
      <c r="H215" s="149">
        <v>2</v>
      </c>
      <c r="I215" s="157">
        <f>6330/2</f>
        <v>3165</v>
      </c>
      <c r="J215" s="159">
        <f t="shared" si="19"/>
        <v>6330</v>
      </c>
      <c r="K215" s="152"/>
      <c r="M215" s="185">
        <v>597273</v>
      </c>
      <c r="N215" s="186" t="s">
        <v>1302</v>
      </c>
    </row>
    <row r="216" spans="1:14" s="141" customFormat="1" ht="20.25" customHeight="1">
      <c r="A216" s="147">
        <v>15</v>
      </c>
      <c r="B216" s="143" t="s">
        <v>1219</v>
      </c>
      <c r="C216" s="143" t="s">
        <v>1218</v>
      </c>
      <c r="D216" s="143" t="s">
        <v>1198</v>
      </c>
      <c r="E216" s="148" t="s">
        <v>1160</v>
      </c>
      <c r="F216" s="143">
        <v>2</v>
      </c>
      <c r="G216" s="149" t="s">
        <v>1026</v>
      </c>
      <c r="H216" s="149">
        <v>2</v>
      </c>
      <c r="I216" s="157">
        <v>5000</v>
      </c>
      <c r="J216" s="159">
        <f t="shared" si="19"/>
        <v>10000</v>
      </c>
      <c r="K216" s="152"/>
      <c r="M216" s="154">
        <f>150000+100000</f>
        <v>250000</v>
      </c>
      <c r="N216" s="210" t="s">
        <v>1562</v>
      </c>
    </row>
    <row r="217" spans="1:14" s="141" customFormat="1" ht="20.25" customHeight="1">
      <c r="A217" s="147">
        <v>16</v>
      </c>
      <c r="B217" s="143" t="s">
        <v>1219</v>
      </c>
      <c r="C217" s="143" t="s">
        <v>1218</v>
      </c>
      <c r="D217" s="143" t="s">
        <v>1050</v>
      </c>
      <c r="E217" s="148" t="s">
        <v>1051</v>
      </c>
      <c r="F217" s="143">
        <v>2</v>
      </c>
      <c r="G217" s="149" t="s">
        <v>1052</v>
      </c>
      <c r="H217" s="149">
        <v>2</v>
      </c>
      <c r="I217" s="157">
        <v>30000</v>
      </c>
      <c r="J217" s="159">
        <f t="shared" si="19"/>
        <v>60000</v>
      </c>
      <c r="K217" s="152"/>
      <c r="M217" s="183">
        <f>L220*7%</f>
        <v>12324.241666666669</v>
      </c>
      <c r="N217" s="141" t="s">
        <v>1303</v>
      </c>
    </row>
    <row r="218" spans="1:14" s="141" customFormat="1" ht="20.25" customHeight="1">
      <c r="A218" s="147">
        <v>17</v>
      </c>
      <c r="B218" s="143" t="s">
        <v>1219</v>
      </c>
      <c r="C218" s="143" t="s">
        <v>1218</v>
      </c>
      <c r="D218" s="143" t="s">
        <v>1041</v>
      </c>
      <c r="E218" s="148" t="s">
        <v>1035</v>
      </c>
      <c r="F218" s="143">
        <v>2</v>
      </c>
      <c r="G218" s="143" t="s">
        <v>1024</v>
      </c>
      <c r="H218" s="149">
        <v>2</v>
      </c>
      <c r="I218" s="150">
        <v>800</v>
      </c>
      <c r="J218" s="151">
        <f>H218*I218</f>
        <v>1600</v>
      </c>
      <c r="K218" s="152"/>
      <c r="M218" s="183">
        <f>(L220+M217)*20%</f>
        <v>37676.967380952381</v>
      </c>
      <c r="N218" s="141" t="s">
        <v>1304</v>
      </c>
    </row>
    <row r="219" spans="1:14" s="141" customFormat="1" ht="20.25" customHeight="1" thickBot="1">
      <c r="A219" s="147">
        <v>18</v>
      </c>
      <c r="B219" s="177" t="s">
        <v>1219</v>
      </c>
      <c r="C219" s="177" t="s">
        <v>1218</v>
      </c>
      <c r="D219" s="177" t="s">
        <v>1262</v>
      </c>
      <c r="E219" s="143" t="s">
        <v>1263</v>
      </c>
      <c r="F219" s="177">
        <v>2</v>
      </c>
      <c r="G219" s="177" t="s">
        <v>1116</v>
      </c>
      <c r="H219" s="178">
        <v>2</v>
      </c>
      <c r="I219" s="179">
        <v>700</v>
      </c>
      <c r="J219" s="151">
        <f>H219*I219</f>
        <v>1400</v>
      </c>
      <c r="K219" s="181"/>
      <c r="M219" s="183">
        <f>(L220+M217+M218)*25%</f>
        <v>56515.451071428572</v>
      </c>
      <c r="N219" s="141" t="s">
        <v>1305</v>
      </c>
    </row>
    <row r="220" spans="1:14" s="141" customFormat="1" ht="20.25" customHeight="1" thickBot="1">
      <c r="A220" s="160">
        <v>19</v>
      </c>
      <c r="B220" s="161" t="s">
        <v>1219</v>
      </c>
      <c r="C220" s="161" t="s">
        <v>1218</v>
      </c>
      <c r="D220" s="161" t="s">
        <v>1264</v>
      </c>
      <c r="E220" s="169" t="s">
        <v>1267</v>
      </c>
      <c r="F220" s="161">
        <v>1</v>
      </c>
      <c r="G220" s="161" t="s">
        <v>1116</v>
      </c>
      <c r="H220" s="162">
        <v>1</v>
      </c>
      <c r="I220" s="170">
        <v>1400</v>
      </c>
      <c r="J220" s="171">
        <f t="shared" ref="J220" si="20">H220*I220</f>
        <v>1400</v>
      </c>
      <c r="K220" s="163"/>
      <c r="L220" s="172">
        <f>SUM(J202:J220)</f>
        <v>176060.59523809524</v>
      </c>
      <c r="M220" s="184">
        <f>L220+M216+M217+M218+M219</f>
        <v>532577.25535714289</v>
      </c>
      <c r="N220" s="141" t="s">
        <v>1307</v>
      </c>
    </row>
    <row r="221" spans="1:14" ht="7.5" customHeight="1" thickBot="1"/>
    <row r="222" spans="1:14" s="141" customFormat="1" ht="18" thickBot="1">
      <c r="A222" s="137" t="s">
        <v>80</v>
      </c>
      <c r="B222" s="138" t="s">
        <v>1003</v>
      </c>
      <c r="C222" s="138" t="s">
        <v>1004</v>
      </c>
      <c r="D222" s="138" t="s">
        <v>1005</v>
      </c>
      <c r="E222" s="138" t="s">
        <v>1006</v>
      </c>
      <c r="F222" s="138" t="s">
        <v>1007</v>
      </c>
      <c r="G222" s="138" t="s">
        <v>1008</v>
      </c>
      <c r="H222" s="138" t="s">
        <v>1009</v>
      </c>
      <c r="I222" s="139" t="s">
        <v>1010</v>
      </c>
      <c r="J222" s="138" t="s">
        <v>1030</v>
      </c>
      <c r="K222" s="140" t="s">
        <v>1031</v>
      </c>
    </row>
    <row r="223" spans="1:14" s="141" customFormat="1" ht="20.25" customHeight="1">
      <c r="A223" s="142">
        <v>1</v>
      </c>
      <c r="B223" s="144" t="s">
        <v>1238</v>
      </c>
      <c r="C223" s="144" t="s">
        <v>990</v>
      </c>
      <c r="D223" s="144" t="s">
        <v>1197</v>
      </c>
      <c r="E223" s="144" t="s">
        <v>1234</v>
      </c>
      <c r="F223" s="144">
        <v>1</v>
      </c>
      <c r="G223" s="145" t="s">
        <v>1189</v>
      </c>
      <c r="H223" s="145">
        <v>1</v>
      </c>
      <c r="I223" s="156">
        <f>73610/4</f>
        <v>18402.5</v>
      </c>
      <c r="J223" s="158">
        <f>H223*I223</f>
        <v>18402.5</v>
      </c>
      <c r="K223" s="146"/>
    </row>
    <row r="224" spans="1:14" s="141" customFormat="1" ht="20.25" customHeight="1">
      <c r="A224" s="147">
        <v>2</v>
      </c>
      <c r="B224" s="143" t="s">
        <v>1220</v>
      </c>
      <c r="C224" s="143" t="s">
        <v>1217</v>
      </c>
      <c r="D224" s="143" t="s">
        <v>1198</v>
      </c>
      <c r="E224" s="148" t="s">
        <v>1172</v>
      </c>
      <c r="F224" s="143">
        <v>1</v>
      </c>
      <c r="G224" s="149" t="s">
        <v>1194</v>
      </c>
      <c r="H224" s="149">
        <v>1</v>
      </c>
      <c r="I224" s="157">
        <f>32420/2</f>
        <v>16210</v>
      </c>
      <c r="J224" s="159">
        <f>H224*I224</f>
        <v>16210</v>
      </c>
      <c r="K224" s="152"/>
    </row>
    <row r="225" spans="1:14" s="141" customFormat="1" ht="20.25" customHeight="1">
      <c r="A225" s="147">
        <v>3</v>
      </c>
      <c r="B225" s="143" t="s">
        <v>1220</v>
      </c>
      <c r="C225" s="143" t="s">
        <v>1217</v>
      </c>
      <c r="D225" s="143" t="s">
        <v>1198</v>
      </c>
      <c r="E225" s="148" t="s">
        <v>1141</v>
      </c>
      <c r="F225" s="143">
        <v>1</v>
      </c>
      <c r="G225" s="149" t="s">
        <v>1194</v>
      </c>
      <c r="H225" s="149">
        <v>1</v>
      </c>
      <c r="I225" s="157">
        <f>32420/7</f>
        <v>4631.4285714285716</v>
      </c>
      <c r="J225" s="159">
        <f t="shared" ref="J225:J229" si="21">H225*I225</f>
        <v>4631.4285714285716</v>
      </c>
      <c r="K225" s="152"/>
    </row>
    <row r="226" spans="1:14" s="141" customFormat="1" ht="20.25" customHeight="1">
      <c r="A226" s="147">
        <v>4</v>
      </c>
      <c r="B226" s="143" t="s">
        <v>1220</v>
      </c>
      <c r="C226" s="143" t="s">
        <v>1217</v>
      </c>
      <c r="D226" s="143" t="s">
        <v>1013</v>
      </c>
      <c r="E226" s="148" t="s">
        <v>1143</v>
      </c>
      <c r="F226" s="143">
        <v>1</v>
      </c>
      <c r="G226" s="143" t="s">
        <v>1014</v>
      </c>
      <c r="H226" s="149">
        <v>1</v>
      </c>
      <c r="I226" s="157">
        <v>13000</v>
      </c>
      <c r="J226" s="159">
        <f t="shared" si="21"/>
        <v>13000</v>
      </c>
      <c r="K226" s="152"/>
    </row>
    <row r="227" spans="1:14" s="141" customFormat="1" ht="20.25" customHeight="1">
      <c r="A227" s="147">
        <v>5</v>
      </c>
      <c r="B227" s="143" t="s">
        <v>1220</v>
      </c>
      <c r="C227" s="143" t="s">
        <v>1217</v>
      </c>
      <c r="D227" s="143" t="s">
        <v>1015</v>
      </c>
      <c r="E227" s="148" t="s">
        <v>1144</v>
      </c>
      <c r="F227" s="143">
        <v>4</v>
      </c>
      <c r="G227" s="143" t="s">
        <v>1014</v>
      </c>
      <c r="H227" s="149">
        <v>4</v>
      </c>
      <c r="I227" s="157">
        <v>1200</v>
      </c>
      <c r="J227" s="159">
        <f t="shared" si="21"/>
        <v>4800</v>
      </c>
      <c r="K227" s="152"/>
    </row>
    <row r="228" spans="1:14" s="141" customFormat="1" ht="20.25" customHeight="1">
      <c r="A228" s="147">
        <v>6</v>
      </c>
      <c r="B228" s="143" t="s">
        <v>1220</v>
      </c>
      <c r="C228" s="143" t="s">
        <v>1217</v>
      </c>
      <c r="D228" s="143" t="s">
        <v>1020</v>
      </c>
      <c r="E228" s="143" t="s">
        <v>1236</v>
      </c>
      <c r="F228" s="143">
        <v>1</v>
      </c>
      <c r="G228" s="143" t="s">
        <v>1014</v>
      </c>
      <c r="H228" s="149">
        <v>1</v>
      </c>
      <c r="I228" s="150">
        <v>7000</v>
      </c>
      <c r="J228" s="151">
        <f t="shared" si="21"/>
        <v>7000</v>
      </c>
      <c r="K228" s="152"/>
      <c r="N228" s="175"/>
    </row>
    <row r="229" spans="1:14" s="141" customFormat="1" ht="20.25" customHeight="1">
      <c r="A229" s="147">
        <v>7</v>
      </c>
      <c r="B229" s="143" t="s">
        <v>1220</v>
      </c>
      <c r="C229" s="143" t="s">
        <v>1217</v>
      </c>
      <c r="D229" s="143" t="s">
        <v>1021</v>
      </c>
      <c r="E229" s="143" t="s">
        <v>1236</v>
      </c>
      <c r="F229" s="143">
        <v>1</v>
      </c>
      <c r="G229" s="143" t="s">
        <v>1014</v>
      </c>
      <c r="H229" s="149">
        <v>1</v>
      </c>
      <c r="I229" s="150">
        <v>2500</v>
      </c>
      <c r="J229" s="151">
        <f t="shared" si="21"/>
        <v>2500</v>
      </c>
      <c r="K229" s="152"/>
    </row>
    <row r="230" spans="1:14" s="141" customFormat="1" ht="20.25" customHeight="1">
      <c r="A230" s="147">
        <v>8</v>
      </c>
      <c r="B230" s="143" t="s">
        <v>1220</v>
      </c>
      <c r="C230" s="143" t="s">
        <v>1217</v>
      </c>
      <c r="D230" s="143" t="s">
        <v>1145</v>
      </c>
      <c r="E230" s="143" t="s">
        <v>1146</v>
      </c>
      <c r="F230" s="143">
        <v>1</v>
      </c>
      <c r="G230" s="143" t="s">
        <v>1147</v>
      </c>
      <c r="H230" s="149">
        <v>1</v>
      </c>
      <c r="I230" s="150">
        <v>16000</v>
      </c>
      <c r="J230" s="151"/>
      <c r="K230" s="152"/>
    </row>
    <row r="231" spans="1:14" s="141" customFormat="1" ht="20.25" customHeight="1">
      <c r="A231" s="147">
        <v>9</v>
      </c>
      <c r="B231" s="143" t="s">
        <v>1220</v>
      </c>
      <c r="C231" s="143" t="s">
        <v>1217</v>
      </c>
      <c r="D231" s="143" t="s">
        <v>1129</v>
      </c>
      <c r="E231" s="143" t="s">
        <v>1148</v>
      </c>
      <c r="F231" s="143">
        <v>1</v>
      </c>
      <c r="G231" s="143" t="s">
        <v>1024</v>
      </c>
      <c r="H231" s="149">
        <v>1</v>
      </c>
      <c r="I231" s="150">
        <v>2000</v>
      </c>
      <c r="J231" s="151">
        <f t="shared" ref="J231:J238" si="22">H231*I231</f>
        <v>2000</v>
      </c>
      <c r="K231" s="152"/>
    </row>
    <row r="232" spans="1:14" s="141" customFormat="1" ht="20.25" customHeight="1">
      <c r="A232" s="147">
        <v>10</v>
      </c>
      <c r="B232" s="143" t="s">
        <v>1220</v>
      </c>
      <c r="C232" s="143" t="s">
        <v>1217</v>
      </c>
      <c r="D232" s="143" t="s">
        <v>1023</v>
      </c>
      <c r="E232" s="143" t="s">
        <v>1150</v>
      </c>
      <c r="F232" s="143">
        <v>1</v>
      </c>
      <c r="G232" s="143" t="s">
        <v>1024</v>
      </c>
      <c r="H232" s="149">
        <v>1</v>
      </c>
      <c r="I232" s="150">
        <v>4000</v>
      </c>
      <c r="J232" s="151">
        <f t="shared" si="22"/>
        <v>4000</v>
      </c>
      <c r="K232" s="152"/>
    </row>
    <row r="233" spans="1:14" s="141" customFormat="1" ht="20.25" customHeight="1">
      <c r="A233" s="147">
        <v>11</v>
      </c>
      <c r="B233" s="143" t="s">
        <v>1220</v>
      </c>
      <c r="C233" s="143" t="s">
        <v>1217</v>
      </c>
      <c r="D233" s="143" t="s">
        <v>1251</v>
      </c>
      <c r="E233" s="143" t="s">
        <v>1257</v>
      </c>
      <c r="F233" s="143">
        <v>1</v>
      </c>
      <c r="G233" s="143" t="s">
        <v>643</v>
      </c>
      <c r="H233" s="149">
        <v>1</v>
      </c>
      <c r="I233" s="150">
        <v>10000</v>
      </c>
      <c r="J233" s="151">
        <f t="shared" si="22"/>
        <v>10000</v>
      </c>
      <c r="K233" s="152"/>
    </row>
    <row r="234" spans="1:14" s="141" customFormat="1" ht="20.25" customHeight="1">
      <c r="A234" s="147">
        <v>12</v>
      </c>
      <c r="B234" s="143" t="s">
        <v>1220</v>
      </c>
      <c r="C234" s="143" t="s">
        <v>1217</v>
      </c>
      <c r="D234" s="143" t="s">
        <v>1253</v>
      </c>
      <c r="E234" s="143"/>
      <c r="F234" s="143">
        <v>1</v>
      </c>
      <c r="G234" s="143" t="s">
        <v>1254</v>
      </c>
      <c r="H234" s="149">
        <v>1</v>
      </c>
      <c r="I234" s="150">
        <v>5000</v>
      </c>
      <c r="J234" s="151">
        <f t="shared" si="22"/>
        <v>5000</v>
      </c>
      <c r="K234" s="152"/>
    </row>
    <row r="235" spans="1:14" s="141" customFormat="1" ht="20.25" customHeight="1">
      <c r="A235" s="147">
        <v>13</v>
      </c>
      <c r="B235" s="143" t="s">
        <v>1220</v>
      </c>
      <c r="C235" s="143" t="s">
        <v>1217</v>
      </c>
      <c r="D235" s="143" t="s">
        <v>1198</v>
      </c>
      <c r="E235" s="148" t="s">
        <v>1215</v>
      </c>
      <c r="F235" s="143">
        <v>1</v>
      </c>
      <c r="G235" s="149" t="s">
        <v>1194</v>
      </c>
      <c r="H235" s="149">
        <v>1</v>
      </c>
      <c r="I235" s="157">
        <f>13190/2</f>
        <v>6595</v>
      </c>
      <c r="J235" s="159">
        <f t="shared" si="22"/>
        <v>6595</v>
      </c>
      <c r="K235" s="152"/>
    </row>
    <row r="236" spans="1:14" s="141" customFormat="1" ht="20.25" customHeight="1">
      <c r="A236" s="147">
        <v>14</v>
      </c>
      <c r="B236" s="143" t="s">
        <v>1220</v>
      </c>
      <c r="C236" s="143" t="s">
        <v>1217</v>
      </c>
      <c r="D236" s="143" t="s">
        <v>1198</v>
      </c>
      <c r="E236" s="148" t="s">
        <v>1216</v>
      </c>
      <c r="F236" s="143">
        <v>1</v>
      </c>
      <c r="G236" s="149" t="s">
        <v>1194</v>
      </c>
      <c r="H236" s="149">
        <v>1</v>
      </c>
      <c r="I236" s="157">
        <f>6330/2</f>
        <v>3165</v>
      </c>
      <c r="J236" s="159">
        <f t="shared" si="22"/>
        <v>3165</v>
      </c>
      <c r="K236" s="152"/>
      <c r="M236" s="185">
        <v>610000</v>
      </c>
      <c r="N236" s="186" t="s">
        <v>1302</v>
      </c>
    </row>
    <row r="237" spans="1:14" s="141" customFormat="1" ht="20.25" customHeight="1">
      <c r="A237" s="147">
        <v>15</v>
      </c>
      <c r="B237" s="143" t="s">
        <v>1220</v>
      </c>
      <c r="C237" s="143" t="s">
        <v>1217</v>
      </c>
      <c r="D237" s="143" t="s">
        <v>1198</v>
      </c>
      <c r="E237" s="148" t="s">
        <v>1160</v>
      </c>
      <c r="F237" s="143">
        <v>1</v>
      </c>
      <c r="G237" s="149" t="s">
        <v>1026</v>
      </c>
      <c r="H237" s="149">
        <v>1</v>
      </c>
      <c r="I237" s="157">
        <v>5000</v>
      </c>
      <c r="J237" s="159">
        <f t="shared" si="22"/>
        <v>5000</v>
      </c>
      <c r="K237" s="152"/>
      <c r="M237" s="154">
        <f>150000+100000</f>
        <v>250000</v>
      </c>
      <c r="N237" s="210" t="s">
        <v>1562</v>
      </c>
    </row>
    <row r="238" spans="1:14" s="141" customFormat="1" ht="20.25" customHeight="1">
      <c r="A238" s="147">
        <v>16</v>
      </c>
      <c r="B238" s="143" t="s">
        <v>1220</v>
      </c>
      <c r="C238" s="143" t="s">
        <v>1217</v>
      </c>
      <c r="D238" s="143" t="s">
        <v>1050</v>
      </c>
      <c r="E238" s="148" t="s">
        <v>1051</v>
      </c>
      <c r="F238" s="143">
        <v>1</v>
      </c>
      <c r="G238" s="149" t="s">
        <v>1052</v>
      </c>
      <c r="H238" s="149">
        <v>1</v>
      </c>
      <c r="I238" s="157">
        <v>30000</v>
      </c>
      <c r="J238" s="159">
        <f t="shared" si="22"/>
        <v>30000</v>
      </c>
      <c r="K238" s="152"/>
      <c r="M238" s="183">
        <f>L241*7%</f>
        <v>9464.2750000000015</v>
      </c>
      <c r="N238" s="141" t="s">
        <v>1303</v>
      </c>
    </row>
    <row r="239" spans="1:14" s="141" customFormat="1" ht="20.25" customHeight="1">
      <c r="A239" s="147">
        <v>17</v>
      </c>
      <c r="B239" s="143" t="s">
        <v>1220</v>
      </c>
      <c r="C239" s="143" t="s">
        <v>1217</v>
      </c>
      <c r="D239" s="143" t="s">
        <v>1041</v>
      </c>
      <c r="E239" s="148" t="s">
        <v>1035</v>
      </c>
      <c r="F239" s="143">
        <v>1</v>
      </c>
      <c r="G239" s="143" t="s">
        <v>1024</v>
      </c>
      <c r="H239" s="149">
        <v>1</v>
      </c>
      <c r="I239" s="150">
        <v>800</v>
      </c>
      <c r="J239" s="151">
        <f>H239*I239</f>
        <v>800</v>
      </c>
      <c r="K239" s="152"/>
      <c r="M239" s="183">
        <f>(L241+M238)*20%</f>
        <v>28933.640714285717</v>
      </c>
      <c r="N239" s="141" t="s">
        <v>1304</v>
      </c>
    </row>
    <row r="240" spans="1:14" s="141" customFormat="1" ht="20.25" customHeight="1" thickBot="1">
      <c r="A240" s="147">
        <v>18</v>
      </c>
      <c r="B240" s="177" t="s">
        <v>1220</v>
      </c>
      <c r="C240" s="177" t="s">
        <v>1217</v>
      </c>
      <c r="D240" s="177" t="s">
        <v>1262</v>
      </c>
      <c r="E240" s="143" t="s">
        <v>1263</v>
      </c>
      <c r="F240" s="177">
        <v>1</v>
      </c>
      <c r="G240" s="177" t="s">
        <v>1116</v>
      </c>
      <c r="H240" s="178">
        <v>1</v>
      </c>
      <c r="I240" s="179">
        <v>700</v>
      </c>
      <c r="J240" s="151">
        <f>H240*I240</f>
        <v>700</v>
      </c>
      <c r="K240" s="181"/>
      <c r="M240" s="183">
        <f>(L241+M238+M239)*25%</f>
        <v>43400.461071428574</v>
      </c>
      <c r="N240" s="141" t="s">
        <v>1305</v>
      </c>
    </row>
    <row r="241" spans="1:14" s="141" customFormat="1" ht="20.25" customHeight="1" thickBot="1">
      <c r="A241" s="160">
        <v>19</v>
      </c>
      <c r="B241" s="161" t="s">
        <v>1220</v>
      </c>
      <c r="C241" s="161" t="s">
        <v>1217</v>
      </c>
      <c r="D241" s="161" t="s">
        <v>1264</v>
      </c>
      <c r="E241" s="169" t="s">
        <v>1267</v>
      </c>
      <c r="F241" s="161">
        <v>1</v>
      </c>
      <c r="G241" s="161" t="s">
        <v>1116</v>
      </c>
      <c r="H241" s="162">
        <v>1</v>
      </c>
      <c r="I241" s="170">
        <v>1400</v>
      </c>
      <c r="J241" s="171">
        <f t="shared" ref="J241" si="23">H241*I241</f>
        <v>1400</v>
      </c>
      <c r="K241" s="163"/>
      <c r="L241" s="172">
        <f>SUM(J223:J241)</f>
        <v>135203.92857142858</v>
      </c>
      <c r="M241" s="184">
        <f>L241+M237+M238+M239+M240</f>
        <v>467002.30535714288</v>
      </c>
      <c r="N241" s="141" t="s">
        <v>1307</v>
      </c>
    </row>
    <row r="242" spans="1:14" ht="7.5" customHeight="1" thickBot="1"/>
    <row r="243" spans="1:14" s="141" customFormat="1" ht="18" thickBot="1">
      <c r="A243" s="137" t="s">
        <v>80</v>
      </c>
      <c r="B243" s="138" t="s">
        <v>1003</v>
      </c>
      <c r="C243" s="138" t="s">
        <v>1004</v>
      </c>
      <c r="D243" s="138" t="s">
        <v>1005</v>
      </c>
      <c r="E243" s="138" t="s">
        <v>1006</v>
      </c>
      <c r="F243" s="138" t="s">
        <v>1007</v>
      </c>
      <c r="G243" s="138" t="s">
        <v>1008</v>
      </c>
      <c r="H243" s="138" t="s">
        <v>1009</v>
      </c>
      <c r="I243" s="139" t="s">
        <v>1010</v>
      </c>
      <c r="J243" s="138" t="s">
        <v>1030</v>
      </c>
      <c r="K243" s="140" t="s">
        <v>1031</v>
      </c>
    </row>
    <row r="244" spans="1:14" s="141" customFormat="1" ht="20.25" customHeight="1">
      <c r="A244" s="142">
        <v>1</v>
      </c>
      <c r="B244" s="144" t="s">
        <v>1239</v>
      </c>
      <c r="C244" s="144" t="s">
        <v>991</v>
      </c>
      <c r="D244" s="144" t="s">
        <v>1197</v>
      </c>
      <c r="E244" s="144" t="s">
        <v>1234</v>
      </c>
      <c r="F244" s="144">
        <v>1</v>
      </c>
      <c r="G244" s="145" t="s">
        <v>1189</v>
      </c>
      <c r="H244" s="145">
        <v>1</v>
      </c>
      <c r="I244" s="156">
        <f>73610/4</f>
        <v>18402.5</v>
      </c>
      <c r="J244" s="158">
        <f>H244*I244</f>
        <v>18402.5</v>
      </c>
      <c r="K244" s="146"/>
    </row>
    <row r="245" spans="1:14" s="141" customFormat="1" ht="20.25" customHeight="1">
      <c r="A245" s="147">
        <v>2</v>
      </c>
      <c r="B245" s="143" t="s">
        <v>1221</v>
      </c>
      <c r="C245" s="143" t="s">
        <v>1222</v>
      </c>
      <c r="D245" s="143" t="s">
        <v>1198</v>
      </c>
      <c r="E245" s="148" t="s">
        <v>1172</v>
      </c>
      <c r="F245" s="143">
        <v>1</v>
      </c>
      <c r="G245" s="149" t="s">
        <v>1194</v>
      </c>
      <c r="H245" s="149">
        <v>1</v>
      </c>
      <c r="I245" s="157">
        <f>32420/2</f>
        <v>16210</v>
      </c>
      <c r="J245" s="159">
        <f>H245*I245</f>
        <v>16210</v>
      </c>
      <c r="K245" s="152"/>
    </row>
    <row r="246" spans="1:14" s="141" customFormat="1" ht="20.25" customHeight="1">
      <c r="A246" s="147">
        <v>3</v>
      </c>
      <c r="B246" s="143" t="s">
        <v>1221</v>
      </c>
      <c r="C246" s="143" t="s">
        <v>1222</v>
      </c>
      <c r="D246" s="143" t="s">
        <v>1198</v>
      </c>
      <c r="E246" s="148" t="s">
        <v>1141</v>
      </c>
      <c r="F246" s="143">
        <v>1</v>
      </c>
      <c r="G246" s="149" t="s">
        <v>1194</v>
      </c>
      <c r="H246" s="149">
        <v>1</v>
      </c>
      <c r="I246" s="157">
        <f>32420/7</f>
        <v>4631.4285714285716</v>
      </c>
      <c r="J246" s="159">
        <f t="shared" ref="J246:J250" si="24">H246*I246</f>
        <v>4631.4285714285716</v>
      </c>
      <c r="K246" s="152"/>
    </row>
    <row r="247" spans="1:14" s="141" customFormat="1" ht="20.25" customHeight="1">
      <c r="A247" s="147">
        <v>4</v>
      </c>
      <c r="B247" s="143" t="s">
        <v>1221</v>
      </c>
      <c r="C247" s="143" t="s">
        <v>1222</v>
      </c>
      <c r="D247" s="143" t="s">
        <v>1013</v>
      </c>
      <c r="E247" s="148" t="s">
        <v>1143</v>
      </c>
      <c r="F247" s="143">
        <v>1</v>
      </c>
      <c r="G247" s="143" t="s">
        <v>1014</v>
      </c>
      <c r="H247" s="149">
        <v>1</v>
      </c>
      <c r="I247" s="157">
        <v>13000</v>
      </c>
      <c r="J247" s="159">
        <f t="shared" si="24"/>
        <v>13000</v>
      </c>
      <c r="K247" s="152"/>
    </row>
    <row r="248" spans="1:14" s="141" customFormat="1" ht="20.25" customHeight="1">
      <c r="A248" s="147">
        <v>5</v>
      </c>
      <c r="B248" s="143" t="s">
        <v>1221</v>
      </c>
      <c r="C248" s="143" t="s">
        <v>1222</v>
      </c>
      <c r="D248" s="143" t="s">
        <v>1015</v>
      </c>
      <c r="E248" s="148" t="s">
        <v>1144</v>
      </c>
      <c r="F248" s="143">
        <v>4</v>
      </c>
      <c r="G248" s="143" t="s">
        <v>1014</v>
      </c>
      <c r="H248" s="149">
        <v>4</v>
      </c>
      <c r="I248" s="157">
        <v>1200</v>
      </c>
      <c r="J248" s="159">
        <f t="shared" si="24"/>
        <v>4800</v>
      </c>
      <c r="K248" s="152"/>
    </row>
    <row r="249" spans="1:14" s="141" customFormat="1" ht="20.25" customHeight="1">
      <c r="A249" s="147">
        <v>6</v>
      </c>
      <c r="B249" s="143" t="s">
        <v>1221</v>
      </c>
      <c r="C249" s="143" t="s">
        <v>1222</v>
      </c>
      <c r="D249" s="143" t="s">
        <v>1020</v>
      </c>
      <c r="E249" s="143" t="s">
        <v>1236</v>
      </c>
      <c r="F249" s="143">
        <v>1</v>
      </c>
      <c r="G249" s="143" t="s">
        <v>1014</v>
      </c>
      <c r="H249" s="149">
        <v>1</v>
      </c>
      <c r="I249" s="150">
        <v>7000</v>
      </c>
      <c r="J249" s="151">
        <f t="shared" si="24"/>
        <v>7000</v>
      </c>
      <c r="K249" s="152"/>
    </row>
    <row r="250" spans="1:14" s="141" customFormat="1" ht="20.25" customHeight="1">
      <c r="A250" s="147">
        <v>7</v>
      </c>
      <c r="B250" s="143" t="s">
        <v>1221</v>
      </c>
      <c r="C250" s="143" t="s">
        <v>1222</v>
      </c>
      <c r="D250" s="143" t="s">
        <v>1021</v>
      </c>
      <c r="E250" s="143" t="s">
        <v>1236</v>
      </c>
      <c r="F250" s="143">
        <v>1</v>
      </c>
      <c r="G250" s="143" t="s">
        <v>1014</v>
      </c>
      <c r="H250" s="149">
        <v>1</v>
      </c>
      <c r="I250" s="150">
        <v>2500</v>
      </c>
      <c r="J250" s="151">
        <f t="shared" si="24"/>
        <v>2500</v>
      </c>
      <c r="K250" s="152"/>
    </row>
    <row r="251" spans="1:14" s="141" customFormat="1" ht="20.25" customHeight="1">
      <c r="A251" s="147">
        <v>8</v>
      </c>
      <c r="B251" s="143" t="s">
        <v>1221</v>
      </c>
      <c r="C251" s="143" t="s">
        <v>1222</v>
      </c>
      <c r="D251" s="143" t="s">
        <v>1145</v>
      </c>
      <c r="E251" s="143" t="s">
        <v>1146</v>
      </c>
      <c r="F251" s="143">
        <v>1</v>
      </c>
      <c r="G251" s="143" t="s">
        <v>1147</v>
      </c>
      <c r="H251" s="149">
        <v>1</v>
      </c>
      <c r="I251" s="150">
        <v>16000</v>
      </c>
      <c r="J251" s="151"/>
      <c r="K251" s="152"/>
    </row>
    <row r="252" spans="1:14" s="141" customFormat="1" ht="20.25" customHeight="1">
      <c r="A252" s="147">
        <v>9</v>
      </c>
      <c r="B252" s="143" t="s">
        <v>1221</v>
      </c>
      <c r="C252" s="143" t="s">
        <v>1222</v>
      </c>
      <c r="D252" s="143" t="s">
        <v>1129</v>
      </c>
      <c r="E252" s="143" t="s">
        <v>1148</v>
      </c>
      <c r="F252" s="143">
        <v>1</v>
      </c>
      <c r="G252" s="143" t="s">
        <v>1024</v>
      </c>
      <c r="H252" s="149">
        <v>1</v>
      </c>
      <c r="I252" s="150">
        <v>2000</v>
      </c>
      <c r="J252" s="151">
        <f t="shared" ref="J252:J259" si="25">H252*I252</f>
        <v>2000</v>
      </c>
      <c r="K252" s="152"/>
    </row>
    <row r="253" spans="1:14" s="141" customFormat="1" ht="20.25" customHeight="1">
      <c r="A253" s="147">
        <v>10</v>
      </c>
      <c r="B253" s="143" t="s">
        <v>1221</v>
      </c>
      <c r="C253" s="143" t="s">
        <v>1222</v>
      </c>
      <c r="D253" s="143" t="s">
        <v>1023</v>
      </c>
      <c r="E253" s="143" t="s">
        <v>1150</v>
      </c>
      <c r="F253" s="143">
        <v>1</v>
      </c>
      <c r="G253" s="143" t="s">
        <v>1024</v>
      </c>
      <c r="H253" s="149">
        <v>1</v>
      </c>
      <c r="I253" s="150">
        <v>4000</v>
      </c>
      <c r="J253" s="151">
        <f t="shared" si="25"/>
        <v>4000</v>
      </c>
      <c r="K253" s="152"/>
    </row>
    <row r="254" spans="1:14" s="141" customFormat="1" ht="20.25" customHeight="1">
      <c r="A254" s="147">
        <v>11</v>
      </c>
      <c r="B254" s="143" t="s">
        <v>1221</v>
      </c>
      <c r="C254" s="143" t="s">
        <v>1222</v>
      </c>
      <c r="D254" s="143" t="s">
        <v>1251</v>
      </c>
      <c r="E254" s="143" t="s">
        <v>1257</v>
      </c>
      <c r="F254" s="143">
        <v>1</v>
      </c>
      <c r="G254" s="143" t="s">
        <v>643</v>
      </c>
      <c r="H254" s="149">
        <v>1</v>
      </c>
      <c r="I254" s="150">
        <v>10000</v>
      </c>
      <c r="J254" s="151">
        <f t="shared" si="25"/>
        <v>10000</v>
      </c>
      <c r="K254" s="152"/>
    </row>
    <row r="255" spans="1:14" s="141" customFormat="1" ht="20.25" customHeight="1">
      <c r="A255" s="147">
        <v>12</v>
      </c>
      <c r="B255" s="143" t="s">
        <v>1221</v>
      </c>
      <c r="C255" s="143" t="s">
        <v>1222</v>
      </c>
      <c r="D255" s="143" t="s">
        <v>1253</v>
      </c>
      <c r="E255" s="143"/>
      <c r="F255" s="143">
        <v>1</v>
      </c>
      <c r="G255" s="143" t="s">
        <v>1254</v>
      </c>
      <c r="H255" s="149">
        <v>1</v>
      </c>
      <c r="I255" s="150">
        <v>5000</v>
      </c>
      <c r="J255" s="151">
        <f t="shared" si="25"/>
        <v>5000</v>
      </c>
      <c r="K255" s="152"/>
    </row>
    <row r="256" spans="1:14" s="141" customFormat="1" ht="20.25" customHeight="1">
      <c r="A256" s="147">
        <v>13</v>
      </c>
      <c r="B256" s="143" t="s">
        <v>1221</v>
      </c>
      <c r="C256" s="143" t="s">
        <v>1222</v>
      </c>
      <c r="D256" s="143" t="s">
        <v>1198</v>
      </c>
      <c r="E256" s="148" t="s">
        <v>1215</v>
      </c>
      <c r="F256" s="143">
        <v>2</v>
      </c>
      <c r="G256" s="149" t="s">
        <v>1194</v>
      </c>
      <c r="H256" s="149">
        <v>2</v>
      </c>
      <c r="I256" s="157">
        <f>13190/2</f>
        <v>6595</v>
      </c>
      <c r="J256" s="159">
        <f t="shared" si="25"/>
        <v>13190</v>
      </c>
      <c r="K256" s="152"/>
    </row>
    <row r="257" spans="1:14" s="141" customFormat="1" ht="20.25" customHeight="1">
      <c r="A257" s="147">
        <v>14</v>
      </c>
      <c r="B257" s="143" t="s">
        <v>1221</v>
      </c>
      <c r="C257" s="143" t="s">
        <v>1222</v>
      </c>
      <c r="D257" s="143" t="s">
        <v>1198</v>
      </c>
      <c r="E257" s="148" t="s">
        <v>1216</v>
      </c>
      <c r="F257" s="143">
        <v>2</v>
      </c>
      <c r="G257" s="149" t="s">
        <v>1194</v>
      </c>
      <c r="H257" s="149">
        <v>2</v>
      </c>
      <c r="I257" s="157">
        <f>6330/2</f>
        <v>3165</v>
      </c>
      <c r="J257" s="159">
        <f t="shared" si="25"/>
        <v>6330</v>
      </c>
      <c r="K257" s="152"/>
      <c r="M257" s="185">
        <v>656364</v>
      </c>
      <c r="N257" s="186" t="s">
        <v>1302</v>
      </c>
    </row>
    <row r="258" spans="1:14" s="141" customFormat="1" ht="20.25" customHeight="1">
      <c r="A258" s="147">
        <v>15</v>
      </c>
      <c r="B258" s="143" t="s">
        <v>1221</v>
      </c>
      <c r="C258" s="143" t="s">
        <v>1222</v>
      </c>
      <c r="D258" s="143" t="s">
        <v>1198</v>
      </c>
      <c r="E258" s="148" t="s">
        <v>1160</v>
      </c>
      <c r="F258" s="143">
        <v>2</v>
      </c>
      <c r="G258" s="149" t="s">
        <v>1026</v>
      </c>
      <c r="H258" s="149">
        <v>2</v>
      </c>
      <c r="I258" s="157">
        <v>5000</v>
      </c>
      <c r="J258" s="159">
        <f t="shared" si="25"/>
        <v>10000</v>
      </c>
      <c r="K258" s="152"/>
      <c r="M258" s="154">
        <f>150000+100000</f>
        <v>250000</v>
      </c>
      <c r="N258" s="210" t="s">
        <v>1562</v>
      </c>
    </row>
    <row r="259" spans="1:14" s="141" customFormat="1" ht="20.25" customHeight="1">
      <c r="A259" s="147">
        <v>16</v>
      </c>
      <c r="B259" s="143" t="s">
        <v>1221</v>
      </c>
      <c r="C259" s="143" t="s">
        <v>1222</v>
      </c>
      <c r="D259" s="143" t="s">
        <v>1050</v>
      </c>
      <c r="E259" s="148" t="s">
        <v>1051</v>
      </c>
      <c r="F259" s="143">
        <v>2</v>
      </c>
      <c r="G259" s="149" t="s">
        <v>1052</v>
      </c>
      <c r="H259" s="149">
        <v>2</v>
      </c>
      <c r="I259" s="157">
        <v>30000</v>
      </c>
      <c r="J259" s="159">
        <f t="shared" si="25"/>
        <v>60000</v>
      </c>
      <c r="K259" s="152"/>
      <c r="M259" s="183">
        <f>L262*7%</f>
        <v>12702.475000000002</v>
      </c>
      <c r="N259" s="141" t="s">
        <v>1303</v>
      </c>
    </row>
    <row r="260" spans="1:14" s="141" customFormat="1" ht="20.25" customHeight="1">
      <c r="A260" s="147">
        <v>17</v>
      </c>
      <c r="B260" s="143" t="s">
        <v>1221</v>
      </c>
      <c r="C260" s="143" t="s">
        <v>1222</v>
      </c>
      <c r="D260" s="143" t="s">
        <v>1041</v>
      </c>
      <c r="E260" s="148" t="s">
        <v>1035</v>
      </c>
      <c r="F260" s="143">
        <v>2</v>
      </c>
      <c r="G260" s="143" t="s">
        <v>1024</v>
      </c>
      <c r="H260" s="149">
        <v>2</v>
      </c>
      <c r="I260" s="150">
        <v>800</v>
      </c>
      <c r="J260" s="151">
        <f>H260*I260</f>
        <v>1600</v>
      </c>
      <c r="K260" s="152"/>
      <c r="M260" s="183">
        <f>(L262+M259)*20%</f>
        <v>38833.28071428572</v>
      </c>
      <c r="N260" s="141" t="s">
        <v>1304</v>
      </c>
    </row>
    <row r="261" spans="1:14" s="141" customFormat="1" ht="20.25" customHeight="1" thickBot="1">
      <c r="A261" s="147">
        <v>18</v>
      </c>
      <c r="B261" s="177" t="s">
        <v>1221</v>
      </c>
      <c r="C261" s="177" t="s">
        <v>1222</v>
      </c>
      <c r="D261" s="177" t="s">
        <v>1262</v>
      </c>
      <c r="E261" s="143" t="s">
        <v>1263</v>
      </c>
      <c r="F261" s="177">
        <v>2</v>
      </c>
      <c r="G261" s="177" t="s">
        <v>1116</v>
      </c>
      <c r="H261" s="178">
        <v>2</v>
      </c>
      <c r="I261" s="179">
        <v>700</v>
      </c>
      <c r="J261" s="151">
        <f>H261*I261</f>
        <v>1400</v>
      </c>
      <c r="K261" s="181"/>
      <c r="M261" s="183">
        <f>(L262+M259+M260)*25%</f>
        <v>58249.921071428573</v>
      </c>
      <c r="N261" s="141" t="s">
        <v>1305</v>
      </c>
    </row>
    <row r="262" spans="1:14" s="141" customFormat="1" ht="20.25" customHeight="1" thickBot="1">
      <c r="A262" s="160">
        <v>19</v>
      </c>
      <c r="B262" s="161" t="s">
        <v>1221</v>
      </c>
      <c r="C262" s="161" t="s">
        <v>1222</v>
      </c>
      <c r="D262" s="161" t="s">
        <v>1264</v>
      </c>
      <c r="E262" s="169" t="s">
        <v>1267</v>
      </c>
      <c r="F262" s="161">
        <v>1</v>
      </c>
      <c r="G262" s="161" t="s">
        <v>1116</v>
      </c>
      <c r="H262" s="162">
        <v>1</v>
      </c>
      <c r="I262" s="170">
        <v>1400</v>
      </c>
      <c r="J262" s="171">
        <f t="shared" ref="J262" si="26">H262*I262</f>
        <v>1400</v>
      </c>
      <c r="K262" s="163"/>
      <c r="L262" s="172">
        <f>SUM(J244:J262)</f>
        <v>181463.92857142858</v>
      </c>
      <c r="M262" s="184">
        <f>L262+M258+M259+M260+M261</f>
        <v>541249.60535714286</v>
      </c>
      <c r="N262" s="141" t="s">
        <v>1307</v>
      </c>
    </row>
  </sheetData>
  <mergeCells count="29">
    <mergeCell ref="E5:I5"/>
    <mergeCell ref="J5:K5"/>
    <mergeCell ref="E1:I1"/>
    <mergeCell ref="E3:I3"/>
    <mergeCell ref="J3:K3"/>
    <mergeCell ref="E4:I4"/>
    <mergeCell ref="J4:K4"/>
    <mergeCell ref="E6:I6"/>
    <mergeCell ref="J6:K6"/>
    <mergeCell ref="E7:I7"/>
    <mergeCell ref="J7:K7"/>
    <mergeCell ref="E8:I8"/>
    <mergeCell ref="J8:K8"/>
    <mergeCell ref="E9:I9"/>
    <mergeCell ref="J9:K9"/>
    <mergeCell ref="E10:I10"/>
    <mergeCell ref="J10:K10"/>
    <mergeCell ref="E11:I11"/>
    <mergeCell ref="J11:K11"/>
    <mergeCell ref="E16:I16"/>
    <mergeCell ref="J16:K16"/>
    <mergeCell ref="E15:I15"/>
    <mergeCell ref="J15:K15"/>
    <mergeCell ref="E12:I12"/>
    <mergeCell ref="J12:K12"/>
    <mergeCell ref="E13:I13"/>
    <mergeCell ref="J13:K13"/>
    <mergeCell ref="E14:I14"/>
    <mergeCell ref="J14:K14"/>
  </mergeCells>
  <phoneticPr fontId="1" type="noConversion"/>
  <pageMargins left="0" right="0.70866141732283472" top="0.15748031496062992" bottom="0" header="0.31496062992125984" footer="0.31496062992125984"/>
  <pageSetup paperSize="9" scale="55" orientation="landscape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5" zoomScaleNormal="85" workbookViewId="0">
      <selection activeCell="D23" sqref="D23:G23"/>
    </sheetView>
  </sheetViews>
  <sheetFormatPr defaultColWidth="9" defaultRowHeight="17"/>
  <cols>
    <col min="1" max="1" width="3.33203125" style="1" customWidth="1"/>
    <col min="2" max="2" width="10.58203125" style="1" customWidth="1"/>
    <col min="3" max="3" width="20.83203125" style="1" bestFit="1" customWidth="1"/>
    <col min="4" max="4" width="26" style="1" customWidth="1"/>
    <col min="5" max="5" width="5.08203125" style="1" customWidth="1"/>
    <col min="6" max="6" width="18.75" style="1" customWidth="1"/>
    <col min="7" max="7" width="14.33203125" style="1" customWidth="1"/>
    <col min="8" max="8" width="9" style="1"/>
    <col min="9" max="9" width="23.33203125" style="1" customWidth="1"/>
    <col min="10" max="10" width="25.08203125" style="1" customWidth="1"/>
    <col min="11" max="11" width="11.33203125" style="1" customWidth="1"/>
    <col min="12" max="16384" width="9" style="1"/>
  </cols>
  <sheetData>
    <row r="1" spans="1:11" ht="44">
      <c r="D1" s="260" t="s">
        <v>883</v>
      </c>
      <c r="E1" s="260"/>
      <c r="F1" s="260"/>
      <c r="G1" s="260"/>
      <c r="H1" s="260"/>
      <c r="I1" s="3"/>
    </row>
    <row r="3" spans="1:11" s="52" customFormat="1" ht="16.5" customHeight="1">
      <c r="D3" s="322" t="s">
        <v>884</v>
      </c>
      <c r="E3" s="322"/>
      <c r="F3" s="322"/>
      <c r="G3" s="322"/>
      <c r="H3" s="322"/>
      <c r="I3" s="323" t="s">
        <v>885</v>
      </c>
      <c r="J3" s="324"/>
    </row>
    <row r="4" spans="1:11" s="52" customFormat="1" ht="16.5" customHeight="1">
      <c r="D4" s="322" t="s">
        <v>886</v>
      </c>
      <c r="E4" s="322"/>
      <c r="F4" s="322"/>
      <c r="G4" s="322"/>
      <c r="H4" s="322"/>
      <c r="I4" s="323">
        <v>1</v>
      </c>
      <c r="J4" s="324"/>
    </row>
    <row r="5" spans="1:11" s="52" customFormat="1" ht="16.5" customHeight="1">
      <c r="D5" s="322" t="s">
        <v>265</v>
      </c>
      <c r="E5" s="322"/>
      <c r="F5" s="322"/>
      <c r="G5" s="322"/>
      <c r="H5" s="322"/>
      <c r="I5" s="129"/>
      <c r="J5" s="129">
        <f>SUM(J4:J4)</f>
        <v>0</v>
      </c>
    </row>
    <row r="7" spans="1:11" ht="16.5" customHeight="1">
      <c r="A7" s="13" t="s">
        <v>887</v>
      </c>
      <c r="B7" s="13" t="s">
        <v>888</v>
      </c>
      <c r="C7" s="13" t="s">
        <v>889</v>
      </c>
      <c r="D7" s="13" t="s">
        <v>104</v>
      </c>
      <c r="E7" s="13" t="s">
        <v>890</v>
      </c>
      <c r="F7" s="13" t="s">
        <v>891</v>
      </c>
      <c r="G7" s="13" t="s">
        <v>943</v>
      </c>
      <c r="H7" s="13" t="s">
        <v>892</v>
      </c>
      <c r="I7" s="13" t="s">
        <v>944</v>
      </c>
      <c r="J7" s="13" t="s">
        <v>1672</v>
      </c>
    </row>
    <row r="8" spans="1:11" ht="16.5" customHeight="1">
      <c r="A8" s="349">
        <v>1</v>
      </c>
      <c r="B8" s="13"/>
      <c r="C8" s="13" t="s">
        <v>882</v>
      </c>
      <c r="D8" s="13" t="s">
        <v>893</v>
      </c>
      <c r="E8" s="13">
        <v>1</v>
      </c>
      <c r="F8" s="67" t="s">
        <v>1674</v>
      </c>
      <c r="G8" s="67">
        <f>E8*$I$4</f>
        <v>1</v>
      </c>
      <c r="H8" s="130">
        <v>27000</v>
      </c>
      <c r="I8" s="130">
        <f>G8*H8</f>
        <v>27000</v>
      </c>
      <c r="J8" s="13"/>
    </row>
    <row r="9" spans="1:11" ht="16.5" customHeight="1">
      <c r="A9" s="349"/>
      <c r="B9" s="109"/>
      <c r="C9" s="109" t="s">
        <v>882</v>
      </c>
      <c r="D9" s="109" t="s">
        <v>894</v>
      </c>
      <c r="E9" s="109">
        <v>1</v>
      </c>
      <c r="F9" s="357" t="s">
        <v>895</v>
      </c>
      <c r="G9" s="114">
        <f t="shared" ref="G9:G40" si="0">E9*$I$4</f>
        <v>1</v>
      </c>
      <c r="H9" s="115">
        <v>18160</v>
      </c>
      <c r="I9" s="115">
        <f t="shared" ref="I9:I40" si="1">G9*H9</f>
        <v>18160</v>
      </c>
      <c r="J9" s="115">
        <v>13600</v>
      </c>
    </row>
    <row r="10" spans="1:11" ht="16.5" customHeight="1">
      <c r="A10" s="349"/>
      <c r="B10" s="109"/>
      <c r="C10" s="109" t="s">
        <v>882</v>
      </c>
      <c r="D10" s="109" t="s">
        <v>896</v>
      </c>
      <c r="E10" s="109">
        <v>1</v>
      </c>
      <c r="F10" s="358"/>
      <c r="G10" s="114">
        <f t="shared" si="0"/>
        <v>1</v>
      </c>
      <c r="H10" s="115">
        <v>13360</v>
      </c>
      <c r="I10" s="115">
        <f t="shared" si="1"/>
        <v>13360</v>
      </c>
      <c r="J10" s="115">
        <v>9000</v>
      </c>
    </row>
    <row r="11" spans="1:11" ht="16.5" customHeight="1">
      <c r="A11" s="349"/>
      <c r="B11" s="109"/>
      <c r="C11" s="109" t="s">
        <v>882</v>
      </c>
      <c r="D11" s="109" t="s">
        <v>897</v>
      </c>
      <c r="E11" s="109">
        <v>1</v>
      </c>
      <c r="F11" s="358"/>
      <c r="G11" s="114">
        <f t="shared" si="0"/>
        <v>1</v>
      </c>
      <c r="H11" s="115">
        <v>5670</v>
      </c>
      <c r="I11" s="115">
        <f t="shared" si="1"/>
        <v>5670</v>
      </c>
      <c r="J11" s="115">
        <v>4500</v>
      </c>
    </row>
    <row r="12" spans="1:11" ht="16.5" customHeight="1">
      <c r="A12" s="349"/>
      <c r="B12" s="109"/>
      <c r="C12" s="109" t="s">
        <v>882</v>
      </c>
      <c r="D12" s="109" t="s">
        <v>898</v>
      </c>
      <c r="E12" s="109">
        <v>1</v>
      </c>
      <c r="F12" s="359"/>
      <c r="G12" s="114">
        <f t="shared" si="0"/>
        <v>1</v>
      </c>
      <c r="H12" s="115">
        <v>5670</v>
      </c>
      <c r="I12" s="115">
        <f t="shared" si="1"/>
        <v>5670</v>
      </c>
      <c r="J12" s="115">
        <v>4500</v>
      </c>
    </row>
    <row r="13" spans="1:11" ht="16.5" customHeight="1">
      <c r="A13" s="349"/>
      <c r="B13" s="13"/>
      <c r="C13" s="13" t="s">
        <v>882</v>
      </c>
      <c r="D13" s="13" t="s">
        <v>1680</v>
      </c>
      <c r="E13" s="13">
        <v>1</v>
      </c>
      <c r="F13" s="13" t="s">
        <v>899</v>
      </c>
      <c r="G13" s="67">
        <f t="shared" si="0"/>
        <v>1</v>
      </c>
      <c r="H13" s="130">
        <f>77500</f>
        <v>77500</v>
      </c>
      <c r="I13" s="130">
        <f t="shared" si="1"/>
        <v>77500</v>
      </c>
      <c r="J13" s="130"/>
    </row>
    <row r="14" spans="1:11" ht="16.5" customHeight="1">
      <c r="A14" s="349"/>
      <c r="B14" s="13"/>
      <c r="C14" s="13" t="s">
        <v>882</v>
      </c>
      <c r="D14" s="13" t="s">
        <v>1681</v>
      </c>
      <c r="E14" s="13">
        <v>1</v>
      </c>
      <c r="F14" s="13" t="s">
        <v>1682</v>
      </c>
      <c r="G14" s="67">
        <f t="shared" si="0"/>
        <v>1</v>
      </c>
      <c r="H14" s="130">
        <v>5000</v>
      </c>
      <c r="I14" s="130">
        <f t="shared" si="1"/>
        <v>5000</v>
      </c>
      <c r="J14" s="130">
        <f>3400+150</f>
        <v>3550</v>
      </c>
      <c r="K14" s="246" t="s">
        <v>1683</v>
      </c>
    </row>
    <row r="15" spans="1:11" ht="16.5" customHeight="1">
      <c r="A15" s="349"/>
      <c r="B15" s="13"/>
      <c r="C15" s="13" t="s">
        <v>882</v>
      </c>
      <c r="D15" s="98" t="s">
        <v>900</v>
      </c>
      <c r="E15" s="13">
        <v>1</v>
      </c>
      <c r="F15" s="13" t="s">
        <v>939</v>
      </c>
      <c r="G15" s="67">
        <f t="shared" si="0"/>
        <v>1</v>
      </c>
      <c r="H15" s="130">
        <v>22300</v>
      </c>
      <c r="I15" s="130">
        <f t="shared" si="1"/>
        <v>22300</v>
      </c>
      <c r="J15" s="130"/>
    </row>
    <row r="16" spans="1:11" ht="16.5" customHeight="1">
      <c r="A16" s="349"/>
      <c r="B16" s="13"/>
      <c r="C16" s="13" t="s">
        <v>882</v>
      </c>
      <c r="D16" s="13" t="s">
        <v>901</v>
      </c>
      <c r="E16" s="13">
        <v>1</v>
      </c>
      <c r="F16" s="13" t="s">
        <v>902</v>
      </c>
      <c r="G16" s="67">
        <f t="shared" si="0"/>
        <v>1</v>
      </c>
      <c r="H16" s="130">
        <v>1640</v>
      </c>
      <c r="I16" s="130">
        <f t="shared" si="1"/>
        <v>1640</v>
      </c>
      <c r="J16" s="130"/>
    </row>
    <row r="17" spans="1:14" ht="16.5" customHeight="1">
      <c r="A17" s="349"/>
      <c r="B17" s="13"/>
      <c r="C17" s="13" t="s">
        <v>882</v>
      </c>
      <c r="D17" s="98" t="s">
        <v>903</v>
      </c>
      <c r="E17" s="13">
        <v>1</v>
      </c>
      <c r="F17" s="13" t="s">
        <v>938</v>
      </c>
      <c r="G17" s="67">
        <f t="shared" si="0"/>
        <v>1</v>
      </c>
      <c r="H17" s="130">
        <v>7120</v>
      </c>
      <c r="I17" s="130">
        <f t="shared" si="1"/>
        <v>7120</v>
      </c>
      <c r="J17" s="130"/>
    </row>
    <row r="18" spans="1:14" ht="16.5" customHeight="1">
      <c r="A18" s="349"/>
      <c r="B18" s="13"/>
      <c r="C18" s="13" t="s">
        <v>882</v>
      </c>
      <c r="D18" s="242" t="s">
        <v>904</v>
      </c>
      <c r="E18" s="13">
        <v>1</v>
      </c>
      <c r="F18" s="13" t="s">
        <v>905</v>
      </c>
      <c r="G18" s="67">
        <f t="shared" si="0"/>
        <v>1</v>
      </c>
      <c r="H18" s="130">
        <v>61530</v>
      </c>
      <c r="I18" s="130">
        <f t="shared" si="1"/>
        <v>61530</v>
      </c>
      <c r="J18" s="115" t="s">
        <v>1673</v>
      </c>
    </row>
    <row r="19" spans="1:14" ht="16.5" customHeight="1">
      <c r="A19" s="349"/>
      <c r="B19" s="13" t="s">
        <v>1679</v>
      </c>
      <c r="C19" s="13" t="s">
        <v>882</v>
      </c>
      <c r="D19" s="13" t="s">
        <v>906</v>
      </c>
      <c r="E19" s="13">
        <v>1</v>
      </c>
      <c r="F19" s="13" t="s">
        <v>907</v>
      </c>
      <c r="G19" s="67">
        <f t="shared" si="0"/>
        <v>1</v>
      </c>
      <c r="H19" s="130">
        <v>43000</v>
      </c>
      <c r="I19" s="130">
        <f t="shared" si="1"/>
        <v>43000</v>
      </c>
      <c r="J19" s="130"/>
    </row>
    <row r="20" spans="1:14" ht="16.5" customHeight="1">
      <c r="A20" s="349"/>
      <c r="B20" s="13"/>
      <c r="C20" s="13" t="s">
        <v>882</v>
      </c>
      <c r="D20" s="13" t="s">
        <v>908</v>
      </c>
      <c r="E20" s="13">
        <v>1</v>
      </c>
      <c r="F20" s="13" t="s">
        <v>907</v>
      </c>
      <c r="G20" s="67">
        <f t="shared" si="0"/>
        <v>1</v>
      </c>
      <c r="H20" s="130">
        <v>0</v>
      </c>
      <c r="I20" s="130">
        <f t="shared" si="1"/>
        <v>0</v>
      </c>
      <c r="J20" s="130"/>
    </row>
    <row r="21" spans="1:14" ht="16.5" customHeight="1">
      <c r="A21" s="349"/>
      <c r="B21" s="13"/>
      <c r="C21" s="13" t="s">
        <v>882</v>
      </c>
      <c r="D21" s="13" t="s">
        <v>909</v>
      </c>
      <c r="E21" s="13">
        <v>1</v>
      </c>
      <c r="F21" s="13" t="s">
        <v>910</v>
      </c>
      <c r="G21" s="67">
        <f t="shared" si="0"/>
        <v>1</v>
      </c>
      <c r="H21" s="130">
        <v>15000</v>
      </c>
      <c r="I21" s="130">
        <f t="shared" si="1"/>
        <v>15000</v>
      </c>
      <c r="J21" s="130"/>
    </row>
    <row r="22" spans="1:14" ht="16.5" customHeight="1">
      <c r="A22" s="349"/>
      <c r="B22" s="13"/>
      <c r="C22" s="13" t="s">
        <v>882</v>
      </c>
      <c r="D22" s="1" t="s">
        <v>911</v>
      </c>
      <c r="E22" s="13">
        <v>1</v>
      </c>
      <c r="F22" s="13" t="s">
        <v>940</v>
      </c>
      <c r="G22" s="67">
        <f t="shared" si="0"/>
        <v>1</v>
      </c>
      <c r="H22" s="130">
        <v>380</v>
      </c>
      <c r="I22" s="130">
        <f t="shared" si="1"/>
        <v>380</v>
      </c>
      <c r="J22" s="13"/>
    </row>
    <row r="23" spans="1:14" ht="16.5" customHeight="1">
      <c r="A23" s="349"/>
      <c r="B23" s="13"/>
      <c r="C23" s="13" t="s">
        <v>882</v>
      </c>
      <c r="D23" s="13" t="s">
        <v>912</v>
      </c>
      <c r="E23" s="13">
        <v>1</v>
      </c>
      <c r="F23" s="13" t="s">
        <v>941</v>
      </c>
      <c r="G23" s="67">
        <f t="shared" si="0"/>
        <v>1</v>
      </c>
      <c r="H23" s="130">
        <v>1500</v>
      </c>
      <c r="I23" s="130">
        <f t="shared" si="1"/>
        <v>1500</v>
      </c>
      <c r="J23" s="13"/>
    </row>
    <row r="24" spans="1:14" ht="16.5" customHeight="1">
      <c r="A24" s="349"/>
      <c r="B24" s="13"/>
      <c r="C24" s="13" t="s">
        <v>882</v>
      </c>
      <c r="D24" s="13" t="s">
        <v>913</v>
      </c>
      <c r="E24" s="13">
        <v>1</v>
      </c>
      <c r="F24" s="13" t="s">
        <v>914</v>
      </c>
      <c r="G24" s="67">
        <f t="shared" si="0"/>
        <v>1</v>
      </c>
      <c r="H24" s="130">
        <v>2300</v>
      </c>
      <c r="I24" s="130">
        <f t="shared" si="1"/>
        <v>2300</v>
      </c>
      <c r="J24" s="13"/>
      <c r="N24" s="131"/>
    </row>
    <row r="25" spans="1:14" ht="16.5" customHeight="1">
      <c r="A25" s="349"/>
      <c r="B25" s="13"/>
      <c r="C25" s="13" t="s">
        <v>882</v>
      </c>
      <c r="D25" s="13" t="s">
        <v>915</v>
      </c>
      <c r="E25" s="13">
        <v>1</v>
      </c>
      <c r="F25" s="13" t="s">
        <v>916</v>
      </c>
      <c r="G25" s="67">
        <f t="shared" si="0"/>
        <v>1</v>
      </c>
      <c r="H25" s="130">
        <v>60</v>
      </c>
      <c r="I25" s="130">
        <f t="shared" si="1"/>
        <v>60</v>
      </c>
      <c r="J25" s="13"/>
    </row>
    <row r="26" spans="1:14" ht="16.5" customHeight="1">
      <c r="A26" s="349"/>
      <c r="B26" s="13"/>
      <c r="C26" s="13" t="s">
        <v>882</v>
      </c>
      <c r="D26" s="13" t="s">
        <v>917</v>
      </c>
      <c r="E26" s="13">
        <v>1</v>
      </c>
      <c r="F26" s="13" t="s">
        <v>916</v>
      </c>
      <c r="G26" s="67">
        <f t="shared" si="0"/>
        <v>1</v>
      </c>
      <c r="H26" s="130">
        <v>70</v>
      </c>
      <c r="I26" s="130">
        <f t="shared" si="1"/>
        <v>70</v>
      </c>
      <c r="J26" s="13"/>
    </row>
    <row r="27" spans="1:14" ht="16.5" customHeight="1">
      <c r="A27" s="349"/>
      <c r="B27" s="13"/>
      <c r="C27" s="13" t="s">
        <v>882</v>
      </c>
      <c r="D27" s="1" t="s">
        <v>918</v>
      </c>
      <c r="E27" s="13">
        <v>1</v>
      </c>
      <c r="F27" s="13" t="s">
        <v>919</v>
      </c>
      <c r="G27" s="67">
        <f t="shared" si="0"/>
        <v>1</v>
      </c>
      <c r="H27" s="130">
        <v>13</v>
      </c>
      <c r="I27" s="130">
        <f t="shared" si="1"/>
        <v>13</v>
      </c>
      <c r="J27" s="13"/>
    </row>
    <row r="28" spans="1:14" ht="16.5" customHeight="1">
      <c r="A28" s="349"/>
      <c r="B28" s="13"/>
      <c r="C28" s="13" t="s">
        <v>882</v>
      </c>
      <c r="D28" s="13" t="s">
        <v>920</v>
      </c>
      <c r="E28" s="13">
        <v>1</v>
      </c>
      <c r="F28" s="13" t="s">
        <v>921</v>
      </c>
      <c r="G28" s="67">
        <f t="shared" si="0"/>
        <v>1</v>
      </c>
      <c r="H28" s="130">
        <v>7</v>
      </c>
      <c r="I28" s="130">
        <f t="shared" si="1"/>
        <v>7</v>
      </c>
      <c r="J28" s="13"/>
    </row>
    <row r="29" spans="1:14" ht="16.5" customHeight="1">
      <c r="A29" s="349"/>
      <c r="B29" s="13"/>
      <c r="C29" s="13" t="s">
        <v>882</v>
      </c>
      <c r="D29" s="13" t="s">
        <v>922</v>
      </c>
      <c r="E29" s="13">
        <v>1</v>
      </c>
      <c r="F29" s="13" t="s">
        <v>921</v>
      </c>
      <c r="G29" s="67">
        <f t="shared" si="0"/>
        <v>1</v>
      </c>
      <c r="H29" s="130">
        <v>23</v>
      </c>
      <c r="I29" s="130">
        <f t="shared" si="1"/>
        <v>23</v>
      </c>
      <c r="J29" s="13"/>
    </row>
    <row r="30" spans="1:14" ht="16.5" customHeight="1">
      <c r="A30" s="349"/>
      <c r="B30" s="13"/>
      <c r="C30" s="13" t="s">
        <v>882</v>
      </c>
      <c r="D30" s="13" t="s">
        <v>923</v>
      </c>
      <c r="E30" s="13">
        <v>14</v>
      </c>
      <c r="F30" s="13" t="s">
        <v>925</v>
      </c>
      <c r="G30" s="67">
        <f t="shared" si="0"/>
        <v>14</v>
      </c>
      <c r="H30" s="130">
        <v>260</v>
      </c>
      <c r="I30" s="130">
        <f t="shared" si="1"/>
        <v>3640</v>
      </c>
      <c r="J30" s="13"/>
    </row>
    <row r="31" spans="1:14" ht="16.5" customHeight="1">
      <c r="A31" s="349"/>
      <c r="B31" s="13"/>
      <c r="C31" s="13" t="s">
        <v>882</v>
      </c>
      <c r="D31" s="1" t="s">
        <v>942</v>
      </c>
      <c r="E31" s="13">
        <v>2</v>
      </c>
      <c r="F31" s="13" t="s">
        <v>926</v>
      </c>
      <c r="G31" s="67">
        <f t="shared" si="0"/>
        <v>2</v>
      </c>
      <c r="H31" s="130">
        <v>290</v>
      </c>
      <c r="I31" s="130">
        <f t="shared" si="1"/>
        <v>580</v>
      </c>
      <c r="J31" s="13"/>
    </row>
    <row r="32" spans="1:14" ht="16.5" customHeight="1">
      <c r="A32" s="349"/>
      <c r="B32" s="13"/>
      <c r="C32" s="13" t="s">
        <v>882</v>
      </c>
      <c r="D32" s="13" t="s">
        <v>927</v>
      </c>
      <c r="E32" s="13">
        <v>1</v>
      </c>
      <c r="F32" s="13" t="s">
        <v>928</v>
      </c>
      <c r="G32" s="67">
        <f t="shared" si="0"/>
        <v>1</v>
      </c>
      <c r="H32" s="130">
        <v>16</v>
      </c>
      <c r="I32" s="130">
        <f t="shared" si="1"/>
        <v>16</v>
      </c>
      <c r="J32" s="13"/>
    </row>
    <row r="33" spans="1:10" ht="16.5" customHeight="1">
      <c r="A33" s="349"/>
      <c r="B33" s="13"/>
      <c r="C33" s="13" t="s">
        <v>882</v>
      </c>
      <c r="D33" s="13" t="s">
        <v>929</v>
      </c>
      <c r="E33" s="13">
        <v>1</v>
      </c>
      <c r="F33" s="13" t="s">
        <v>930</v>
      </c>
      <c r="G33" s="67">
        <f t="shared" si="0"/>
        <v>1</v>
      </c>
      <c r="H33" s="130">
        <v>22</v>
      </c>
      <c r="I33" s="130">
        <f t="shared" si="1"/>
        <v>22</v>
      </c>
      <c r="J33" s="13"/>
    </row>
    <row r="34" spans="1:10" ht="16.5" customHeight="1">
      <c r="A34" s="349"/>
      <c r="B34" s="13"/>
      <c r="C34" s="13" t="s">
        <v>882</v>
      </c>
      <c r="D34" s="13" t="s">
        <v>931</v>
      </c>
      <c r="E34" s="13">
        <v>1</v>
      </c>
      <c r="F34" s="13" t="s">
        <v>924</v>
      </c>
      <c r="G34" s="67">
        <f t="shared" si="0"/>
        <v>1</v>
      </c>
      <c r="H34" s="130">
        <v>420</v>
      </c>
      <c r="I34" s="130">
        <f t="shared" si="1"/>
        <v>420</v>
      </c>
      <c r="J34" s="13"/>
    </row>
    <row r="35" spans="1:10" ht="16.5" customHeight="1">
      <c r="A35" s="349"/>
      <c r="B35" s="13"/>
      <c r="C35" s="13" t="s">
        <v>882</v>
      </c>
      <c r="D35" s="1" t="s">
        <v>932</v>
      </c>
      <c r="E35" s="13">
        <v>1</v>
      </c>
      <c r="F35" s="13" t="s">
        <v>925</v>
      </c>
      <c r="G35" s="67">
        <f t="shared" si="0"/>
        <v>1</v>
      </c>
      <c r="H35" s="130">
        <v>120</v>
      </c>
      <c r="I35" s="130">
        <f t="shared" si="1"/>
        <v>120</v>
      </c>
      <c r="J35" s="13"/>
    </row>
    <row r="36" spans="1:10" ht="16.5" customHeight="1">
      <c r="A36" s="349"/>
      <c r="B36" s="13"/>
      <c r="C36" s="13" t="s">
        <v>882</v>
      </c>
      <c r="D36" s="13" t="s">
        <v>933</v>
      </c>
      <c r="E36" s="13">
        <v>8</v>
      </c>
      <c r="F36" s="13" t="s">
        <v>930</v>
      </c>
      <c r="G36" s="67">
        <f t="shared" si="0"/>
        <v>8</v>
      </c>
      <c r="H36" s="130">
        <v>50</v>
      </c>
      <c r="I36" s="130">
        <f t="shared" si="1"/>
        <v>400</v>
      </c>
      <c r="J36" s="13"/>
    </row>
    <row r="37" spans="1:10" ht="16.5" customHeight="1">
      <c r="A37" s="349"/>
      <c r="B37" s="13"/>
      <c r="C37" s="13" t="s">
        <v>882</v>
      </c>
      <c r="D37" s="13" t="s">
        <v>934</v>
      </c>
      <c r="E37" s="13">
        <v>2</v>
      </c>
      <c r="F37" s="13" t="s">
        <v>930</v>
      </c>
      <c r="G37" s="67">
        <f t="shared" si="0"/>
        <v>2</v>
      </c>
      <c r="H37" s="130">
        <v>28</v>
      </c>
      <c r="I37" s="130">
        <f t="shared" si="1"/>
        <v>56</v>
      </c>
      <c r="J37" s="13"/>
    </row>
    <row r="38" spans="1:10" ht="16.5" customHeight="1">
      <c r="A38" s="349"/>
      <c r="B38" s="13"/>
      <c r="C38" s="13" t="s">
        <v>882</v>
      </c>
      <c r="D38" s="13" t="s">
        <v>935</v>
      </c>
      <c r="E38" s="13">
        <v>3</v>
      </c>
      <c r="F38" s="13" t="s">
        <v>930</v>
      </c>
      <c r="G38" s="67">
        <f t="shared" si="0"/>
        <v>3</v>
      </c>
      <c r="H38" s="130">
        <v>185</v>
      </c>
      <c r="I38" s="130">
        <f t="shared" si="1"/>
        <v>555</v>
      </c>
      <c r="J38" s="13"/>
    </row>
    <row r="39" spans="1:10" ht="16.5" customHeight="1">
      <c r="B39" s="13"/>
      <c r="C39" s="13" t="s">
        <v>882</v>
      </c>
      <c r="D39" s="13" t="s">
        <v>936</v>
      </c>
      <c r="E39" s="13">
        <v>4</v>
      </c>
      <c r="F39" s="13" t="s">
        <v>925</v>
      </c>
      <c r="G39" s="67">
        <f t="shared" si="0"/>
        <v>4</v>
      </c>
      <c r="H39" s="130">
        <v>80</v>
      </c>
      <c r="I39" s="130">
        <f t="shared" si="1"/>
        <v>320</v>
      </c>
      <c r="J39" s="13"/>
    </row>
    <row r="40" spans="1:10" ht="23.15" customHeight="1" thickBot="1">
      <c r="B40" s="13"/>
      <c r="C40" s="13" t="s">
        <v>882</v>
      </c>
      <c r="D40" s="13" t="s">
        <v>937</v>
      </c>
      <c r="E40" s="13">
        <v>6</v>
      </c>
      <c r="F40" s="13" t="s">
        <v>926</v>
      </c>
      <c r="G40" s="67">
        <f t="shared" si="0"/>
        <v>6</v>
      </c>
      <c r="H40" s="130">
        <v>230</v>
      </c>
      <c r="I40" s="130">
        <f t="shared" si="1"/>
        <v>1380</v>
      </c>
      <c r="J40" s="13"/>
    </row>
    <row r="41" spans="1:10" ht="17.5" thickBot="1">
      <c r="I41" s="132">
        <f>SUM(I8:I40)</f>
        <v>314812</v>
      </c>
      <c r="J41" s="132">
        <f>SUM(J8:J40)</f>
        <v>35150</v>
      </c>
    </row>
  </sheetData>
  <mergeCells count="8">
    <mergeCell ref="I3:J3"/>
    <mergeCell ref="I4:J4"/>
    <mergeCell ref="A8:A38"/>
    <mergeCell ref="F9:F12"/>
    <mergeCell ref="D1:H1"/>
    <mergeCell ref="D3:H3"/>
    <mergeCell ref="D4:H4"/>
    <mergeCell ref="D5:H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0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C1" zoomScale="90" zoomScaleNormal="90" workbookViewId="0">
      <selection activeCell="I42" sqref="I42"/>
    </sheetView>
  </sheetViews>
  <sheetFormatPr defaultColWidth="9" defaultRowHeight="17.5"/>
  <cols>
    <col min="1" max="1" width="3.5" style="175" customWidth="1"/>
    <col min="2" max="2" width="12.58203125" style="175" customWidth="1"/>
    <col min="3" max="3" width="15.83203125" style="175" customWidth="1"/>
    <col min="4" max="4" width="27.5" style="175" customWidth="1"/>
    <col min="5" max="5" width="51.75" style="175" customWidth="1"/>
    <col min="6" max="6" width="5.5" style="175" customWidth="1"/>
    <col min="7" max="7" width="26.58203125" style="175" customWidth="1"/>
    <col min="8" max="8" width="9" style="175" customWidth="1"/>
    <col min="9" max="9" width="11.25" style="175" customWidth="1"/>
    <col min="10" max="10" width="13.83203125" style="175" customWidth="1"/>
    <col min="11" max="11" width="12.83203125" style="175" customWidth="1"/>
    <col min="12" max="12" width="15.83203125" style="175" customWidth="1"/>
    <col min="13" max="13" width="16.08203125" style="175" customWidth="1"/>
    <col min="14" max="14" width="26.75" style="175" customWidth="1"/>
    <col min="15" max="16384" width="9" style="175"/>
  </cols>
  <sheetData>
    <row r="1" spans="5:11" s="141" customFormat="1" ht="33.75" customHeight="1">
      <c r="E1" s="360" t="s">
        <v>1686</v>
      </c>
      <c r="F1" s="342"/>
      <c r="G1" s="342"/>
      <c r="H1" s="342"/>
      <c r="I1" s="342"/>
      <c r="J1" s="153"/>
    </row>
    <row r="2" spans="5:11" s="141" customFormat="1">
      <c r="I2" s="154"/>
    </row>
    <row r="3" spans="5:11" s="155" customFormat="1" ht="12.75" customHeight="1">
      <c r="E3" s="339" t="s">
        <v>1032</v>
      </c>
      <c r="F3" s="339"/>
      <c r="G3" s="339"/>
      <c r="H3" s="339"/>
      <c r="I3" s="339"/>
      <c r="J3" s="340" t="s">
        <v>1033</v>
      </c>
      <c r="K3" s="341"/>
    </row>
    <row r="4" spans="5:11" s="155" customFormat="1" ht="12.75" hidden="1" customHeight="1">
      <c r="E4" s="339" t="s">
        <v>832</v>
      </c>
      <c r="F4" s="339"/>
      <c r="G4" s="339"/>
      <c r="H4" s="339"/>
      <c r="I4" s="339"/>
      <c r="J4" s="340">
        <v>1</v>
      </c>
      <c r="K4" s="341"/>
    </row>
    <row r="5" spans="5:11" s="155" customFormat="1" ht="12.75" hidden="1" customHeight="1">
      <c r="E5" s="339" t="s">
        <v>833</v>
      </c>
      <c r="F5" s="339"/>
      <c r="G5" s="339"/>
      <c r="H5" s="339"/>
      <c r="I5" s="339"/>
      <c r="J5" s="340">
        <v>1</v>
      </c>
      <c r="K5" s="341"/>
    </row>
    <row r="6" spans="5:11" s="155" customFormat="1" ht="12.75" hidden="1" customHeight="1">
      <c r="E6" s="339" t="s">
        <v>834</v>
      </c>
      <c r="F6" s="339"/>
      <c r="G6" s="339"/>
      <c r="H6" s="339"/>
      <c r="I6" s="339"/>
      <c r="J6" s="340">
        <v>1</v>
      </c>
      <c r="K6" s="341"/>
    </row>
    <row r="7" spans="5:11" s="155" customFormat="1" ht="12.75" hidden="1" customHeight="1">
      <c r="E7" s="339" t="s">
        <v>835</v>
      </c>
      <c r="F7" s="339"/>
      <c r="G7" s="339"/>
      <c r="H7" s="339"/>
      <c r="I7" s="339"/>
      <c r="J7" s="340">
        <v>1</v>
      </c>
      <c r="K7" s="341"/>
    </row>
    <row r="8" spans="5:11" s="155" customFormat="1" ht="12.75" hidden="1" customHeight="1">
      <c r="E8" s="339" t="s">
        <v>836</v>
      </c>
      <c r="F8" s="339"/>
      <c r="G8" s="339"/>
      <c r="H8" s="339"/>
      <c r="I8" s="339"/>
      <c r="J8" s="340">
        <v>1</v>
      </c>
      <c r="K8" s="341"/>
    </row>
    <row r="9" spans="5:11" s="155" customFormat="1" ht="12.75" hidden="1" customHeight="1">
      <c r="E9" s="339" t="s">
        <v>837</v>
      </c>
      <c r="F9" s="339"/>
      <c r="G9" s="339"/>
      <c r="H9" s="339"/>
      <c r="I9" s="339"/>
      <c r="J9" s="340">
        <v>1</v>
      </c>
      <c r="K9" s="341"/>
    </row>
    <row r="10" spans="5:11" s="155" customFormat="1" ht="12.75" hidden="1" customHeight="1">
      <c r="E10" s="339" t="s">
        <v>838</v>
      </c>
      <c r="F10" s="339"/>
      <c r="G10" s="339"/>
      <c r="H10" s="339"/>
      <c r="I10" s="339"/>
      <c r="J10" s="340">
        <v>1</v>
      </c>
      <c r="K10" s="341"/>
    </row>
    <row r="11" spans="5:11" s="155" customFormat="1" ht="12.75" hidden="1" customHeight="1">
      <c r="E11" s="339" t="s">
        <v>839</v>
      </c>
      <c r="F11" s="339"/>
      <c r="G11" s="339"/>
      <c r="H11" s="339"/>
      <c r="I11" s="339"/>
      <c r="J11" s="340">
        <v>1</v>
      </c>
      <c r="K11" s="341"/>
    </row>
    <row r="12" spans="5:11" s="155" customFormat="1" ht="12.75" hidden="1" customHeight="1">
      <c r="E12" s="339" t="s">
        <v>840</v>
      </c>
      <c r="F12" s="339"/>
      <c r="G12" s="339"/>
      <c r="H12" s="339"/>
      <c r="I12" s="339"/>
      <c r="J12" s="340">
        <v>1</v>
      </c>
      <c r="K12" s="341"/>
    </row>
    <row r="13" spans="5:11" s="155" customFormat="1" ht="12.75" hidden="1" customHeight="1">
      <c r="E13" s="339" t="s">
        <v>866</v>
      </c>
      <c r="F13" s="339"/>
      <c r="G13" s="339"/>
      <c r="H13" s="339"/>
      <c r="I13" s="339"/>
      <c r="J13" s="340">
        <v>1</v>
      </c>
      <c r="K13" s="341"/>
    </row>
    <row r="14" spans="5:11" s="155" customFormat="1" ht="12.75" hidden="1" customHeight="1">
      <c r="E14" s="339" t="s">
        <v>841</v>
      </c>
      <c r="F14" s="339"/>
      <c r="G14" s="339"/>
      <c r="H14" s="339"/>
      <c r="I14" s="339"/>
      <c r="J14" s="340">
        <v>1</v>
      </c>
      <c r="K14" s="341"/>
    </row>
    <row r="15" spans="5:11" s="155" customFormat="1" ht="12.75" hidden="1" customHeight="1">
      <c r="E15" s="339" t="s">
        <v>842</v>
      </c>
      <c r="F15" s="339"/>
      <c r="G15" s="339"/>
      <c r="H15" s="339"/>
      <c r="I15" s="339"/>
      <c r="J15" s="340">
        <v>1</v>
      </c>
      <c r="K15" s="341"/>
    </row>
    <row r="16" spans="5:11" s="155" customFormat="1" ht="12.75" hidden="1" customHeight="1">
      <c r="E16" s="339" t="s">
        <v>843</v>
      </c>
      <c r="F16" s="339"/>
      <c r="G16" s="339"/>
      <c r="H16" s="339"/>
      <c r="I16" s="339"/>
      <c r="J16" s="340">
        <v>1</v>
      </c>
      <c r="K16" s="341"/>
    </row>
    <row r="17" spans="5:12" s="155" customFormat="1" ht="12.75" hidden="1" customHeight="1">
      <c r="E17" s="339" t="s">
        <v>844</v>
      </c>
      <c r="F17" s="339"/>
      <c r="G17" s="339"/>
      <c r="H17" s="339"/>
      <c r="I17" s="339"/>
      <c r="J17" s="340">
        <v>1</v>
      </c>
      <c r="K17" s="341"/>
    </row>
    <row r="18" spans="5:12" s="155" customFormat="1" ht="12.75" hidden="1" customHeight="1">
      <c r="E18" s="339" t="s">
        <v>845</v>
      </c>
      <c r="F18" s="339"/>
      <c r="G18" s="339"/>
      <c r="H18" s="339"/>
      <c r="I18" s="339"/>
      <c r="J18" s="340">
        <v>1</v>
      </c>
      <c r="K18" s="341"/>
    </row>
    <row r="19" spans="5:12" s="155" customFormat="1" ht="12.75" hidden="1" customHeight="1">
      <c r="E19" s="339" t="s">
        <v>865</v>
      </c>
      <c r="F19" s="339"/>
      <c r="G19" s="339"/>
      <c r="H19" s="339"/>
      <c r="I19" s="339"/>
      <c r="J19" s="340">
        <v>1</v>
      </c>
      <c r="K19" s="341"/>
    </row>
    <row r="20" spans="5:12" s="155" customFormat="1" ht="12.75" hidden="1" customHeight="1">
      <c r="E20" s="339" t="s">
        <v>846</v>
      </c>
      <c r="F20" s="339"/>
      <c r="G20" s="339"/>
      <c r="H20" s="339"/>
      <c r="I20" s="339"/>
      <c r="J20" s="340">
        <v>1</v>
      </c>
      <c r="K20" s="341"/>
    </row>
    <row r="21" spans="5:12" s="155" customFormat="1" ht="12.75" hidden="1" customHeight="1">
      <c r="E21" s="339" t="s">
        <v>847</v>
      </c>
      <c r="F21" s="339"/>
      <c r="G21" s="339"/>
      <c r="H21" s="339"/>
      <c r="I21" s="339"/>
      <c r="J21" s="340">
        <v>1</v>
      </c>
      <c r="K21" s="341"/>
    </row>
    <row r="22" spans="5:12" s="155" customFormat="1" ht="12.75" hidden="1" customHeight="1">
      <c r="E22" s="340" t="s">
        <v>848</v>
      </c>
      <c r="F22" s="356"/>
      <c r="G22" s="356"/>
      <c r="H22" s="356"/>
      <c r="I22" s="341"/>
      <c r="J22" s="340">
        <v>1</v>
      </c>
      <c r="K22" s="341"/>
    </row>
    <row r="23" spans="5:12" s="155" customFormat="1" ht="12.75" hidden="1" customHeight="1">
      <c r="E23" s="340" t="s">
        <v>849</v>
      </c>
      <c r="F23" s="356"/>
      <c r="G23" s="356"/>
      <c r="H23" s="356"/>
      <c r="I23" s="341"/>
      <c r="J23" s="340">
        <v>1</v>
      </c>
      <c r="K23" s="341"/>
    </row>
    <row r="24" spans="5:12" s="155" customFormat="1" ht="12.75" hidden="1" customHeight="1">
      <c r="E24" s="340" t="s">
        <v>853</v>
      </c>
      <c r="F24" s="356"/>
      <c r="G24" s="356"/>
      <c r="H24" s="356"/>
      <c r="I24" s="341"/>
      <c r="J24" s="340">
        <v>1</v>
      </c>
      <c r="K24" s="341"/>
    </row>
    <row r="25" spans="5:12" s="155" customFormat="1" ht="12.75" hidden="1" customHeight="1">
      <c r="E25" s="340" t="s">
        <v>850</v>
      </c>
      <c r="F25" s="356"/>
      <c r="G25" s="356"/>
      <c r="H25" s="356"/>
      <c r="I25" s="341"/>
      <c r="J25" s="340">
        <v>1</v>
      </c>
      <c r="K25" s="341"/>
    </row>
    <row r="26" spans="5:12" s="155" customFormat="1" ht="12.75" hidden="1" customHeight="1">
      <c r="E26" s="340" t="s">
        <v>851</v>
      </c>
      <c r="F26" s="356"/>
      <c r="G26" s="356"/>
      <c r="H26" s="356"/>
      <c r="I26" s="341"/>
      <c r="J26" s="340">
        <v>1</v>
      </c>
      <c r="K26" s="341"/>
    </row>
    <row r="27" spans="5:12" s="155" customFormat="1" ht="12.75" hidden="1" customHeight="1">
      <c r="E27" s="340" t="s">
        <v>856</v>
      </c>
      <c r="F27" s="356"/>
      <c r="G27" s="356"/>
      <c r="H27" s="356"/>
      <c r="I27" s="341"/>
      <c r="J27" s="340">
        <v>1</v>
      </c>
      <c r="K27" s="341"/>
    </row>
    <row r="28" spans="5:12" s="155" customFormat="1" ht="12.75" hidden="1" customHeight="1">
      <c r="E28" s="340" t="s">
        <v>857</v>
      </c>
      <c r="F28" s="356"/>
      <c r="G28" s="356"/>
      <c r="H28" s="356"/>
      <c r="I28" s="341"/>
      <c r="J28" s="340">
        <v>1</v>
      </c>
      <c r="K28" s="341"/>
    </row>
    <row r="29" spans="5:12" s="155" customFormat="1" ht="12.75" hidden="1" customHeight="1">
      <c r="E29" s="340" t="s">
        <v>860</v>
      </c>
      <c r="F29" s="356"/>
      <c r="G29" s="356"/>
      <c r="H29" s="356"/>
      <c r="I29" s="341"/>
      <c r="J29" s="340">
        <v>1</v>
      </c>
      <c r="K29" s="341"/>
      <c r="L29" s="155" t="s">
        <v>536</v>
      </c>
    </row>
    <row r="30" spans="5:12" s="155" customFormat="1" ht="12.75" hidden="1" customHeight="1">
      <c r="E30" s="340" t="s">
        <v>862</v>
      </c>
      <c r="F30" s="356"/>
      <c r="G30" s="356"/>
      <c r="H30" s="356"/>
      <c r="I30" s="341"/>
      <c r="J30" s="340">
        <v>1</v>
      </c>
      <c r="K30" s="341"/>
    </row>
    <row r="31" spans="5:12" s="155" customFormat="1" ht="12.75" hidden="1" customHeight="1">
      <c r="E31" s="340" t="s">
        <v>863</v>
      </c>
      <c r="F31" s="356"/>
      <c r="G31" s="356"/>
      <c r="H31" s="356"/>
      <c r="I31" s="341"/>
      <c r="J31" s="340">
        <v>1</v>
      </c>
      <c r="K31" s="341"/>
    </row>
    <row r="32" spans="5:12" s="155" customFormat="1" ht="12.75" hidden="1" customHeight="1">
      <c r="E32" s="340" t="s">
        <v>852</v>
      </c>
      <c r="F32" s="356"/>
      <c r="G32" s="356"/>
      <c r="H32" s="356"/>
      <c r="I32" s="341"/>
      <c r="J32" s="340">
        <v>1</v>
      </c>
      <c r="K32" s="341"/>
    </row>
    <row r="33" spans="1:11" s="155" customFormat="1" ht="12.75" hidden="1" customHeight="1">
      <c r="E33" s="340" t="s">
        <v>855</v>
      </c>
      <c r="F33" s="356"/>
      <c r="G33" s="356"/>
      <c r="H33" s="356"/>
      <c r="I33" s="341"/>
      <c r="J33" s="340">
        <v>1</v>
      </c>
      <c r="K33" s="341"/>
    </row>
    <row r="34" spans="1:11" s="155" customFormat="1" ht="12.75" hidden="1" customHeight="1">
      <c r="E34" s="340" t="s">
        <v>854</v>
      </c>
      <c r="F34" s="356"/>
      <c r="G34" s="356"/>
      <c r="H34" s="356"/>
      <c r="I34" s="341"/>
      <c r="J34" s="340">
        <v>1</v>
      </c>
      <c r="K34" s="341"/>
    </row>
    <row r="35" spans="1:11" s="155" customFormat="1" ht="12.75" hidden="1" customHeight="1">
      <c r="E35" s="340" t="s">
        <v>859</v>
      </c>
      <c r="F35" s="356"/>
      <c r="G35" s="356"/>
      <c r="H35" s="356"/>
      <c r="I35" s="341"/>
      <c r="J35" s="340">
        <v>1</v>
      </c>
      <c r="K35" s="341"/>
    </row>
    <row r="36" spans="1:11" s="155" customFormat="1" ht="12.75" hidden="1" customHeight="1">
      <c r="E36" s="340" t="s">
        <v>858</v>
      </c>
      <c r="F36" s="356"/>
      <c r="G36" s="356"/>
      <c r="H36" s="356"/>
      <c r="I36" s="341"/>
      <c r="J36" s="340">
        <v>1</v>
      </c>
      <c r="K36" s="341"/>
    </row>
    <row r="37" spans="1:11" s="155" customFormat="1" ht="12.75" hidden="1" customHeight="1">
      <c r="E37" s="340" t="s">
        <v>861</v>
      </c>
      <c r="F37" s="356"/>
      <c r="G37" s="356"/>
      <c r="H37" s="356"/>
      <c r="I37" s="341"/>
      <c r="J37" s="340">
        <v>1</v>
      </c>
      <c r="K37" s="341"/>
    </row>
    <row r="38" spans="1:11" s="155" customFormat="1" ht="12.75" hidden="1" customHeight="1">
      <c r="E38" s="340" t="s">
        <v>864</v>
      </c>
      <c r="F38" s="356"/>
      <c r="G38" s="356"/>
      <c r="H38" s="356"/>
      <c r="I38" s="341"/>
      <c r="J38" s="340">
        <v>1</v>
      </c>
      <c r="K38" s="341"/>
    </row>
    <row r="39" spans="1:11" s="155" customFormat="1" ht="12.75" customHeight="1">
      <c r="E39" s="339" t="s">
        <v>265</v>
      </c>
      <c r="F39" s="339"/>
      <c r="G39" s="339"/>
      <c r="H39" s="339"/>
      <c r="I39" s="339"/>
      <c r="J39" s="340"/>
      <c r="K39" s="341"/>
    </row>
    <row r="40" spans="1:11" s="141" customFormat="1" ht="12" customHeight="1" thickBot="1">
      <c r="I40" s="154"/>
    </row>
    <row r="41" spans="1:11" s="141" customFormat="1" ht="18" thickBot="1">
      <c r="A41" s="137" t="s">
        <v>80</v>
      </c>
      <c r="B41" s="138" t="s">
        <v>1003</v>
      </c>
      <c r="C41" s="138" t="s">
        <v>1004</v>
      </c>
      <c r="D41" s="138" t="s">
        <v>1005</v>
      </c>
      <c r="E41" s="138" t="s">
        <v>1006</v>
      </c>
      <c r="F41" s="138" t="s">
        <v>1007</v>
      </c>
      <c r="G41" s="138" t="s">
        <v>1008</v>
      </c>
      <c r="H41" s="138" t="s">
        <v>1009</v>
      </c>
      <c r="I41" s="139" t="s">
        <v>1010</v>
      </c>
      <c r="J41" s="138" t="s">
        <v>1030</v>
      </c>
      <c r="K41" s="140" t="s">
        <v>1031</v>
      </c>
    </row>
    <row r="42" spans="1:11" s="141" customFormat="1" ht="20.25" customHeight="1">
      <c r="A42" s="142">
        <v>1</v>
      </c>
      <c r="B42" s="144" t="s">
        <v>873</v>
      </c>
      <c r="C42" s="144" t="s">
        <v>1687</v>
      </c>
      <c r="D42" s="144" t="s">
        <v>1011</v>
      </c>
      <c r="E42" s="144" t="s">
        <v>1689</v>
      </c>
      <c r="F42" s="144">
        <v>1</v>
      </c>
      <c r="G42" s="145" t="s">
        <v>1012</v>
      </c>
      <c r="H42" s="145">
        <f>F42*J4</f>
        <v>1</v>
      </c>
      <c r="I42" s="156">
        <f>409557/3</f>
        <v>136519</v>
      </c>
      <c r="J42" s="158">
        <f>H42*I42</f>
        <v>136519</v>
      </c>
      <c r="K42" s="146"/>
    </row>
    <row r="43" spans="1:11" s="141" customFormat="1" ht="20.25" customHeight="1">
      <c r="A43" s="147">
        <v>2</v>
      </c>
      <c r="B43" s="143" t="s">
        <v>872</v>
      </c>
      <c r="C43" s="143" t="s">
        <v>1688</v>
      </c>
      <c r="D43" s="143" t="s">
        <v>1011</v>
      </c>
      <c r="E43" s="148" t="s">
        <v>1690</v>
      </c>
      <c r="F43" s="143">
        <v>1</v>
      </c>
      <c r="G43" s="149" t="s">
        <v>1012</v>
      </c>
      <c r="H43" s="149">
        <f>F43*J4</f>
        <v>1</v>
      </c>
      <c r="I43" s="157">
        <f>225980/2</f>
        <v>112990</v>
      </c>
      <c r="J43" s="159">
        <f>H43*I43</f>
        <v>112990</v>
      </c>
      <c r="K43" s="152"/>
    </row>
    <row r="44" spans="1:11" s="141" customFormat="1" ht="20.25" customHeight="1">
      <c r="A44" s="147">
        <v>4</v>
      </c>
      <c r="B44" s="143" t="s">
        <v>872</v>
      </c>
      <c r="C44" s="143" t="s">
        <v>1688</v>
      </c>
      <c r="D44" s="143" t="s">
        <v>1013</v>
      </c>
      <c r="E44" s="148" t="s">
        <v>1691</v>
      </c>
      <c r="F44" s="143">
        <v>1</v>
      </c>
      <c r="G44" s="143" t="s">
        <v>1014</v>
      </c>
      <c r="H44" s="149">
        <f t="shared" ref="H44:H55" si="0">F44*J6</f>
        <v>1</v>
      </c>
      <c r="I44" s="157">
        <v>60000</v>
      </c>
      <c r="J44" s="159">
        <f t="shared" ref="J44:J57" si="1">H44*I44</f>
        <v>60000</v>
      </c>
      <c r="K44" s="152"/>
    </row>
    <row r="45" spans="1:11" s="141" customFormat="1" ht="20.25" customHeight="1">
      <c r="A45" s="147">
        <v>5</v>
      </c>
      <c r="B45" s="143" t="s">
        <v>872</v>
      </c>
      <c r="C45" s="143" t="s">
        <v>1688</v>
      </c>
      <c r="D45" s="143" t="s">
        <v>1015</v>
      </c>
      <c r="E45" s="148" t="s">
        <v>1044</v>
      </c>
      <c r="F45" s="143">
        <v>4</v>
      </c>
      <c r="G45" s="143" t="s">
        <v>1014</v>
      </c>
      <c r="H45" s="149">
        <f t="shared" si="0"/>
        <v>4</v>
      </c>
      <c r="I45" s="157">
        <v>4000</v>
      </c>
      <c r="J45" s="159">
        <f t="shared" si="1"/>
        <v>16000</v>
      </c>
      <c r="K45" s="152"/>
    </row>
    <row r="46" spans="1:11" s="141" customFormat="1" ht="20.25" customHeight="1">
      <c r="A46" s="147">
        <v>6</v>
      </c>
      <c r="B46" s="143" t="s">
        <v>872</v>
      </c>
      <c r="C46" s="143" t="s">
        <v>1688</v>
      </c>
      <c r="D46" s="143" t="s">
        <v>1020</v>
      </c>
      <c r="E46" s="143" t="s">
        <v>869</v>
      </c>
      <c r="F46" s="143">
        <v>1</v>
      </c>
      <c r="G46" s="143" t="s">
        <v>1014</v>
      </c>
      <c r="H46" s="149">
        <f t="shared" si="0"/>
        <v>1</v>
      </c>
      <c r="I46" s="150">
        <v>22000</v>
      </c>
      <c r="J46" s="151">
        <f t="shared" si="1"/>
        <v>22000</v>
      </c>
      <c r="K46" s="152"/>
    </row>
    <row r="47" spans="1:11" s="141" customFormat="1" ht="20.25" customHeight="1">
      <c r="A47" s="147">
        <v>7</v>
      </c>
      <c r="B47" s="143" t="s">
        <v>872</v>
      </c>
      <c r="C47" s="143" t="s">
        <v>1688</v>
      </c>
      <c r="D47" s="143" t="s">
        <v>1021</v>
      </c>
      <c r="E47" s="143" t="s">
        <v>869</v>
      </c>
      <c r="F47" s="143">
        <v>1</v>
      </c>
      <c r="G47" s="143" t="s">
        <v>1014</v>
      </c>
      <c r="H47" s="149">
        <f t="shared" si="0"/>
        <v>1</v>
      </c>
      <c r="I47" s="150">
        <v>5500</v>
      </c>
      <c r="J47" s="151">
        <f t="shared" si="1"/>
        <v>5500</v>
      </c>
      <c r="K47" s="152"/>
    </row>
    <row r="48" spans="1:11" s="141" customFormat="1" ht="20.25" customHeight="1">
      <c r="A48" s="147">
        <v>8</v>
      </c>
      <c r="B48" s="143" t="s">
        <v>872</v>
      </c>
      <c r="C48" s="143" t="s">
        <v>1688</v>
      </c>
      <c r="D48" s="247" t="s">
        <v>1692</v>
      </c>
      <c r="E48" s="248" t="s">
        <v>1693</v>
      </c>
      <c r="F48" s="143">
        <v>1</v>
      </c>
      <c r="G48" s="247" t="s">
        <v>1694</v>
      </c>
      <c r="H48" s="149">
        <f t="shared" si="0"/>
        <v>1</v>
      </c>
      <c r="I48" s="150">
        <v>25000</v>
      </c>
      <c r="J48" s="151">
        <f t="shared" si="1"/>
        <v>25000</v>
      </c>
      <c r="K48" s="152"/>
    </row>
    <row r="49" spans="1:14" s="141" customFormat="1" ht="20.25" customHeight="1">
      <c r="A49" s="147">
        <v>9</v>
      </c>
      <c r="B49" s="143" t="s">
        <v>872</v>
      </c>
      <c r="C49" s="143" t="s">
        <v>1688</v>
      </c>
      <c r="D49" s="143" t="s">
        <v>1016</v>
      </c>
      <c r="E49" s="143" t="s">
        <v>868</v>
      </c>
      <c r="F49" s="143">
        <v>1</v>
      </c>
      <c r="G49" s="143" t="s">
        <v>1017</v>
      </c>
      <c r="H49" s="149">
        <f t="shared" si="0"/>
        <v>1</v>
      </c>
      <c r="I49" s="150">
        <v>32000</v>
      </c>
      <c r="J49" s="151">
        <f t="shared" si="1"/>
        <v>32000</v>
      </c>
      <c r="K49" s="152"/>
    </row>
    <row r="50" spans="1:14" s="141" customFormat="1" ht="20.25" customHeight="1">
      <c r="A50" s="147">
        <v>10</v>
      </c>
      <c r="B50" s="143" t="s">
        <v>872</v>
      </c>
      <c r="C50" s="143" t="s">
        <v>1688</v>
      </c>
      <c r="D50" s="143" t="s">
        <v>1023</v>
      </c>
      <c r="E50" s="143" t="s">
        <v>870</v>
      </c>
      <c r="F50" s="143">
        <v>1</v>
      </c>
      <c r="G50" s="143" t="s">
        <v>1024</v>
      </c>
      <c r="H50" s="149">
        <f t="shared" si="0"/>
        <v>1</v>
      </c>
      <c r="I50" s="150">
        <v>11000</v>
      </c>
      <c r="J50" s="151">
        <f t="shared" si="1"/>
        <v>11000</v>
      </c>
      <c r="K50" s="152"/>
    </row>
    <row r="51" spans="1:14" s="141" customFormat="1" ht="20.25" customHeight="1">
      <c r="A51" s="147">
        <v>11</v>
      </c>
      <c r="B51" s="143" t="s">
        <v>872</v>
      </c>
      <c r="C51" s="143" t="s">
        <v>1688</v>
      </c>
      <c r="D51" s="247" t="s">
        <v>1695</v>
      </c>
      <c r="E51" s="247" t="s">
        <v>1696</v>
      </c>
      <c r="F51" s="143">
        <v>1</v>
      </c>
      <c r="G51" s="247" t="s">
        <v>235</v>
      </c>
      <c r="H51" s="149">
        <f t="shared" si="0"/>
        <v>1</v>
      </c>
      <c r="I51" s="150">
        <v>105000</v>
      </c>
      <c r="J51" s="151">
        <f t="shared" si="1"/>
        <v>105000</v>
      </c>
      <c r="K51" s="152"/>
    </row>
    <row r="52" spans="1:14" s="141" customFormat="1" ht="20.25" customHeight="1">
      <c r="A52" s="147">
        <v>12</v>
      </c>
      <c r="B52" s="143" t="s">
        <v>872</v>
      </c>
      <c r="C52" s="143" t="s">
        <v>1688</v>
      </c>
      <c r="D52" s="247" t="s">
        <v>1697</v>
      </c>
      <c r="E52" s="247" t="s">
        <v>1698</v>
      </c>
      <c r="F52" s="143">
        <v>2</v>
      </c>
      <c r="G52" s="247" t="s">
        <v>1699</v>
      </c>
      <c r="H52" s="149">
        <f t="shared" si="0"/>
        <v>2</v>
      </c>
      <c r="I52" s="150">
        <v>100000</v>
      </c>
      <c r="J52" s="151">
        <f t="shared" si="1"/>
        <v>200000</v>
      </c>
      <c r="K52" s="152"/>
    </row>
    <row r="53" spans="1:14" s="141" customFormat="1" ht="20.25" customHeight="1">
      <c r="A53" s="147">
        <v>13</v>
      </c>
      <c r="B53" s="143" t="s">
        <v>872</v>
      </c>
      <c r="C53" s="143" t="s">
        <v>1688</v>
      </c>
      <c r="D53" s="247" t="s">
        <v>1700</v>
      </c>
      <c r="E53" s="247" t="s">
        <v>1701</v>
      </c>
      <c r="F53" s="143">
        <v>1</v>
      </c>
      <c r="G53" s="247" t="s">
        <v>1699</v>
      </c>
      <c r="H53" s="149">
        <f t="shared" si="0"/>
        <v>1</v>
      </c>
      <c r="I53" s="150">
        <v>45000</v>
      </c>
      <c r="J53" s="151">
        <f t="shared" si="1"/>
        <v>45000</v>
      </c>
      <c r="K53" s="152"/>
      <c r="M53" s="185">
        <v>3863636</v>
      </c>
      <c r="N53" s="186" t="s">
        <v>1302</v>
      </c>
    </row>
    <row r="54" spans="1:14" s="141" customFormat="1" ht="20.25" customHeight="1">
      <c r="A54" s="147">
        <v>14</v>
      </c>
      <c r="B54" s="143" t="s">
        <v>872</v>
      </c>
      <c r="C54" s="143" t="s">
        <v>1688</v>
      </c>
      <c r="D54" s="247" t="s">
        <v>230</v>
      </c>
      <c r="E54" s="247" t="s">
        <v>1702</v>
      </c>
      <c r="F54" s="143">
        <v>1</v>
      </c>
      <c r="G54" s="247" t="s">
        <v>1703</v>
      </c>
      <c r="H54" s="149">
        <f t="shared" si="0"/>
        <v>1</v>
      </c>
      <c r="I54" s="150">
        <v>60000</v>
      </c>
      <c r="J54" s="151">
        <f t="shared" si="1"/>
        <v>60000</v>
      </c>
      <c r="K54" s="152"/>
      <c r="M54" s="154">
        <f>100000+100000</f>
        <v>200000</v>
      </c>
      <c r="N54" s="210" t="s">
        <v>1561</v>
      </c>
    </row>
    <row r="55" spans="1:14" s="141" customFormat="1" ht="20.25" customHeight="1">
      <c r="A55" s="147">
        <v>15</v>
      </c>
      <c r="B55" s="143" t="s">
        <v>872</v>
      </c>
      <c r="C55" s="143" t="s">
        <v>1688</v>
      </c>
      <c r="D55" s="247" t="s">
        <v>1680</v>
      </c>
      <c r="E55" s="250" t="s">
        <v>1705</v>
      </c>
      <c r="F55" s="143">
        <v>1</v>
      </c>
      <c r="G55" s="249" t="s">
        <v>1704</v>
      </c>
      <c r="H55" s="149">
        <f t="shared" si="0"/>
        <v>1</v>
      </c>
      <c r="I55" s="150">
        <v>510000</v>
      </c>
      <c r="J55" s="151">
        <f t="shared" si="1"/>
        <v>510000</v>
      </c>
      <c r="K55" s="152"/>
      <c r="M55" s="183">
        <f>L58*7%</f>
        <v>104468.63</v>
      </c>
      <c r="N55" s="141" t="s">
        <v>1303</v>
      </c>
    </row>
    <row r="56" spans="1:14" s="141" customFormat="1" ht="20.25" customHeight="1">
      <c r="A56" s="147">
        <v>16</v>
      </c>
      <c r="B56" s="143" t="s">
        <v>872</v>
      </c>
      <c r="C56" s="143" t="s">
        <v>1688</v>
      </c>
      <c r="D56" s="247" t="s">
        <v>1706</v>
      </c>
      <c r="E56" s="148" t="s">
        <v>1268</v>
      </c>
      <c r="F56" s="143">
        <v>1</v>
      </c>
      <c r="G56" s="249" t="s">
        <v>1707</v>
      </c>
      <c r="H56" s="149">
        <v>1</v>
      </c>
      <c r="I56" s="150">
        <v>1400</v>
      </c>
      <c r="J56" s="151">
        <f t="shared" si="1"/>
        <v>1400</v>
      </c>
      <c r="K56" s="152"/>
      <c r="M56" s="183">
        <f>(L58+M55)*20%</f>
        <v>319375.52600000001</v>
      </c>
      <c r="N56" s="141" t="s">
        <v>1304</v>
      </c>
    </row>
    <row r="57" spans="1:14" s="141" customFormat="1" ht="20.25" customHeight="1" thickBot="1">
      <c r="A57" s="147">
        <v>17</v>
      </c>
      <c r="B57" s="143" t="s">
        <v>872</v>
      </c>
      <c r="C57" s="143" t="s">
        <v>1688</v>
      </c>
      <c r="D57" s="143" t="s">
        <v>1050</v>
      </c>
      <c r="E57" s="148" t="s">
        <v>1051</v>
      </c>
      <c r="F57" s="143">
        <v>1</v>
      </c>
      <c r="G57" s="249" t="s">
        <v>867</v>
      </c>
      <c r="H57" s="149">
        <f>F57*J19</f>
        <v>1</v>
      </c>
      <c r="I57" s="150">
        <v>150000</v>
      </c>
      <c r="J57" s="151">
        <f t="shared" si="1"/>
        <v>150000</v>
      </c>
      <c r="K57" s="152"/>
      <c r="M57" s="183">
        <f>(L58+M55+M56)*25%</f>
        <v>479063.28899999999</v>
      </c>
      <c r="N57" s="141" t="s">
        <v>1305</v>
      </c>
    </row>
    <row r="58" spans="1:14" s="141" customFormat="1" ht="20.25" customHeight="1" thickBot="1">
      <c r="A58" s="160">
        <v>21</v>
      </c>
      <c r="B58" s="161" t="s">
        <v>873</v>
      </c>
      <c r="C58" s="161" t="s">
        <v>1688</v>
      </c>
      <c r="D58" s="251"/>
      <c r="E58" s="169"/>
      <c r="F58" s="161">
        <v>1</v>
      </c>
      <c r="G58" s="252"/>
      <c r="H58" s="162">
        <v>1</v>
      </c>
      <c r="I58" s="170"/>
      <c r="J58" s="171">
        <f t="shared" ref="J58" si="2">H58*I58</f>
        <v>0</v>
      </c>
      <c r="K58" s="163"/>
      <c r="L58" s="172">
        <f>SUM(J42:J58)</f>
        <v>1492409</v>
      </c>
      <c r="M58" s="184">
        <f>L58+M54+M55+M56+M57</f>
        <v>2595316.4449999998</v>
      </c>
      <c r="N58" s="141" t="s">
        <v>1307</v>
      </c>
    </row>
    <row r="59" spans="1:14" s="141" customFormat="1" ht="7.5" customHeight="1">
      <c r="D59" s="164"/>
      <c r="E59" s="164"/>
      <c r="G59" s="165"/>
      <c r="H59" s="166"/>
      <c r="I59" s="167"/>
      <c r="J59" s="168"/>
    </row>
  </sheetData>
  <mergeCells count="75">
    <mergeCell ref="E39:I39"/>
    <mergeCell ref="J39:K39"/>
    <mergeCell ref="E36:I36"/>
    <mergeCell ref="J36:K36"/>
    <mergeCell ref="E37:I37"/>
    <mergeCell ref="J37:K37"/>
    <mergeCell ref="E38:I38"/>
    <mergeCell ref="J38:K38"/>
    <mergeCell ref="E33:I33"/>
    <mergeCell ref="J33:K33"/>
    <mergeCell ref="E34:I34"/>
    <mergeCell ref="J34:K34"/>
    <mergeCell ref="E35:I35"/>
    <mergeCell ref="J35:K35"/>
    <mergeCell ref="E30:I30"/>
    <mergeCell ref="J30:K30"/>
    <mergeCell ref="E31:I31"/>
    <mergeCell ref="J31:K31"/>
    <mergeCell ref="E32:I32"/>
    <mergeCell ref="J32:K32"/>
    <mergeCell ref="E27:I27"/>
    <mergeCell ref="J27:K27"/>
    <mergeCell ref="E28:I28"/>
    <mergeCell ref="J28:K28"/>
    <mergeCell ref="E29:I29"/>
    <mergeCell ref="J29:K29"/>
    <mergeCell ref="E24:I24"/>
    <mergeCell ref="J24:K24"/>
    <mergeCell ref="E25:I25"/>
    <mergeCell ref="J25:K25"/>
    <mergeCell ref="E26:I26"/>
    <mergeCell ref="J26:K26"/>
    <mergeCell ref="E21:I21"/>
    <mergeCell ref="J21:K21"/>
    <mergeCell ref="E22:I22"/>
    <mergeCell ref="J22:K22"/>
    <mergeCell ref="E23:I23"/>
    <mergeCell ref="J23:K23"/>
    <mergeCell ref="E18:I18"/>
    <mergeCell ref="J18:K18"/>
    <mergeCell ref="E19:I19"/>
    <mergeCell ref="J19:K19"/>
    <mergeCell ref="E20:I20"/>
    <mergeCell ref="J20:K20"/>
    <mergeCell ref="E15:I15"/>
    <mergeCell ref="J15:K15"/>
    <mergeCell ref="E16:I16"/>
    <mergeCell ref="J16:K16"/>
    <mergeCell ref="E17:I17"/>
    <mergeCell ref="J17:K17"/>
    <mergeCell ref="E12:I12"/>
    <mergeCell ref="J12:K12"/>
    <mergeCell ref="E13:I13"/>
    <mergeCell ref="J13:K13"/>
    <mergeCell ref="E14:I14"/>
    <mergeCell ref="J14:K14"/>
    <mergeCell ref="E9:I9"/>
    <mergeCell ref="J9:K9"/>
    <mergeCell ref="E10:I10"/>
    <mergeCell ref="J10:K10"/>
    <mergeCell ref="E11:I11"/>
    <mergeCell ref="J11:K11"/>
    <mergeCell ref="E6:I6"/>
    <mergeCell ref="J6:K6"/>
    <mergeCell ref="E7:I7"/>
    <mergeCell ref="J7:K7"/>
    <mergeCell ref="E8:I8"/>
    <mergeCell ref="J8:K8"/>
    <mergeCell ref="E5:I5"/>
    <mergeCell ref="J5:K5"/>
    <mergeCell ref="E1:I1"/>
    <mergeCell ref="E3:I3"/>
    <mergeCell ref="J3:K3"/>
    <mergeCell ref="E4:I4"/>
    <mergeCell ref="J4:K4"/>
  </mergeCells>
  <phoneticPr fontId="1" type="noConversion"/>
  <pageMargins left="0" right="0.70866141732283472" top="0.15748031496062992" bottom="0" header="0.31496062992125984" footer="0.31496062992125984"/>
  <pageSetup paperSize="9" scale="55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이름이 지정된 범위</vt:lpstr>
      </vt:variant>
      <vt:variant>
        <vt:i4>4</vt:i4>
      </vt:variant>
    </vt:vector>
  </HeadingPairs>
  <TitlesOfParts>
    <vt:vector size="20" baseType="lpstr">
      <vt:lpstr>보안,가로등기구 (SLA)</vt:lpstr>
      <vt:lpstr>가로등기구</vt:lpstr>
      <vt:lpstr>보안등기구</vt:lpstr>
      <vt:lpstr>터널등기구</vt:lpstr>
      <vt:lpstr>투광등기구(BATOO)</vt:lpstr>
      <vt:lpstr>투광등기구(MT-FL)</vt:lpstr>
      <vt:lpstr>투광등기구(ARENA)</vt:lpstr>
      <vt:lpstr>투광등 대표모델 About원가</vt:lpstr>
      <vt:lpstr>투광등기구(STA)</vt:lpstr>
      <vt:lpstr>투광등기구(STA S)</vt:lpstr>
      <vt:lpstr>조명타워</vt:lpstr>
      <vt:lpstr>사다리계산</vt:lpstr>
      <vt:lpstr>스텐가로등주</vt:lpstr>
      <vt:lpstr>철제가로등주</vt:lpstr>
      <vt:lpstr>태양광가로등 </vt:lpstr>
      <vt:lpstr>태양광가로등(조달)</vt:lpstr>
      <vt:lpstr>가로등기구!Print_Area</vt:lpstr>
      <vt:lpstr>'보안,가로등기구 (SLA)'!Print_Area</vt:lpstr>
      <vt:lpstr>보안등기구!Print_Area</vt:lpstr>
      <vt:lpstr>'투광등기구(STA S)'!Print_Area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이지훈</dc:creator>
  <cp:lastModifiedBy>이지훈</cp:lastModifiedBy>
  <cp:lastPrinted>2025-09-08T02:17:18Z</cp:lastPrinted>
  <dcterms:created xsi:type="dcterms:W3CDTF">2021-04-12T02:05:53Z</dcterms:created>
  <dcterms:modified xsi:type="dcterms:W3CDTF">2026-03-20T07:10:59Z</dcterms:modified>
</cp:coreProperties>
</file>